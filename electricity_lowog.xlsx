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bboud\Desktop\hydrogen-dashboard\data\"/>
    </mc:Choice>
  </mc:AlternateContent>
  <xr:revisionPtr revIDLastSave="0" documentId="13_ncr:1_{575B5F2A-E285-44CA-B1A9-77116EA85CC9}" xr6:coauthVersionLast="47" xr6:coauthVersionMax="47" xr10:uidLastSave="{00000000-0000-0000-0000-000000000000}"/>
  <bookViews>
    <workbookView xWindow="25500" yWindow="0" windowWidth="13005" windowHeight="20985" tabRatio="1000" firstSheet="3" activeTab="13" xr2:uid="{00000000-000D-0000-FFFF-FFFF00000000}"/>
  </bookViews>
  <sheets>
    <sheet name="FRCC" sheetId="1" r:id="rId1"/>
    <sheet name="ISNE" sheetId="2" r:id="rId2"/>
    <sheet name="NYCW" sheetId="3" r:id="rId3"/>
    <sheet name="PJMC" sheetId="4" r:id="rId4"/>
    <sheet name="PJMD" sheetId="5" r:id="rId5"/>
    <sheet name="PJME" sheetId="6" r:id="rId6"/>
    <sheet name="SRCE" sheetId="7" r:id="rId7"/>
    <sheet name="SRSE" sheetId="8" r:id="rId8"/>
    <sheet name="TRE" sheetId="9" r:id="rId9"/>
    <sheet name="BASN" sheetId="10" r:id="rId10"/>
    <sheet name="CANO" sheetId="11" r:id="rId11"/>
    <sheet name="CASO" sheetId="12" r:id="rId12"/>
    <sheet name="RMRG" sheetId="13" r:id="rId13"/>
    <sheet name="SRSG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4" i="2" l="1" a="1"/>
  <c r="AD34" i="2" s="1"/>
  <c r="AD31" i="2" a="1"/>
  <c r="AD31" i="2" s="1"/>
  <c r="AD28" i="2" a="1"/>
  <c r="AD28" i="2" s="1"/>
  <c r="AD23" i="2" a="1"/>
  <c r="AD23" i="2" s="1"/>
  <c r="AD18" i="2" a="1"/>
  <c r="AD18" i="2" s="1"/>
  <c r="AD2" i="2" a="1"/>
  <c r="AD2" i="2" s="1"/>
  <c r="AD34" i="3" a="1"/>
  <c r="AD34" i="3" s="1"/>
  <c r="AD31" i="3" a="1"/>
  <c r="AD31" i="3" s="1"/>
  <c r="AD28" i="3" a="1"/>
  <c r="AD28" i="3" s="1"/>
  <c r="AD23" i="3" a="1"/>
  <c r="AD23" i="3" s="1"/>
  <c r="AD18" i="3" a="1"/>
  <c r="AD18" i="3" s="1"/>
  <c r="AD2" i="3" a="1"/>
  <c r="AD2" i="3" s="1"/>
  <c r="AE34" i="4" a="1"/>
  <c r="AE34" i="4" s="1"/>
  <c r="AE31" i="4" a="1"/>
  <c r="AE31" i="4" s="1"/>
  <c r="AE28" i="4" a="1"/>
  <c r="AE28" i="4" s="1"/>
  <c r="AE23" i="4" a="1"/>
  <c r="AE23" i="4" s="1"/>
  <c r="AE18" i="4" a="1"/>
  <c r="AE18" i="4" s="1"/>
  <c r="AE2" i="4" a="1"/>
  <c r="AE2" i="4" s="1"/>
  <c r="AD34" i="5" a="1"/>
  <c r="AD34" i="5" s="1"/>
  <c r="AD31" i="5" a="1"/>
  <c r="AD31" i="5" s="1"/>
  <c r="AD28" i="5" a="1"/>
  <c r="AD28" i="5" s="1"/>
  <c r="AD23" i="5" a="1"/>
  <c r="AD23" i="5" s="1"/>
  <c r="AD18" i="5" a="1"/>
  <c r="AD18" i="5" s="1"/>
  <c r="AD2" i="5" a="1"/>
  <c r="AD2" i="5" s="1"/>
  <c r="AD34" i="6" a="1"/>
  <c r="AD34" i="6" s="1"/>
  <c r="AD31" i="6" a="1"/>
  <c r="AD31" i="6" s="1"/>
  <c r="AD28" i="6" a="1"/>
  <c r="AD28" i="6" s="1"/>
  <c r="AD23" i="6" a="1"/>
  <c r="AD23" i="6" s="1"/>
  <c r="AD18" i="6" a="1"/>
  <c r="AD18" i="6" s="1"/>
  <c r="AD2" i="6" a="1"/>
  <c r="AD2" i="6" s="1"/>
  <c r="AD34" i="7" a="1"/>
  <c r="AD34" i="7" s="1"/>
  <c r="AD31" i="7" a="1"/>
  <c r="AD31" i="7" s="1"/>
  <c r="AD28" i="7" a="1"/>
  <c r="AD28" i="7" s="1"/>
  <c r="AD23" i="7" a="1"/>
  <c r="AD23" i="7" s="1"/>
  <c r="AD18" i="7" a="1"/>
  <c r="AD18" i="7" s="1"/>
  <c r="AD2" i="7" a="1"/>
  <c r="AD2" i="7" s="1"/>
  <c r="AD34" i="8" a="1"/>
  <c r="AD34" i="8" s="1"/>
  <c r="AD31" i="8" a="1"/>
  <c r="AD31" i="8" s="1"/>
  <c r="AD28" i="8" a="1"/>
  <c r="AD28" i="8" s="1"/>
  <c r="AD23" i="8" a="1"/>
  <c r="AD23" i="8" s="1"/>
  <c r="AD18" i="8" a="1"/>
  <c r="AD18" i="8" s="1"/>
  <c r="AD2" i="8" a="1"/>
  <c r="AD2" i="8" s="1"/>
  <c r="AD34" i="9" a="1"/>
  <c r="AD34" i="9" s="1"/>
  <c r="AD31" i="9" a="1"/>
  <c r="AD31" i="9" s="1"/>
  <c r="AD28" i="9" a="1"/>
  <c r="AD28" i="9" s="1"/>
  <c r="AD23" i="9" a="1"/>
  <c r="AD23" i="9" s="1"/>
  <c r="AD18" i="9" a="1"/>
  <c r="AD18" i="9" s="1"/>
  <c r="AD2" i="9" a="1"/>
  <c r="AD2" i="9" s="1"/>
  <c r="AD34" i="10" a="1"/>
  <c r="AD34" i="10" s="1"/>
  <c r="AD31" i="10" a="1"/>
  <c r="AD31" i="10" s="1"/>
  <c r="AD28" i="10" a="1"/>
  <c r="AD28" i="10" s="1"/>
  <c r="AD23" i="10" a="1"/>
  <c r="AD23" i="10" s="1"/>
  <c r="AD18" i="10" a="1"/>
  <c r="AD18" i="10" s="1"/>
  <c r="AD2" i="10" a="1"/>
  <c r="AD2" i="10" s="1"/>
  <c r="AD34" i="11" a="1"/>
  <c r="AD34" i="11" s="1"/>
  <c r="AD31" i="11" a="1"/>
  <c r="AD31" i="11" s="1"/>
  <c r="AD28" i="11" a="1"/>
  <c r="AD28" i="11" s="1"/>
  <c r="AD23" i="11" a="1"/>
  <c r="AD23" i="11" s="1"/>
  <c r="AD18" i="11" a="1"/>
  <c r="AD18" i="11" s="1"/>
  <c r="AD2" i="11" a="1"/>
  <c r="AD2" i="11" s="1"/>
  <c r="AD34" i="12" a="1"/>
  <c r="AD34" i="12" s="1"/>
  <c r="AD31" i="12" a="1"/>
  <c r="AD31" i="12" s="1"/>
  <c r="AD28" i="12" a="1"/>
  <c r="AD28" i="12" s="1"/>
  <c r="AD23" i="12" a="1"/>
  <c r="AD23" i="12" s="1"/>
  <c r="AD18" i="12" a="1"/>
  <c r="AD18" i="12" s="1"/>
  <c r="AD2" i="12" a="1"/>
  <c r="AD2" i="12" s="1"/>
  <c r="AD34" i="13" a="1"/>
  <c r="AD34" i="13" s="1"/>
  <c r="AD31" i="13" a="1"/>
  <c r="AD31" i="13" s="1"/>
  <c r="AD28" i="13" a="1"/>
  <c r="AD28" i="13" s="1"/>
  <c r="AD23" i="13" a="1"/>
  <c r="AD23" i="13" s="1"/>
  <c r="AD18" i="13" a="1"/>
  <c r="AD18" i="13" s="1"/>
  <c r="AD2" i="13" a="1"/>
  <c r="AD2" i="13" s="1"/>
  <c r="AD34" i="14" a="1"/>
  <c r="AD34" i="14" s="1"/>
  <c r="AD31" i="14" a="1"/>
  <c r="AD31" i="14" s="1"/>
  <c r="AD28" i="14" a="1"/>
  <c r="AD28" i="14" s="1"/>
  <c r="AD23" i="14" a="1"/>
  <c r="AD23" i="14" s="1"/>
  <c r="AD18" i="14" a="1"/>
  <c r="AD18" i="14" s="1"/>
  <c r="AD2" i="14" a="1"/>
  <c r="AD2" i="14" s="1"/>
  <c r="AD34" i="1" a="1"/>
  <c r="AD34" i="1" s="1"/>
  <c r="AD31" i="1" a="1"/>
  <c r="AD31" i="1" s="1"/>
  <c r="AD28" i="1" a="1"/>
  <c r="AD28" i="1" s="1"/>
  <c r="AD23" i="1" a="1"/>
  <c r="AD23" i="1" s="1"/>
  <c r="AD18" i="1" a="1"/>
  <c r="AD18" i="1" s="1"/>
  <c r="AD2" i="1" a="1"/>
  <c r="AD2" i="1" s="1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AC39" i="2" a="1"/>
  <c r="AC39" i="2" s="1"/>
  <c r="AB39" i="2" a="1"/>
  <c r="AB39" i="2" s="1"/>
  <c r="AA39" i="2" a="1"/>
  <c r="AA39" i="2" s="1"/>
  <c r="Z39" i="2" a="1"/>
  <c r="Z39" i="2" s="1"/>
  <c r="Y39" i="2" a="1"/>
  <c r="Y39" i="2" s="1"/>
  <c r="X39" i="2" a="1"/>
  <c r="X39" i="2" s="1"/>
  <c r="W39" i="2" a="1"/>
  <c r="W39" i="2" s="1"/>
  <c r="V39" i="2" a="1"/>
  <c r="V39" i="2" s="1"/>
  <c r="U39" i="2" a="1"/>
  <c r="U39" i="2" s="1"/>
  <c r="T39" i="2" a="1"/>
  <c r="T39" i="2" s="1"/>
  <c r="S39" i="2" a="1"/>
  <c r="S39" i="2" s="1"/>
  <c r="R39" i="2" a="1"/>
  <c r="R39" i="2" s="1"/>
  <c r="Q39" i="2" a="1"/>
  <c r="Q39" i="2" s="1"/>
  <c r="P39" i="2" a="1"/>
  <c r="P39" i="2" s="1"/>
  <c r="O39" i="2" a="1"/>
  <c r="O39" i="2" s="1"/>
  <c r="N39" i="2" a="1"/>
  <c r="N39" i="2" s="1"/>
  <c r="M39" i="2" a="1"/>
  <c r="M39" i="2" s="1"/>
  <c r="L39" i="2" a="1"/>
  <c r="L39" i="2" s="1"/>
  <c r="K39" i="2" a="1"/>
  <c r="K39" i="2" s="1"/>
  <c r="J39" i="2" a="1"/>
  <c r="J39" i="2" s="1"/>
  <c r="I39" i="2" a="1"/>
  <c r="I39" i="2" s="1"/>
  <c r="H39" i="2" a="1"/>
  <c r="H39" i="2" s="1"/>
  <c r="G39" i="2" a="1"/>
  <c r="G39" i="2" s="1"/>
  <c r="F39" i="2" a="1"/>
  <c r="F39" i="2" s="1"/>
  <c r="E39" i="2" a="1"/>
  <c r="E39" i="2" s="1"/>
  <c r="D39" i="2" a="1"/>
  <c r="D39" i="2" s="1"/>
  <c r="C39" i="2" a="1"/>
  <c r="C39" i="2" s="1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AC39" i="3" a="1"/>
  <c r="AC39" i="3" s="1"/>
  <c r="AB39" i="3" a="1"/>
  <c r="AB39" i="3" s="1"/>
  <c r="AA39" i="3" a="1"/>
  <c r="AA39" i="3" s="1"/>
  <c r="Z39" i="3" a="1"/>
  <c r="Z39" i="3" s="1"/>
  <c r="Y39" i="3" a="1"/>
  <c r="Y39" i="3" s="1"/>
  <c r="X39" i="3" a="1"/>
  <c r="X39" i="3" s="1"/>
  <c r="W39" i="3" a="1"/>
  <c r="W39" i="3" s="1"/>
  <c r="V39" i="3" a="1"/>
  <c r="V39" i="3" s="1"/>
  <c r="U39" i="3" a="1"/>
  <c r="U39" i="3" s="1"/>
  <c r="T39" i="3" a="1"/>
  <c r="T39" i="3" s="1"/>
  <c r="S39" i="3" a="1"/>
  <c r="S39" i="3" s="1"/>
  <c r="R39" i="3" a="1"/>
  <c r="R39" i="3" s="1"/>
  <c r="Q39" i="3" a="1"/>
  <c r="Q39" i="3" s="1"/>
  <c r="P39" i="3" a="1"/>
  <c r="P39" i="3" s="1"/>
  <c r="O39" i="3" a="1"/>
  <c r="O39" i="3" s="1"/>
  <c r="N39" i="3" a="1"/>
  <c r="N39" i="3" s="1"/>
  <c r="M39" i="3" a="1"/>
  <c r="M39" i="3" s="1"/>
  <c r="L39" i="3" a="1"/>
  <c r="L39" i="3" s="1"/>
  <c r="K39" i="3" a="1"/>
  <c r="K39" i="3" s="1"/>
  <c r="J39" i="3" a="1"/>
  <c r="J39" i="3" s="1"/>
  <c r="I39" i="3" a="1"/>
  <c r="I39" i="3" s="1"/>
  <c r="H39" i="3" a="1"/>
  <c r="H39" i="3" s="1"/>
  <c r="G39" i="3" a="1"/>
  <c r="G39" i="3" s="1"/>
  <c r="F39" i="3" a="1"/>
  <c r="F39" i="3" s="1"/>
  <c r="E39" i="3" a="1"/>
  <c r="E39" i="3" s="1"/>
  <c r="D39" i="3" a="1"/>
  <c r="D39" i="3" s="1"/>
  <c r="C39" i="3" a="1"/>
  <c r="C39" i="3" s="1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AD39" i="4" a="1"/>
  <c r="AD39" i="4" s="1"/>
  <c r="AC39" i="4" a="1"/>
  <c r="AC39" i="4" s="1"/>
  <c r="AB39" i="4" a="1"/>
  <c r="AB39" i="4" s="1"/>
  <c r="AA39" i="4" a="1"/>
  <c r="AA39" i="4" s="1"/>
  <c r="Z39" i="4" a="1"/>
  <c r="Z39" i="4" s="1"/>
  <c r="Y39" i="4" a="1"/>
  <c r="Y39" i="4" s="1"/>
  <c r="X39" i="4" a="1"/>
  <c r="X39" i="4" s="1"/>
  <c r="W39" i="4" a="1"/>
  <c r="W39" i="4" s="1"/>
  <c r="V39" i="4" a="1"/>
  <c r="V39" i="4" s="1"/>
  <c r="U39" i="4" a="1"/>
  <c r="U39" i="4" s="1"/>
  <c r="T39" i="4" a="1"/>
  <c r="T39" i="4" s="1"/>
  <c r="S39" i="4" a="1"/>
  <c r="S39" i="4" s="1"/>
  <c r="R39" i="4" a="1"/>
  <c r="R39" i="4" s="1"/>
  <c r="Q39" i="4" a="1"/>
  <c r="Q39" i="4" s="1"/>
  <c r="P39" i="4" a="1"/>
  <c r="P39" i="4" s="1"/>
  <c r="O39" i="4" a="1"/>
  <c r="O39" i="4" s="1"/>
  <c r="N39" i="4" a="1"/>
  <c r="N39" i="4" s="1"/>
  <c r="M39" i="4" a="1"/>
  <c r="M39" i="4" s="1"/>
  <c r="L39" i="4" a="1"/>
  <c r="L39" i="4" s="1"/>
  <c r="K39" i="4" a="1"/>
  <c r="K39" i="4" s="1"/>
  <c r="J39" i="4" a="1"/>
  <c r="J39" i="4" s="1"/>
  <c r="I39" i="4" a="1"/>
  <c r="I39" i="4" s="1"/>
  <c r="H39" i="4" a="1"/>
  <c r="H39" i="4" s="1"/>
  <c r="G39" i="4" a="1"/>
  <c r="G39" i="4" s="1"/>
  <c r="F39" i="4" a="1"/>
  <c r="F39" i="4" s="1"/>
  <c r="E39" i="4" a="1"/>
  <c r="E39" i="4" s="1"/>
  <c r="D39" i="4" a="1"/>
  <c r="D39" i="4" s="1"/>
  <c r="AC43" i="5"/>
  <c r="AB43" i="5"/>
  <c r="AA43" i="5"/>
  <c r="Z43" i="5"/>
  <c r="Y43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AC39" i="5" a="1"/>
  <c r="AC39" i="5" s="1"/>
  <c r="AB39" i="5" a="1"/>
  <c r="AB39" i="5" s="1"/>
  <c r="AA39" i="5" a="1"/>
  <c r="AA39" i="5" s="1"/>
  <c r="Z39" i="5" a="1"/>
  <c r="Z39" i="5" s="1"/>
  <c r="Y39" i="5" a="1"/>
  <c r="Y39" i="5" s="1"/>
  <c r="X39" i="5" a="1"/>
  <c r="X39" i="5" s="1"/>
  <c r="W39" i="5" a="1"/>
  <c r="W39" i="5" s="1"/>
  <c r="V39" i="5" a="1"/>
  <c r="V39" i="5" s="1"/>
  <c r="U39" i="5" a="1"/>
  <c r="U39" i="5" s="1"/>
  <c r="T39" i="5" a="1"/>
  <c r="T39" i="5" s="1"/>
  <c r="S39" i="5" a="1"/>
  <c r="S39" i="5" s="1"/>
  <c r="R39" i="5" a="1"/>
  <c r="R39" i="5" s="1"/>
  <c r="Q39" i="5" a="1"/>
  <c r="Q39" i="5" s="1"/>
  <c r="P39" i="5" a="1"/>
  <c r="P39" i="5" s="1"/>
  <c r="O39" i="5" a="1"/>
  <c r="O39" i="5" s="1"/>
  <c r="N39" i="5" a="1"/>
  <c r="N39" i="5" s="1"/>
  <c r="M39" i="5" a="1"/>
  <c r="M39" i="5" s="1"/>
  <c r="L39" i="5" a="1"/>
  <c r="L39" i="5" s="1"/>
  <c r="K39" i="5" a="1"/>
  <c r="K39" i="5" s="1"/>
  <c r="J39" i="5" a="1"/>
  <c r="J39" i="5" s="1"/>
  <c r="I39" i="5" a="1"/>
  <c r="I39" i="5" s="1"/>
  <c r="H39" i="5" a="1"/>
  <c r="H39" i="5" s="1"/>
  <c r="G39" i="5" a="1"/>
  <c r="G39" i="5" s="1"/>
  <c r="F39" i="5" a="1"/>
  <c r="F39" i="5" s="1"/>
  <c r="E39" i="5" a="1"/>
  <c r="E39" i="5" s="1"/>
  <c r="D39" i="5" a="1"/>
  <c r="D39" i="5" s="1"/>
  <c r="C39" i="5" a="1"/>
  <c r="C39" i="5" s="1"/>
  <c r="AC43" i="6"/>
  <c r="AB43" i="6"/>
  <c r="AA43" i="6"/>
  <c r="Z43" i="6"/>
  <c r="Y43" i="6"/>
  <c r="X43" i="6"/>
  <c r="W43" i="6"/>
  <c r="V43" i="6"/>
  <c r="U43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G43" i="6"/>
  <c r="F43" i="6"/>
  <c r="E43" i="6"/>
  <c r="D43" i="6"/>
  <c r="C43" i="6"/>
  <c r="AC39" i="6" a="1"/>
  <c r="AC39" i="6" s="1"/>
  <c r="AB39" i="6" a="1"/>
  <c r="AB39" i="6" s="1"/>
  <c r="AA39" i="6" a="1"/>
  <c r="AA39" i="6" s="1"/>
  <c r="Z39" i="6" a="1"/>
  <c r="Z39" i="6" s="1"/>
  <c r="Y39" i="6" a="1"/>
  <c r="Y39" i="6" s="1"/>
  <c r="X39" i="6" a="1"/>
  <c r="X39" i="6" s="1"/>
  <c r="W39" i="6" a="1"/>
  <c r="W39" i="6" s="1"/>
  <c r="V39" i="6" a="1"/>
  <c r="V39" i="6" s="1"/>
  <c r="U39" i="6" a="1"/>
  <c r="U39" i="6" s="1"/>
  <c r="T39" i="6" a="1"/>
  <c r="T39" i="6" s="1"/>
  <c r="S39" i="6" a="1"/>
  <c r="S39" i="6" s="1"/>
  <c r="R39" i="6" a="1"/>
  <c r="R39" i="6" s="1"/>
  <c r="Q39" i="6"/>
  <c r="Q39" i="6" a="1"/>
  <c r="P39" i="6" a="1"/>
  <c r="P39" i="6" s="1"/>
  <c r="O39" i="6" a="1"/>
  <c r="O39" i="6" s="1"/>
  <c r="N39" i="6" a="1"/>
  <c r="N39" i="6" s="1"/>
  <c r="M39" i="6" a="1"/>
  <c r="M39" i="6" s="1"/>
  <c r="L39" i="6" a="1"/>
  <c r="L39" i="6" s="1"/>
  <c r="K39" i="6" a="1"/>
  <c r="K39" i="6" s="1"/>
  <c r="J39" i="6" a="1"/>
  <c r="J39" i="6" s="1"/>
  <c r="I39" i="6" a="1"/>
  <c r="I39" i="6" s="1"/>
  <c r="H39" i="6" a="1"/>
  <c r="H39" i="6" s="1"/>
  <c r="G39" i="6" a="1"/>
  <c r="G39" i="6" s="1"/>
  <c r="F39" i="6" a="1"/>
  <c r="F39" i="6" s="1"/>
  <c r="E39" i="6" a="1"/>
  <c r="E39" i="6" s="1"/>
  <c r="D39" i="6" a="1"/>
  <c r="D39" i="6" s="1"/>
  <c r="C39" i="6" a="1"/>
  <c r="C39" i="6" s="1"/>
  <c r="AC43" i="7"/>
  <c r="AB43" i="7"/>
  <c r="AA43" i="7"/>
  <c r="Z43" i="7"/>
  <c r="Y43" i="7"/>
  <c r="X43" i="7"/>
  <c r="W43" i="7"/>
  <c r="V43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AC39" i="7" a="1"/>
  <c r="AC39" i="7" s="1"/>
  <c r="AB39" i="7" a="1"/>
  <c r="AB39" i="7" s="1"/>
  <c r="AA39" i="7" a="1"/>
  <c r="AA39" i="7" s="1"/>
  <c r="Z39" i="7" a="1"/>
  <c r="Z39" i="7" s="1"/>
  <c r="Y39" i="7" a="1"/>
  <c r="Y39" i="7" s="1"/>
  <c r="X39" i="7" a="1"/>
  <c r="X39" i="7" s="1"/>
  <c r="W39" i="7" a="1"/>
  <c r="W39" i="7" s="1"/>
  <c r="V39" i="7" a="1"/>
  <c r="V39" i="7" s="1"/>
  <c r="U39" i="7" a="1"/>
  <c r="U39" i="7" s="1"/>
  <c r="T39" i="7" a="1"/>
  <c r="T39" i="7" s="1"/>
  <c r="S39" i="7" a="1"/>
  <c r="S39" i="7" s="1"/>
  <c r="R39" i="7" a="1"/>
  <c r="R39" i="7" s="1"/>
  <c r="Q39" i="7" a="1"/>
  <c r="Q39" i="7" s="1"/>
  <c r="P39" i="7" a="1"/>
  <c r="P39" i="7" s="1"/>
  <c r="O39" i="7" a="1"/>
  <c r="O39" i="7" s="1"/>
  <c r="N39" i="7" a="1"/>
  <c r="N39" i="7" s="1"/>
  <c r="M39" i="7" a="1"/>
  <c r="M39" i="7" s="1"/>
  <c r="L39" i="7" a="1"/>
  <c r="L39" i="7" s="1"/>
  <c r="K39" i="7" a="1"/>
  <c r="K39" i="7" s="1"/>
  <c r="J39" i="7" a="1"/>
  <c r="J39" i="7" s="1"/>
  <c r="I39" i="7" a="1"/>
  <c r="I39" i="7" s="1"/>
  <c r="H39" i="7" a="1"/>
  <c r="H39" i="7" s="1"/>
  <c r="G39" i="7" a="1"/>
  <c r="G39" i="7" s="1"/>
  <c r="F39" i="7" a="1"/>
  <c r="F39" i="7" s="1"/>
  <c r="E39" i="7" a="1"/>
  <c r="E39" i="7" s="1"/>
  <c r="D39" i="7" a="1"/>
  <c r="D39" i="7" s="1"/>
  <c r="C39" i="7" a="1"/>
  <c r="C39" i="7" s="1"/>
  <c r="AC43" i="8"/>
  <c r="AB43" i="8"/>
  <c r="AA43" i="8"/>
  <c r="Z43" i="8"/>
  <c r="Y43" i="8"/>
  <c r="X43" i="8"/>
  <c r="W43" i="8"/>
  <c r="V43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F43" i="8"/>
  <c r="E43" i="8"/>
  <c r="D43" i="8"/>
  <c r="C43" i="8"/>
  <c r="AC39" i="8" a="1"/>
  <c r="AC39" i="8" s="1"/>
  <c r="AB39" i="8" a="1"/>
  <c r="AB39" i="8" s="1"/>
  <c r="AA39" i="8" a="1"/>
  <c r="AA39" i="8" s="1"/>
  <c r="Z39" i="8" a="1"/>
  <c r="Z39" i="8" s="1"/>
  <c r="Y39" i="8" a="1"/>
  <c r="Y39" i="8" s="1"/>
  <c r="X39" i="8" a="1"/>
  <c r="X39" i="8" s="1"/>
  <c r="W39" i="8" a="1"/>
  <c r="W39" i="8" s="1"/>
  <c r="V39" i="8" a="1"/>
  <c r="V39" i="8" s="1"/>
  <c r="U39" i="8" a="1"/>
  <c r="U39" i="8" s="1"/>
  <c r="T39" i="8" a="1"/>
  <c r="T39" i="8" s="1"/>
  <c r="S39" i="8" a="1"/>
  <c r="S39" i="8" s="1"/>
  <c r="R39" i="8" a="1"/>
  <c r="R39" i="8" s="1"/>
  <c r="Q39" i="8" a="1"/>
  <c r="Q39" i="8" s="1"/>
  <c r="P39" i="8" a="1"/>
  <c r="P39" i="8" s="1"/>
  <c r="O39" i="8" a="1"/>
  <c r="O39" i="8" s="1"/>
  <c r="N39" i="8" a="1"/>
  <c r="N39" i="8" s="1"/>
  <c r="M39" i="8" a="1"/>
  <c r="M39" i="8" s="1"/>
  <c r="L39" i="8" a="1"/>
  <c r="L39" i="8" s="1"/>
  <c r="K39" i="8" a="1"/>
  <c r="K39" i="8" s="1"/>
  <c r="J39" i="8" a="1"/>
  <c r="J39" i="8" s="1"/>
  <c r="I39" i="8" a="1"/>
  <c r="I39" i="8" s="1"/>
  <c r="H39" i="8" a="1"/>
  <c r="H39" i="8" s="1"/>
  <c r="G39" i="8" a="1"/>
  <c r="G39" i="8" s="1"/>
  <c r="F39" i="8" a="1"/>
  <c r="F39" i="8" s="1"/>
  <c r="E39" i="8" a="1"/>
  <c r="E39" i="8" s="1"/>
  <c r="D39" i="8" a="1"/>
  <c r="D39" i="8" s="1"/>
  <c r="C39" i="8" a="1"/>
  <c r="C39" i="8" s="1"/>
  <c r="AC43" i="9"/>
  <c r="AB43" i="9"/>
  <c r="AA43" i="9"/>
  <c r="Z43" i="9"/>
  <c r="Y43" i="9"/>
  <c r="X43" i="9"/>
  <c r="W43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AC39" i="9" a="1"/>
  <c r="AC39" i="9" s="1"/>
  <c r="AB39" i="9" a="1"/>
  <c r="AB39" i="9" s="1"/>
  <c r="AA39" i="9" a="1"/>
  <c r="AA39" i="9" s="1"/>
  <c r="Z39" i="9" a="1"/>
  <c r="Z39" i="9" s="1"/>
  <c r="Y39" i="9" a="1"/>
  <c r="Y39" i="9" s="1"/>
  <c r="X39" i="9" a="1"/>
  <c r="X39" i="9" s="1"/>
  <c r="W39" i="9" a="1"/>
  <c r="W39" i="9" s="1"/>
  <c r="V39" i="9" a="1"/>
  <c r="V39" i="9" s="1"/>
  <c r="U39" i="9" a="1"/>
  <c r="U39" i="9" s="1"/>
  <c r="T39" i="9" a="1"/>
  <c r="T39" i="9" s="1"/>
  <c r="S39" i="9" a="1"/>
  <c r="S39" i="9" s="1"/>
  <c r="R39" i="9" a="1"/>
  <c r="R39" i="9" s="1"/>
  <c r="Q39" i="9" a="1"/>
  <c r="Q39" i="9" s="1"/>
  <c r="P39" i="9" a="1"/>
  <c r="P39" i="9" s="1"/>
  <c r="O39" i="9" a="1"/>
  <c r="O39" i="9" s="1"/>
  <c r="N39" i="9" a="1"/>
  <c r="N39" i="9" s="1"/>
  <c r="M39" i="9" a="1"/>
  <c r="M39" i="9" s="1"/>
  <c r="L39" i="9" a="1"/>
  <c r="L39" i="9" s="1"/>
  <c r="K39" i="9" a="1"/>
  <c r="K39" i="9" s="1"/>
  <c r="J39" i="9" a="1"/>
  <c r="J39" i="9" s="1"/>
  <c r="I39" i="9" a="1"/>
  <c r="I39" i="9" s="1"/>
  <c r="H39" i="9" a="1"/>
  <c r="H39" i="9" s="1"/>
  <c r="G39" i="9" a="1"/>
  <c r="G39" i="9" s="1"/>
  <c r="F39" i="9" a="1"/>
  <c r="F39" i="9" s="1"/>
  <c r="E39" i="9" a="1"/>
  <c r="E39" i="9" s="1"/>
  <c r="D39" i="9" a="1"/>
  <c r="D39" i="9" s="1"/>
  <c r="C39" i="9" a="1"/>
  <c r="C39" i="9" s="1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AC39" i="10"/>
  <c r="AD39" i="10" s="1" a="1"/>
  <c r="AD39" i="10" s="1"/>
  <c r="AC39" i="10" a="1"/>
  <c r="AB39" i="10" a="1"/>
  <c r="AB39" i="10" s="1"/>
  <c r="AA39" i="10" a="1"/>
  <c r="AA39" i="10" s="1"/>
  <c r="Z39" i="10" a="1"/>
  <c r="Z39" i="10" s="1"/>
  <c r="Y39" i="10" a="1"/>
  <c r="Y39" i="10" s="1"/>
  <c r="X39" i="10" a="1"/>
  <c r="X39" i="10" s="1"/>
  <c r="W39" i="10" a="1"/>
  <c r="W39" i="10" s="1"/>
  <c r="V39" i="10" a="1"/>
  <c r="V39" i="10" s="1"/>
  <c r="U39" i="10" a="1"/>
  <c r="U39" i="10" s="1"/>
  <c r="T39" i="10" a="1"/>
  <c r="T39" i="10" s="1"/>
  <c r="S39" i="10" a="1"/>
  <c r="S39" i="10" s="1"/>
  <c r="R39" i="10" a="1"/>
  <c r="R39" i="10" s="1"/>
  <c r="Q39" i="10" a="1"/>
  <c r="Q39" i="10" s="1"/>
  <c r="P39" i="10" a="1"/>
  <c r="P39" i="10" s="1"/>
  <c r="O39" i="10" a="1"/>
  <c r="O39" i="10" s="1"/>
  <c r="N39" i="10" a="1"/>
  <c r="N39" i="10" s="1"/>
  <c r="M39" i="10" a="1"/>
  <c r="M39" i="10" s="1"/>
  <c r="L39" i="10" a="1"/>
  <c r="L39" i="10" s="1"/>
  <c r="K39" i="10" a="1"/>
  <c r="K39" i="10" s="1"/>
  <c r="J39" i="10" a="1"/>
  <c r="J39" i="10" s="1"/>
  <c r="I39" i="10" a="1"/>
  <c r="I39" i="10" s="1"/>
  <c r="H39" i="10" a="1"/>
  <c r="H39" i="10" s="1"/>
  <c r="G39" i="10" a="1"/>
  <c r="G39" i="10" s="1"/>
  <c r="F39" i="10" a="1"/>
  <c r="F39" i="10" s="1"/>
  <c r="E39" i="10" a="1"/>
  <c r="E39" i="10" s="1"/>
  <c r="D39" i="10" a="1"/>
  <c r="D39" i="10" s="1"/>
  <c r="C39" i="10"/>
  <c r="C39" i="10" a="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AC39" i="11" a="1"/>
  <c r="AC39" i="11" s="1"/>
  <c r="AB39" i="11" a="1"/>
  <c r="AB39" i="11" s="1"/>
  <c r="AA39" i="11" a="1"/>
  <c r="AA39" i="11" s="1"/>
  <c r="Z39" i="11"/>
  <c r="Z39" i="11" a="1"/>
  <c r="Y39" i="11" a="1"/>
  <c r="Y39" i="11" s="1"/>
  <c r="X39" i="11" a="1"/>
  <c r="X39" i="11" s="1"/>
  <c r="W39" i="11" a="1"/>
  <c r="W39" i="11" s="1"/>
  <c r="V39" i="11" a="1"/>
  <c r="V39" i="11" s="1"/>
  <c r="U39" i="11" a="1"/>
  <c r="U39" i="11" s="1"/>
  <c r="T39" i="11" a="1"/>
  <c r="T39" i="11" s="1"/>
  <c r="S39" i="11" a="1"/>
  <c r="S39" i="11" s="1"/>
  <c r="R39" i="11" a="1"/>
  <c r="R39" i="11" s="1"/>
  <c r="Q39" i="11" a="1"/>
  <c r="Q39" i="11" s="1"/>
  <c r="P39" i="11" a="1"/>
  <c r="P39" i="11" s="1"/>
  <c r="O39" i="11" a="1"/>
  <c r="O39" i="11" s="1"/>
  <c r="N39" i="11" a="1"/>
  <c r="N39" i="11" s="1"/>
  <c r="M39" i="11" a="1"/>
  <c r="M39" i="11" s="1"/>
  <c r="L39" i="11" a="1"/>
  <c r="L39" i="11" s="1"/>
  <c r="K39" i="11" a="1"/>
  <c r="K39" i="11" s="1"/>
  <c r="J39" i="11" a="1"/>
  <c r="J39" i="11" s="1"/>
  <c r="I39" i="11" a="1"/>
  <c r="I39" i="11" s="1"/>
  <c r="H39" i="11" a="1"/>
  <c r="H39" i="11" s="1"/>
  <c r="G39" i="11" a="1"/>
  <c r="G39" i="11" s="1"/>
  <c r="F39" i="11" a="1"/>
  <c r="F39" i="11" s="1"/>
  <c r="E39" i="11" a="1"/>
  <c r="E39" i="11" s="1"/>
  <c r="D39" i="11" a="1"/>
  <c r="D39" i="11" s="1"/>
  <c r="C39" i="11" a="1"/>
  <c r="C39" i="11" s="1"/>
  <c r="AC43" i="12"/>
  <c r="AB43" i="12"/>
  <c r="AA43" i="12"/>
  <c r="Z43" i="12"/>
  <c r="Y43" i="12"/>
  <c r="X43" i="12"/>
  <c r="W43" i="12"/>
  <c r="V43" i="12"/>
  <c r="U43" i="12"/>
  <c r="T43" i="12"/>
  <c r="S43" i="12"/>
  <c r="R43" i="12"/>
  <c r="Q43" i="12"/>
  <c r="P43" i="12"/>
  <c r="O43" i="12"/>
  <c r="N43" i="12"/>
  <c r="M43" i="12"/>
  <c r="L43" i="12"/>
  <c r="K43" i="12"/>
  <c r="J43" i="12"/>
  <c r="I43" i="12"/>
  <c r="H43" i="12"/>
  <c r="G43" i="12"/>
  <c r="F43" i="12"/>
  <c r="E43" i="12"/>
  <c r="D43" i="12"/>
  <c r="C43" i="12"/>
  <c r="AC39" i="12" a="1"/>
  <c r="AC39" i="12" s="1"/>
  <c r="AD39" i="12" s="1" a="1"/>
  <c r="AD39" i="12" s="1"/>
  <c r="AB39" i="12" a="1"/>
  <c r="AB39" i="12" s="1"/>
  <c r="AA39" i="12" a="1"/>
  <c r="AA39" i="12" s="1"/>
  <c r="Z39" i="12" a="1"/>
  <c r="Z39" i="12" s="1"/>
  <c r="Y39" i="12" a="1"/>
  <c r="Y39" i="12" s="1"/>
  <c r="X39" i="12" a="1"/>
  <c r="X39" i="12" s="1"/>
  <c r="W39" i="12" a="1"/>
  <c r="W39" i="12" s="1"/>
  <c r="V39" i="12" a="1"/>
  <c r="V39" i="12" s="1"/>
  <c r="U39" i="12" a="1"/>
  <c r="U39" i="12" s="1"/>
  <c r="T39" i="12" a="1"/>
  <c r="T39" i="12" s="1"/>
  <c r="S39" i="12" a="1"/>
  <c r="S39" i="12" s="1"/>
  <c r="R39" i="12" a="1"/>
  <c r="R39" i="12" s="1"/>
  <c r="Q39" i="12" a="1"/>
  <c r="Q39" i="12" s="1"/>
  <c r="P39" i="12" a="1"/>
  <c r="P39" i="12" s="1"/>
  <c r="O39" i="12" a="1"/>
  <c r="O39" i="12" s="1"/>
  <c r="N39" i="12" a="1"/>
  <c r="N39" i="12" s="1"/>
  <c r="M39" i="12" a="1"/>
  <c r="M39" i="12" s="1"/>
  <c r="L39" i="12" a="1"/>
  <c r="L39" i="12" s="1"/>
  <c r="K39" i="12" a="1"/>
  <c r="K39" i="12" s="1"/>
  <c r="J39" i="12" a="1"/>
  <c r="J39" i="12" s="1"/>
  <c r="I39" i="12" a="1"/>
  <c r="I39" i="12" s="1"/>
  <c r="H39" i="12" a="1"/>
  <c r="H39" i="12" s="1"/>
  <c r="G39" i="12" a="1"/>
  <c r="G39" i="12" s="1"/>
  <c r="F39" i="12" a="1"/>
  <c r="F39" i="12" s="1"/>
  <c r="E39" i="12" a="1"/>
  <c r="E39" i="12" s="1"/>
  <c r="D39" i="12" a="1"/>
  <c r="D39" i="12" s="1"/>
  <c r="C39" i="12" a="1"/>
  <c r="C39" i="12" s="1"/>
  <c r="AC43" i="13"/>
  <c r="AB43" i="13"/>
  <c r="AA43" i="13"/>
  <c r="Z43" i="13"/>
  <c r="Y43" i="13"/>
  <c r="X43" i="13"/>
  <c r="W43" i="13"/>
  <c r="V43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AC39" i="13" a="1"/>
  <c r="AC39" i="13" s="1"/>
  <c r="AB39" i="13" a="1"/>
  <c r="AB39" i="13" s="1"/>
  <c r="AA39" i="13"/>
  <c r="AA39" i="13" a="1"/>
  <c r="Z39" i="13" a="1"/>
  <c r="Z39" i="13" s="1"/>
  <c r="Y39" i="13" a="1"/>
  <c r="Y39" i="13" s="1"/>
  <c r="X39" i="13" a="1"/>
  <c r="X39" i="13" s="1"/>
  <c r="W39" i="13" a="1"/>
  <c r="W39" i="13" s="1"/>
  <c r="V39" i="13" a="1"/>
  <c r="V39" i="13" s="1"/>
  <c r="U39" i="13" a="1"/>
  <c r="U39" i="13" s="1"/>
  <c r="T39" i="13" a="1"/>
  <c r="T39" i="13" s="1"/>
  <c r="S39" i="13" a="1"/>
  <c r="S39" i="13" s="1"/>
  <c r="R39" i="13" a="1"/>
  <c r="R39" i="13" s="1"/>
  <c r="Q39" i="13" a="1"/>
  <c r="Q39" i="13" s="1"/>
  <c r="P39" i="13" a="1"/>
  <c r="P39" i="13" s="1"/>
  <c r="O39" i="13" a="1"/>
  <c r="O39" i="13" s="1"/>
  <c r="N39" i="13" a="1"/>
  <c r="N39" i="13" s="1"/>
  <c r="M39" i="13" a="1"/>
  <c r="M39" i="13" s="1"/>
  <c r="L39" i="13" a="1"/>
  <c r="L39" i="13" s="1"/>
  <c r="K39" i="13" a="1"/>
  <c r="K39" i="13" s="1"/>
  <c r="J39" i="13" a="1"/>
  <c r="J39" i="13" s="1"/>
  <c r="I39" i="13" a="1"/>
  <c r="I39" i="13" s="1"/>
  <c r="H39" i="13" a="1"/>
  <c r="H39" i="13" s="1"/>
  <c r="G39" i="13" a="1"/>
  <c r="G39" i="13" s="1"/>
  <c r="F39" i="13" a="1"/>
  <c r="F39" i="13" s="1"/>
  <c r="E39" i="13" a="1"/>
  <c r="E39" i="13" s="1"/>
  <c r="D39" i="13" a="1"/>
  <c r="D39" i="13" s="1"/>
  <c r="C39" i="13" a="1"/>
  <c r="C39" i="13" s="1"/>
  <c r="AC43" i="14"/>
  <c r="AB43" i="14"/>
  <c r="AA43" i="14"/>
  <c r="Z43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AC39" i="14" a="1"/>
  <c r="AC39" i="14" s="1"/>
  <c r="AB39" i="14" a="1"/>
  <c r="AB39" i="14" s="1"/>
  <c r="AA39" i="14"/>
  <c r="AA39" i="14" a="1"/>
  <c r="Z39" i="14" a="1"/>
  <c r="Z39" i="14" s="1"/>
  <c r="Y39" i="14" a="1"/>
  <c r="Y39" i="14" s="1"/>
  <c r="X39" i="14" a="1"/>
  <c r="X39" i="14" s="1"/>
  <c r="W39" i="14" a="1"/>
  <c r="W39" i="14" s="1"/>
  <c r="V39" i="14" a="1"/>
  <c r="V39" i="14" s="1"/>
  <c r="U39" i="14" a="1"/>
  <c r="U39" i="14" s="1"/>
  <c r="T39" i="14" a="1"/>
  <c r="T39" i="14" s="1"/>
  <c r="S39" i="14" a="1"/>
  <c r="S39" i="14" s="1"/>
  <c r="R39" i="14" a="1"/>
  <c r="R39" i="14" s="1"/>
  <c r="Q39" i="14" a="1"/>
  <c r="Q39" i="14" s="1"/>
  <c r="P39" i="14" a="1"/>
  <c r="P39" i="14" s="1"/>
  <c r="O39" i="14" a="1"/>
  <c r="O39" i="14" s="1"/>
  <c r="N39" i="14" a="1"/>
  <c r="N39" i="14" s="1"/>
  <c r="M39" i="14" a="1"/>
  <c r="M39" i="14" s="1"/>
  <c r="L39" i="14" a="1"/>
  <c r="L39" i="14" s="1"/>
  <c r="K39" i="14" a="1"/>
  <c r="K39" i="14" s="1"/>
  <c r="J39" i="14" a="1"/>
  <c r="J39" i="14" s="1"/>
  <c r="I39" i="14" a="1"/>
  <c r="I39" i="14" s="1"/>
  <c r="H39" i="14" a="1"/>
  <c r="H39" i="14" s="1"/>
  <c r="G39" i="14" a="1"/>
  <c r="G39" i="14" s="1"/>
  <c r="F39" i="14" a="1"/>
  <c r="F39" i="14" s="1"/>
  <c r="E39" i="14" a="1"/>
  <c r="E39" i="14" s="1"/>
  <c r="D39" i="14" a="1"/>
  <c r="D39" i="14" s="1"/>
  <c r="C39" i="14" a="1"/>
  <c r="C39" i="14" s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AC39" i="1" a="1"/>
  <c r="AC39" i="1" s="1"/>
  <c r="AB39" i="1" a="1"/>
  <c r="AB39" i="1" s="1"/>
  <c r="AA39" i="1" a="1"/>
  <c r="AA39" i="1" s="1"/>
  <c r="Z39" i="1" a="1"/>
  <c r="Z39" i="1" s="1"/>
  <c r="Y39" i="1" a="1"/>
  <c r="Y39" i="1" s="1"/>
  <c r="X39" i="1" a="1"/>
  <c r="X39" i="1" s="1"/>
  <c r="W39" i="1" a="1"/>
  <c r="W39" i="1" s="1"/>
  <c r="V39" i="1" a="1"/>
  <c r="V39" i="1" s="1"/>
  <c r="U39" i="1" a="1"/>
  <c r="U39" i="1" s="1"/>
  <c r="T39" i="1" a="1"/>
  <c r="T39" i="1" s="1"/>
  <c r="S39" i="1" a="1"/>
  <c r="S39" i="1" s="1"/>
  <c r="R39" i="1" a="1"/>
  <c r="R39" i="1" s="1"/>
  <c r="Q39" i="1" a="1"/>
  <c r="Q39" i="1" s="1"/>
  <c r="P39" i="1" a="1"/>
  <c r="P39" i="1" s="1"/>
  <c r="O39" i="1" a="1"/>
  <c r="O39" i="1" s="1"/>
  <c r="N39" i="1" a="1"/>
  <c r="N39" i="1" s="1"/>
  <c r="M39" i="1" a="1"/>
  <c r="M39" i="1" s="1"/>
  <c r="L39" i="1" a="1"/>
  <c r="L39" i="1" s="1"/>
  <c r="K39" i="1" a="1"/>
  <c r="K39" i="1" s="1"/>
  <c r="J39" i="1" a="1"/>
  <c r="J39" i="1" s="1"/>
  <c r="I39" i="1" a="1"/>
  <c r="I39" i="1" s="1"/>
  <c r="H39" i="1" a="1"/>
  <c r="H39" i="1" s="1"/>
  <c r="G39" i="1" a="1"/>
  <c r="G39" i="1" s="1"/>
  <c r="F39" i="1" a="1"/>
  <c r="F39" i="1" s="1"/>
  <c r="E39" i="1" a="1"/>
  <c r="E39" i="1" s="1"/>
  <c r="D39" i="1" a="1"/>
  <c r="D39" i="1" s="1"/>
  <c r="C39" i="1" a="1"/>
  <c r="C39" i="1" s="1"/>
  <c r="AD39" i="14" l="1" a="1"/>
  <c r="AD39" i="14" s="1"/>
  <c r="AD39" i="13" a="1"/>
  <c r="AD39" i="13" s="1"/>
  <c r="AD39" i="6" a="1"/>
  <c r="AD39" i="6" s="1"/>
  <c r="AD39" i="7" a="1"/>
  <c r="AD39" i="7" s="1"/>
  <c r="AE39" i="4" a="1"/>
  <c r="AE39" i="4" s="1"/>
  <c r="AD39" i="5" a="1"/>
  <c r="AD39" i="5" s="1"/>
  <c r="AD39" i="9" a="1"/>
  <c r="AD39" i="9" s="1"/>
  <c r="AD39" i="8" a="1"/>
  <c r="AD39" i="8" s="1"/>
  <c r="AD39" i="11" a="1"/>
  <c r="AD39" i="11" s="1"/>
  <c r="AD39" i="1" a="1"/>
  <c r="AD39" i="1" s="1"/>
  <c r="AD39" i="3" a="1"/>
  <c r="AD39" i="3" s="1"/>
  <c r="AD39" i="2" a="1"/>
  <c r="AD39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<sst xmlns="http://schemas.openxmlformats.org/spreadsheetml/2006/main" count="1639" uniqueCount="78">
  <si>
    <t>units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</si>
  <si>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</si>
  <si>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</si>
  <si>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</si>
  <si>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</si>
  <si>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</si>
  <si>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</si>
  <si>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</si>
  <si>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</si>
  <si>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</si>
  <si>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</si>
  <si>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</si>
  <si>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</si>
  <si>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</si>
  <si>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</si>
  <si>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</si>
  <si>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</si>
  <si>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</si>
  <si>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</si>
  <si>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</si>
  <si>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</si>
  <si>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</si>
  <si>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</si>
  <si>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</si>
  <si>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</si>
  <si>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</si>
  <si>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</si>
  <si>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</si>
  <si>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Growth (2024-2050)</t>
  </si>
  <si>
    <t>Generation by Fuel Type</t>
  </si>
  <si>
    <t>Coal</t>
  </si>
  <si>
    <t>BkWh</t>
  </si>
  <si>
    <t>Petroleum</t>
  </si>
  <si>
    <t>Natural Gas</t>
  </si>
  <si>
    <t>Nuclear</t>
  </si>
  <si>
    <t>Pumped Storage and Other</t>
  </si>
  <si>
    <t>Hydrogen</t>
  </si>
  <si>
    <t>Conventional Hydroelectric Power</t>
  </si>
  <si>
    <t>Geothermal</t>
  </si>
  <si>
    <t>Biogenic Municipal Waste</t>
  </si>
  <si>
    <t>Wood and Other Biomass</t>
  </si>
  <si>
    <t>Solar Thermal</t>
  </si>
  <si>
    <t>Solar Photovoltaic</t>
  </si>
  <si>
    <t>Onshore Wind</t>
  </si>
  <si>
    <t>Offshore Wind</t>
  </si>
  <si>
    <t>Distributed Generation</t>
  </si>
  <si>
    <t>Total Generation</t>
  </si>
  <si>
    <t>Residential</t>
  </si>
  <si>
    <t>2024 cents/kWh</t>
  </si>
  <si>
    <t>Commercial</t>
  </si>
  <si>
    <t>Industrial</t>
  </si>
  <si>
    <t>Transportation</t>
  </si>
  <si>
    <t>All Sectors Average</t>
  </si>
  <si>
    <t>nom cents/kWh</t>
  </si>
  <si>
    <t>Generation</t>
  </si>
  <si>
    <t>Transmission</t>
  </si>
  <si>
    <t>Distribution</t>
  </si>
  <si>
    <t>Emissions from the Electric Power Sector</t>
  </si>
  <si>
    <t>Total Carbon (million short tons)</t>
  </si>
  <si>
    <t>MMst</t>
  </si>
  <si>
    <t>Carbon Dioxide (million short tons)</t>
  </si>
  <si>
    <t>Sulfur Dioxide (million short tons)</t>
  </si>
  <si>
    <t>Nitrogen Oxide (million short tons)</t>
  </si>
  <si>
    <t>Mercury (short tons)</t>
  </si>
  <si>
    <t>st</t>
  </si>
  <si>
    <t xml:space="preserve">Mercury </t>
  </si>
  <si>
    <t xml:space="preserve">Total Carbon </t>
  </si>
  <si>
    <t>Carbon Dioxide</t>
  </si>
  <si>
    <t>Sulfur Dioxide</t>
  </si>
  <si>
    <t>Nitrogen Oxide</t>
  </si>
  <si>
    <t>Emissions from the Electric Power Sector per kWh</t>
  </si>
  <si>
    <t>g/kWh</t>
  </si>
  <si>
    <t>Category</t>
  </si>
  <si>
    <t>Description</t>
  </si>
  <si>
    <t>End-Use Prices - 2024 Cents/kWh</t>
  </si>
  <si>
    <t>End-Use Prices - Nominal Cents/kWh</t>
  </si>
  <si>
    <t>Prices by Service Category  - 2024 Cents/kWh</t>
  </si>
  <si>
    <t>Prices by Service Category - Nominal Cents/kWh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</si>
</sst>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0" xfId="1" applyNumberFormat="1" applyFont="1"/>
    <xf numFmtId="0" fontId="4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3"/>
  <sheetViews>
    <sheetView tabSelected="1" zoomScale="70" zoomScaleNormal="70" workbookViewId="0">
      <selection activeCell="B16" sqref="B16:B17"/>
    </sheetView>
  </sheetViews>
  <sheetFormatPr defaultRowHeight="15" x14ac:dyDescent="0.25"/>
  <cols>
    <col min="1" max="1" width="44.7109375" bestFit="1" customWidth="1"/>
    <col min="2" max="2" width="16.140625" bestFit="1" customWidth="1"/>
    <col min="3" max="29" width="12.7109375" bestFit="1" customWidth="1"/>
    <col min="30" max="30" width="19.42578125" bestFit="1" customWidth="1"/>
  </cols>
  <sheetData>
    <row r="1" spans="1:30" s="3" customFormat="1" ht="15.75" thickBot="1" x14ac:dyDescent="0.3">
      <c r="A1" s="3" t="s">
        <v>72</v>
      </c>
      <c r="B1" s="1" t="s">
        <v>73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</row>
    <row r="2" spans="1:30" ht="15.75" thickTop="1" x14ac:dyDescent="0.25">
      <c r="A2" t="s">
        <v>29</v>
      </c>
      <c r="B2" t="s">
        <v>30</v>
      </c>
      <c r="C2">
        <v>11.449133</v>
      </c>
      <c r="D2">
        <v>11.483017</v>
      </c>
      <c r="E2">
        <v>13.316796999999999</v>
      </c>
      <c r="F2">
        <v>2.5858590000000001</v>
      </c>
      <c r="G2">
        <v>2.687316</v>
      </c>
      <c r="H2">
        <v>2.787121</v>
      </c>
      <c r="I2">
        <v>4.743576</v>
      </c>
      <c r="J2">
        <v>8.5311540000000008</v>
      </c>
      <c r="K2">
        <v>5.8397949999999996</v>
      </c>
      <c r="L2">
        <v>5.7632120000000002</v>
      </c>
      <c r="M2">
        <v>4.2636190000000003</v>
      </c>
      <c r="N2">
        <v>3.5595309999999998</v>
      </c>
      <c r="O2">
        <v>3.640933</v>
      </c>
      <c r="P2">
        <v>4.2466549999999996</v>
      </c>
      <c r="Q2">
        <v>4.1610339999999999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 s="4" cm="1">
        <f t="array" ref="AD2:AD17">(AC2:AC17-C2:C17)/C2:C17</f>
        <v>-1</v>
      </c>
    </row>
    <row r="3" spans="1:30" x14ac:dyDescent="0.25">
      <c r="A3" t="s">
        <v>29</v>
      </c>
      <c r="B3" t="s">
        <v>32</v>
      </c>
      <c r="C3">
        <v>0.34438800000000003</v>
      </c>
      <c r="D3">
        <v>0.34882999999999997</v>
      </c>
      <c r="E3">
        <v>0.34456900000000001</v>
      </c>
      <c r="F3">
        <v>0.25648199999999999</v>
      </c>
      <c r="G3">
        <v>0.180426</v>
      </c>
      <c r="H3">
        <v>0.16739999999999999</v>
      </c>
      <c r="I3">
        <v>0.16777400000000001</v>
      </c>
      <c r="J3">
        <v>0.16520599999999999</v>
      </c>
      <c r="K3">
        <v>0.143037</v>
      </c>
      <c r="L3">
        <v>0.10956200000000001</v>
      </c>
      <c r="M3">
        <v>0.10956200000000001</v>
      </c>
      <c r="N3">
        <v>9.2050999999999994E-2</v>
      </c>
      <c r="O3">
        <v>9.2050999999999994E-2</v>
      </c>
      <c r="P3">
        <v>4.4781000000000001E-2</v>
      </c>
      <c r="Q3">
        <v>4.4884E-2</v>
      </c>
      <c r="R3">
        <v>5.1972999999999998E-2</v>
      </c>
      <c r="S3">
        <v>5.1826999999999998E-2</v>
      </c>
      <c r="T3">
        <v>4.3158000000000002E-2</v>
      </c>
      <c r="U3">
        <v>3.009E-3</v>
      </c>
      <c r="V3">
        <v>1.6081000000000002E-2</v>
      </c>
      <c r="W3">
        <v>5.1450000000000003E-3</v>
      </c>
      <c r="X3">
        <v>5.2167999999999999E-2</v>
      </c>
      <c r="Y3">
        <v>1.9779000000000001E-2</v>
      </c>
      <c r="Z3">
        <v>3.5607E-2</v>
      </c>
      <c r="AA3">
        <v>5.0070000000000003E-2</v>
      </c>
      <c r="AB3">
        <v>2.8472999999999998E-2</v>
      </c>
      <c r="AC3">
        <v>2.6054999999999998E-2</v>
      </c>
      <c r="AD3" s="4">
        <v>-0.92434405379978402</v>
      </c>
    </row>
    <row r="4" spans="1:30" x14ac:dyDescent="0.25">
      <c r="A4" t="s">
        <v>29</v>
      </c>
      <c r="B4" t="s">
        <v>33</v>
      </c>
      <c r="C4">
        <v>182.25907900000001</v>
      </c>
      <c r="D4">
        <v>172.058853</v>
      </c>
      <c r="E4">
        <v>151.17352299999999</v>
      </c>
      <c r="F4">
        <v>151.14988700000001</v>
      </c>
      <c r="G4">
        <v>133.92836</v>
      </c>
      <c r="H4">
        <v>118.60111999999999</v>
      </c>
      <c r="I4">
        <v>107.00928500000001</v>
      </c>
      <c r="J4">
        <v>96.932175000000001</v>
      </c>
      <c r="K4">
        <v>92.322204999999997</v>
      </c>
      <c r="L4">
        <v>92.448654000000005</v>
      </c>
      <c r="M4">
        <v>89.946098000000006</v>
      </c>
      <c r="N4">
        <v>88.807747000000006</v>
      </c>
      <c r="O4">
        <v>88.900017000000005</v>
      </c>
      <c r="P4">
        <v>90.723151999999999</v>
      </c>
      <c r="Q4">
        <v>91.261070000000004</v>
      </c>
      <c r="R4">
        <v>92.127525000000006</v>
      </c>
      <c r="S4">
        <v>92.983611999999994</v>
      </c>
      <c r="T4">
        <v>94.085526000000002</v>
      </c>
      <c r="U4">
        <v>96.914603999999997</v>
      </c>
      <c r="V4">
        <v>89.682770000000005</v>
      </c>
      <c r="W4">
        <v>81.343445000000003</v>
      </c>
      <c r="X4">
        <v>67.324150000000003</v>
      </c>
      <c r="Y4">
        <v>64.360359000000003</v>
      </c>
      <c r="Z4">
        <v>62.354438999999999</v>
      </c>
      <c r="AA4">
        <v>60.603465999999997</v>
      </c>
      <c r="AB4">
        <v>59.805618000000003</v>
      </c>
      <c r="AC4">
        <v>56.549205999999998</v>
      </c>
      <c r="AD4" s="4">
        <v>-0.68973174719049257</v>
      </c>
    </row>
    <row r="5" spans="1:30" x14ac:dyDescent="0.25">
      <c r="A5" t="s">
        <v>29</v>
      </c>
      <c r="B5" t="s">
        <v>34</v>
      </c>
      <c r="C5">
        <v>29.492701</v>
      </c>
      <c r="D5">
        <v>29.94989</v>
      </c>
      <c r="E5">
        <v>29.881720999999999</v>
      </c>
      <c r="F5">
        <v>29.813548999999998</v>
      </c>
      <c r="G5">
        <v>29.813548999999998</v>
      </c>
      <c r="H5">
        <v>29.813548999999998</v>
      </c>
      <c r="I5">
        <v>29.813548999999998</v>
      </c>
      <c r="J5">
        <v>29.813548999999998</v>
      </c>
      <c r="K5">
        <v>29.813548999999998</v>
      </c>
      <c r="L5">
        <v>29.813548999999998</v>
      </c>
      <c r="M5">
        <v>29.813548999999998</v>
      </c>
      <c r="N5">
        <v>27.904620999999999</v>
      </c>
      <c r="O5">
        <v>29.813548999999998</v>
      </c>
      <c r="P5">
        <v>29.813551</v>
      </c>
      <c r="Q5">
        <v>29.813551</v>
      </c>
      <c r="R5">
        <v>29.813548999999998</v>
      </c>
      <c r="S5">
        <v>29.813548999999998</v>
      </c>
      <c r="T5">
        <v>29.813548999999998</v>
      </c>
      <c r="U5">
        <v>29.813548999999998</v>
      </c>
      <c r="V5">
        <v>39.554969999999997</v>
      </c>
      <c r="W5">
        <v>53.707560999999998</v>
      </c>
      <c r="X5">
        <v>69.336028999999996</v>
      </c>
      <c r="Y5">
        <v>71.340141000000003</v>
      </c>
      <c r="Z5">
        <v>71.340141000000003</v>
      </c>
      <c r="AA5">
        <v>71.340141000000003</v>
      </c>
      <c r="AB5">
        <v>71.340141000000003</v>
      </c>
      <c r="AC5">
        <v>71.340141000000003</v>
      </c>
      <c r="AD5" s="4">
        <v>1.4189083597328032</v>
      </c>
    </row>
    <row r="6" spans="1:30" x14ac:dyDescent="0.25">
      <c r="A6" t="s">
        <v>29</v>
      </c>
      <c r="B6" t="s">
        <v>35</v>
      </c>
      <c r="C6">
        <v>1.1181179999999999</v>
      </c>
      <c r="D6">
        <v>1.171103</v>
      </c>
      <c r="E6">
        <v>1.1093029999999999</v>
      </c>
      <c r="F6">
        <v>1.1006560000000001</v>
      </c>
      <c r="G6">
        <v>1.0832820000000001</v>
      </c>
      <c r="H6">
        <v>1.082093</v>
      </c>
      <c r="I6">
        <v>0.38074999999999998</v>
      </c>
      <c r="J6">
        <v>-0.34801300000000002</v>
      </c>
      <c r="K6">
        <v>-0.466673</v>
      </c>
      <c r="L6">
        <v>-1.0307090000000001</v>
      </c>
      <c r="M6">
        <v>-1.7249209999999999</v>
      </c>
      <c r="N6">
        <v>-2.4617290000000001</v>
      </c>
      <c r="O6">
        <v>-3.2838639999999999</v>
      </c>
      <c r="P6">
        <v>-4.0520649999999998</v>
      </c>
      <c r="Q6">
        <v>-4.8947940000000001</v>
      </c>
      <c r="R6">
        <v>-5.5135230000000002</v>
      </c>
      <c r="S6">
        <v>-6.3865949999999998</v>
      </c>
      <c r="T6">
        <v>-6.312932</v>
      </c>
      <c r="U6">
        <v>-6.3458500000000004</v>
      </c>
      <c r="V6">
        <v>-6.3721730000000001</v>
      </c>
      <c r="W6">
        <v>-6.6458700000000004</v>
      </c>
      <c r="X6">
        <v>-7.8914580000000001</v>
      </c>
      <c r="Y6">
        <v>-8.5510629999999992</v>
      </c>
      <c r="Z6">
        <v>-9.2448709999999998</v>
      </c>
      <c r="AA6">
        <v>-10.517950000000001</v>
      </c>
      <c r="AB6">
        <v>-10.968344</v>
      </c>
      <c r="AC6">
        <v>-11.848242000000001</v>
      </c>
      <c r="AD6" s="4">
        <v>-11.596593561681328</v>
      </c>
    </row>
    <row r="7" spans="1:30" x14ac:dyDescent="0.25">
      <c r="A7" t="s">
        <v>29</v>
      </c>
      <c r="B7" t="s">
        <v>36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 s="4" t="e">
        <v>#DIV/0!</v>
      </c>
    </row>
    <row r="8" spans="1:30" x14ac:dyDescent="0.25">
      <c r="A8" t="s">
        <v>29</v>
      </c>
      <c r="B8" t="s">
        <v>37</v>
      </c>
      <c r="C8">
        <v>0.19378400000000001</v>
      </c>
      <c r="D8">
        <v>0.21038399999999999</v>
      </c>
      <c r="E8">
        <v>0.218525</v>
      </c>
      <c r="F8">
        <v>0.226659</v>
      </c>
      <c r="G8">
        <v>0.22122</v>
      </c>
      <c r="H8">
        <v>0.20945800000000001</v>
      </c>
      <c r="I8">
        <v>0.207069</v>
      </c>
      <c r="J8">
        <v>0.19749700000000001</v>
      </c>
      <c r="K8">
        <v>0.23134199999999999</v>
      </c>
      <c r="L8">
        <v>0.22881299999999999</v>
      </c>
      <c r="M8">
        <v>0.202102</v>
      </c>
      <c r="N8">
        <v>0.178255</v>
      </c>
      <c r="O8">
        <v>0.18013499999999999</v>
      </c>
      <c r="P8">
        <v>0.18681500000000001</v>
      </c>
      <c r="Q8">
        <v>0.185894</v>
      </c>
      <c r="R8">
        <v>0.21295900000000001</v>
      </c>
      <c r="S8">
        <v>0.18819900000000001</v>
      </c>
      <c r="T8">
        <v>0.18479200000000001</v>
      </c>
      <c r="U8">
        <v>0.20916199999999999</v>
      </c>
      <c r="V8">
        <v>0.18654799999999999</v>
      </c>
      <c r="W8">
        <v>0.185221</v>
      </c>
      <c r="X8">
        <v>0.18552399999999999</v>
      </c>
      <c r="Y8">
        <v>0.18446199999999999</v>
      </c>
      <c r="Z8">
        <v>0.18441199999999999</v>
      </c>
      <c r="AA8">
        <v>0.183613</v>
      </c>
      <c r="AB8">
        <v>0.183613</v>
      </c>
      <c r="AC8">
        <v>0.183174</v>
      </c>
      <c r="AD8" s="4">
        <v>-5.4751682285431244E-2</v>
      </c>
    </row>
    <row r="9" spans="1:30" x14ac:dyDescent="0.25">
      <c r="A9" t="s">
        <v>29</v>
      </c>
      <c r="B9" t="s">
        <v>38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 s="4" t="e">
        <v>#DIV/0!</v>
      </c>
    </row>
    <row r="10" spans="1:30" x14ac:dyDescent="0.25">
      <c r="A10" t="s">
        <v>29</v>
      </c>
      <c r="B10" t="s">
        <v>39</v>
      </c>
      <c r="C10">
        <v>0.795848</v>
      </c>
      <c r="D10">
        <v>0.76825699999999997</v>
      </c>
      <c r="E10">
        <v>0.917022</v>
      </c>
      <c r="F10">
        <v>1.049453</v>
      </c>
      <c r="G10">
        <v>1.080052</v>
      </c>
      <c r="H10">
        <v>1.1129150000000001</v>
      </c>
      <c r="I10">
        <v>0.93654999999999999</v>
      </c>
      <c r="J10">
        <v>0.97109699999999999</v>
      </c>
      <c r="K10">
        <v>1.0048589999999999</v>
      </c>
      <c r="L10">
        <v>1.037758</v>
      </c>
      <c r="M10">
        <v>1.067593</v>
      </c>
      <c r="N10">
        <v>1.10103</v>
      </c>
      <c r="O10">
        <v>1.1360300000000001</v>
      </c>
      <c r="P10">
        <v>1.1731389999999999</v>
      </c>
      <c r="Q10">
        <v>1.2103550000000001</v>
      </c>
      <c r="R10">
        <v>1.235997</v>
      </c>
      <c r="S10">
        <v>1.2453019999999999</v>
      </c>
      <c r="T10">
        <v>1.261852</v>
      </c>
      <c r="U10">
        <v>1.288287</v>
      </c>
      <c r="V10">
        <v>1.314351</v>
      </c>
      <c r="W10">
        <v>1.327572</v>
      </c>
      <c r="X10">
        <v>1.3409949999999999</v>
      </c>
      <c r="Y10">
        <v>1.354303</v>
      </c>
      <c r="Z10">
        <v>1.3676299999999999</v>
      </c>
      <c r="AA10">
        <v>1.381216</v>
      </c>
      <c r="AB10">
        <v>1.381216</v>
      </c>
      <c r="AC10">
        <v>1.381216</v>
      </c>
      <c r="AD10" s="4">
        <v>0.7355273871392527</v>
      </c>
    </row>
    <row r="11" spans="1:30" x14ac:dyDescent="0.25">
      <c r="A11" t="s">
        <v>29</v>
      </c>
      <c r="B11" t="s">
        <v>40</v>
      </c>
      <c r="C11">
        <v>0.53703900000000004</v>
      </c>
      <c r="D11">
        <v>0.53703900000000004</v>
      </c>
      <c r="E11">
        <v>0.53703900000000004</v>
      </c>
      <c r="F11">
        <v>0.53703900000000004</v>
      </c>
      <c r="G11">
        <v>0.542014</v>
      </c>
      <c r="H11">
        <v>0.542014</v>
      </c>
      <c r="I11">
        <v>0.542014</v>
      </c>
      <c r="J11">
        <v>0.542014</v>
      </c>
      <c r="K11">
        <v>0.542014</v>
      </c>
      <c r="L11">
        <v>0.542014</v>
      </c>
      <c r="M11">
        <v>0.542014</v>
      </c>
      <c r="N11">
        <v>0.542014</v>
      </c>
      <c r="O11">
        <v>0.542014</v>
      </c>
      <c r="P11">
        <v>0.542014</v>
      </c>
      <c r="Q11">
        <v>0.542014</v>
      </c>
      <c r="R11">
        <v>0.542014</v>
      </c>
      <c r="S11">
        <v>0.542014</v>
      </c>
      <c r="T11">
        <v>0.542014</v>
      </c>
      <c r="U11">
        <v>0.542014</v>
      </c>
      <c r="V11">
        <v>0.542014</v>
      </c>
      <c r="W11">
        <v>0.542014</v>
      </c>
      <c r="X11">
        <v>0.542014</v>
      </c>
      <c r="Y11">
        <v>0.542014</v>
      </c>
      <c r="Z11">
        <v>0.542014</v>
      </c>
      <c r="AA11">
        <v>0.542014</v>
      </c>
      <c r="AB11">
        <v>0.542014</v>
      </c>
      <c r="AC11">
        <v>0.542014</v>
      </c>
      <c r="AD11" s="4">
        <v>9.2637592428109535E-3</v>
      </c>
    </row>
    <row r="12" spans="1:30" x14ac:dyDescent="0.25">
      <c r="A12" t="s">
        <v>29</v>
      </c>
      <c r="B12" t="s">
        <v>41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 s="4" t="e">
        <v>#DIV/0!</v>
      </c>
    </row>
    <row r="13" spans="1:30" x14ac:dyDescent="0.25">
      <c r="A13" t="s">
        <v>29</v>
      </c>
      <c r="B13" t="s">
        <v>42</v>
      </c>
      <c r="C13">
        <v>16.291851000000001</v>
      </c>
      <c r="D13">
        <v>20.205186999999999</v>
      </c>
      <c r="E13">
        <v>42.462471000000001</v>
      </c>
      <c r="F13">
        <v>59.357010000000002</v>
      </c>
      <c r="G13">
        <v>82.279572000000002</v>
      </c>
      <c r="H13">
        <v>101.132256</v>
      </c>
      <c r="I13">
        <v>107.618904</v>
      </c>
      <c r="J13">
        <v>119.930862</v>
      </c>
      <c r="K13">
        <v>130.824265</v>
      </c>
      <c r="L13">
        <v>135.35351600000001</v>
      </c>
      <c r="M13">
        <v>145.60334800000001</v>
      </c>
      <c r="N13">
        <v>153.60148599999999</v>
      </c>
      <c r="O13">
        <v>157.95199600000001</v>
      </c>
      <c r="P13">
        <v>161.17906199999999</v>
      </c>
      <c r="Q13">
        <v>166.948532</v>
      </c>
      <c r="R13">
        <v>175.492493</v>
      </c>
      <c r="S13">
        <v>181.01663199999999</v>
      </c>
      <c r="T13">
        <v>190.67735300000001</v>
      </c>
      <c r="U13">
        <v>192.17257699999999</v>
      </c>
      <c r="V13">
        <v>192.02986100000001</v>
      </c>
      <c r="W13">
        <v>193.42016599999999</v>
      </c>
      <c r="X13">
        <v>197.35484299999999</v>
      </c>
      <c r="Y13">
        <v>201.02406300000001</v>
      </c>
      <c r="Z13">
        <v>205.17868000000001</v>
      </c>
      <c r="AA13">
        <v>211.32157900000001</v>
      </c>
      <c r="AB13">
        <v>217.365906</v>
      </c>
      <c r="AC13">
        <v>226.92514</v>
      </c>
      <c r="AD13" s="4">
        <v>12.928751251162312</v>
      </c>
    </row>
    <row r="14" spans="1:30" x14ac:dyDescent="0.25">
      <c r="A14" t="s">
        <v>29</v>
      </c>
      <c r="B14" t="s">
        <v>43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 s="4" t="e">
        <v>#DIV/0!</v>
      </c>
    </row>
    <row r="15" spans="1:30" x14ac:dyDescent="0.25">
      <c r="A15" t="s">
        <v>29</v>
      </c>
      <c r="B15" t="s">
        <v>44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 s="4" t="e">
        <v>#DIV/0!</v>
      </c>
    </row>
    <row r="16" spans="1:30" x14ac:dyDescent="0.25">
      <c r="A16" t="s">
        <v>29</v>
      </c>
      <c r="B16" s="5" t="s">
        <v>45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 s="4" t="e">
        <v>#DIV/0!</v>
      </c>
    </row>
    <row r="17" spans="1:30" x14ac:dyDescent="0.25">
      <c r="A17" t="s">
        <v>29</v>
      </c>
      <c r="B17" s="5" t="s">
        <v>46</v>
      </c>
      <c r="C17">
        <v>242.48194899999999</v>
      </c>
      <c r="D17">
        <v>236.73255900000001</v>
      </c>
      <c r="E17">
        <v>239.96096800000001</v>
      </c>
      <c r="F17">
        <v>246.07659899999999</v>
      </c>
      <c r="G17">
        <v>251.81579600000001</v>
      </c>
      <c r="H17">
        <v>255.44792200000001</v>
      </c>
      <c r="I17">
        <v>251.419464</v>
      </c>
      <c r="J17">
        <v>256.73553500000003</v>
      </c>
      <c r="K17">
        <v>260.25439499999999</v>
      </c>
      <c r="L17">
        <v>264.26635700000003</v>
      </c>
      <c r="M17">
        <v>269.82293700000002</v>
      </c>
      <c r="N17">
        <v>273.32501200000002</v>
      </c>
      <c r="O17">
        <v>278.97283900000002</v>
      </c>
      <c r="P17">
        <v>283.85711700000002</v>
      </c>
      <c r="Q17">
        <v>289.27255200000002</v>
      </c>
      <c r="R17">
        <v>293.96298200000001</v>
      </c>
      <c r="S17">
        <v>299.45452899999998</v>
      </c>
      <c r="T17">
        <v>310.29528800000003</v>
      </c>
      <c r="U17">
        <v>314.597351</v>
      </c>
      <c r="V17">
        <v>316.954407</v>
      </c>
      <c r="W17">
        <v>323.88525399999997</v>
      </c>
      <c r="X17">
        <v>328.24426299999999</v>
      </c>
      <c r="Y17">
        <v>330.27404799999999</v>
      </c>
      <c r="Z17">
        <v>331.75805700000001</v>
      </c>
      <c r="AA17">
        <v>334.90414399999997</v>
      </c>
      <c r="AB17">
        <v>339.67861900000003</v>
      </c>
      <c r="AC17">
        <v>345.09869400000002</v>
      </c>
      <c r="AD17" s="4">
        <v>0.42319333634191486</v>
      </c>
    </row>
    <row r="18" spans="1:30" x14ac:dyDescent="0.25">
      <c r="A18" t="s">
        <v>74</v>
      </c>
      <c r="B18" t="s">
        <v>47</v>
      </c>
      <c r="C18">
        <v>13.330479</v>
      </c>
      <c r="D18">
        <v>13.335545</v>
      </c>
      <c r="E18">
        <v>13.290283000000001</v>
      </c>
      <c r="F18">
        <v>13.253905</v>
      </c>
      <c r="G18">
        <v>13.297491000000001</v>
      </c>
      <c r="H18">
        <v>13.534409</v>
      </c>
      <c r="I18">
        <v>13.9458</v>
      </c>
      <c r="J18">
        <v>14.537559999999999</v>
      </c>
      <c r="K18">
        <v>15.185938999999999</v>
      </c>
      <c r="L18">
        <v>15.535788</v>
      </c>
      <c r="M18">
        <v>15.666670999999999</v>
      </c>
      <c r="N18">
        <v>15.846145</v>
      </c>
      <c r="O18">
        <v>15.744894</v>
      </c>
      <c r="P18">
        <v>15.727421</v>
      </c>
      <c r="Q18">
        <v>15.681895000000001</v>
      </c>
      <c r="R18">
        <v>15.608701999999999</v>
      </c>
      <c r="S18">
        <v>15.580717</v>
      </c>
      <c r="T18">
        <v>15.574840999999999</v>
      </c>
      <c r="U18">
        <v>15.52399</v>
      </c>
      <c r="V18">
        <v>15.477316</v>
      </c>
      <c r="W18">
        <v>15.504327999999999</v>
      </c>
      <c r="X18">
        <v>15.557801</v>
      </c>
      <c r="Y18">
        <v>15.602275000000001</v>
      </c>
      <c r="Z18">
        <v>15.506843</v>
      </c>
      <c r="AA18">
        <v>15.468681</v>
      </c>
      <c r="AB18">
        <v>15.471906000000001</v>
      </c>
      <c r="AC18">
        <v>15.490558</v>
      </c>
      <c r="AD18" s="4" cm="1">
        <f t="array" ref="AD18:AD22">(AC18:AC22-C18:C22)/C18:C22</f>
        <v>0.16204061384440871</v>
      </c>
    </row>
    <row r="19" spans="1:30" x14ac:dyDescent="0.25">
      <c r="A19" t="s">
        <v>74</v>
      </c>
      <c r="B19" t="s">
        <v>49</v>
      </c>
      <c r="C19">
        <v>10.136806</v>
      </c>
      <c r="D19">
        <v>9.7337769999999999</v>
      </c>
      <c r="E19">
        <v>9.6505399999999995</v>
      </c>
      <c r="F19">
        <v>9.6690059999999995</v>
      </c>
      <c r="G19">
        <v>9.8045270000000002</v>
      </c>
      <c r="H19">
        <v>10.096439</v>
      </c>
      <c r="I19">
        <v>10.662169</v>
      </c>
      <c r="J19">
        <v>11.328151</v>
      </c>
      <c r="K19">
        <v>12.109769999999999</v>
      </c>
      <c r="L19">
        <v>12.33812</v>
      </c>
      <c r="M19">
        <v>12.666760999999999</v>
      </c>
      <c r="N19">
        <v>12.811487</v>
      </c>
      <c r="O19">
        <v>12.817147</v>
      </c>
      <c r="P19">
        <v>12.941153999999999</v>
      </c>
      <c r="Q19">
        <v>12.947001</v>
      </c>
      <c r="R19">
        <v>12.983941</v>
      </c>
      <c r="S19">
        <v>13.062818999999999</v>
      </c>
      <c r="T19">
        <v>13.143393</v>
      </c>
      <c r="U19">
        <v>13.163421</v>
      </c>
      <c r="V19">
        <v>13.22927</v>
      </c>
      <c r="W19">
        <v>13.327322000000001</v>
      </c>
      <c r="X19">
        <v>13.505114000000001</v>
      </c>
      <c r="Y19">
        <v>13.524470000000001</v>
      </c>
      <c r="Z19">
        <v>13.483555000000001</v>
      </c>
      <c r="AA19">
        <v>13.504747</v>
      </c>
      <c r="AB19">
        <v>13.557306000000001</v>
      </c>
      <c r="AC19">
        <v>13.632228</v>
      </c>
      <c r="AD19" s="4">
        <v>0.34482478997822386</v>
      </c>
    </row>
    <row r="20" spans="1:30" x14ac:dyDescent="0.25">
      <c r="A20" t="s">
        <v>74</v>
      </c>
      <c r="B20" t="s">
        <v>50</v>
      </c>
      <c r="C20">
        <v>6.9821200000000001</v>
      </c>
      <c r="D20">
        <v>6.6138450000000004</v>
      </c>
      <c r="E20">
        <v>6.478313</v>
      </c>
      <c r="F20">
        <v>6.5028509999999997</v>
      </c>
      <c r="G20">
        <v>6.654204</v>
      </c>
      <c r="H20">
        <v>7.139113</v>
      </c>
      <c r="I20">
        <v>7.8349320000000002</v>
      </c>
      <c r="J20">
        <v>8.5527320000000007</v>
      </c>
      <c r="K20">
        <v>9.3640559999999997</v>
      </c>
      <c r="L20">
        <v>9.7037040000000001</v>
      </c>
      <c r="M20">
        <v>10.424438</v>
      </c>
      <c r="N20">
        <v>10.741498999999999</v>
      </c>
      <c r="O20">
        <v>10.8858</v>
      </c>
      <c r="P20">
        <v>10.925145000000001</v>
      </c>
      <c r="Q20">
        <v>10.988094</v>
      </c>
      <c r="R20">
        <v>11.009626000000001</v>
      </c>
      <c r="S20">
        <v>11.109862</v>
      </c>
      <c r="T20">
        <v>11.128234000000001</v>
      </c>
      <c r="U20">
        <v>11.143615</v>
      </c>
      <c r="V20">
        <v>11.259696</v>
      </c>
      <c r="W20">
        <v>11.28185</v>
      </c>
      <c r="X20">
        <v>11.765333999999999</v>
      </c>
      <c r="Y20">
        <v>11.874153</v>
      </c>
      <c r="Z20">
        <v>11.835474</v>
      </c>
      <c r="AA20">
        <v>11.852005</v>
      </c>
      <c r="AB20">
        <v>11.89648</v>
      </c>
      <c r="AC20">
        <v>11.958263000000001</v>
      </c>
      <c r="AD20" s="4">
        <v>0.71269800576329256</v>
      </c>
    </row>
    <row r="21" spans="1:30" x14ac:dyDescent="0.25">
      <c r="A21" t="s">
        <v>74</v>
      </c>
      <c r="B21" t="s">
        <v>51</v>
      </c>
      <c r="C21">
        <v>9.3847819999999995</v>
      </c>
      <c r="D21">
        <v>8.9819420000000001</v>
      </c>
      <c r="E21">
        <v>8.8793070000000007</v>
      </c>
      <c r="F21">
        <v>8.891197</v>
      </c>
      <c r="G21">
        <v>9.0112880000000004</v>
      </c>
      <c r="H21">
        <v>9.2971810000000001</v>
      </c>
      <c r="I21">
        <v>9.8398640000000004</v>
      </c>
      <c r="J21">
        <v>10.483378</v>
      </c>
      <c r="K21">
        <v>11.235637000000001</v>
      </c>
      <c r="L21">
        <v>11.520842999999999</v>
      </c>
      <c r="M21">
        <v>11.81704</v>
      </c>
      <c r="N21">
        <v>11.981347</v>
      </c>
      <c r="O21">
        <v>11.974337999999999</v>
      </c>
      <c r="P21">
        <v>12.102986</v>
      </c>
      <c r="Q21">
        <v>12.130926000000001</v>
      </c>
      <c r="R21">
        <v>12.188828000000001</v>
      </c>
      <c r="S21">
        <v>12.270612</v>
      </c>
      <c r="T21">
        <v>12.34164</v>
      </c>
      <c r="U21">
        <v>12.386582000000001</v>
      </c>
      <c r="V21">
        <v>12.464867</v>
      </c>
      <c r="W21">
        <v>12.556224</v>
      </c>
      <c r="X21">
        <v>12.751595</v>
      </c>
      <c r="Y21">
        <v>12.814503</v>
      </c>
      <c r="Z21">
        <v>12.783436</v>
      </c>
      <c r="AA21">
        <v>12.812227</v>
      </c>
      <c r="AB21">
        <v>12.871934</v>
      </c>
      <c r="AC21">
        <v>12.949737000000001</v>
      </c>
      <c r="AD21" s="4">
        <v>0.37986550992873369</v>
      </c>
    </row>
    <row r="22" spans="1:30" x14ac:dyDescent="0.25">
      <c r="A22" t="s">
        <v>74</v>
      </c>
      <c r="B22" t="s">
        <v>52</v>
      </c>
      <c r="C22">
        <v>11.649293999999999</v>
      </c>
      <c r="D22">
        <v>11.441183000000001</v>
      </c>
      <c r="E22">
        <v>11.394397</v>
      </c>
      <c r="F22">
        <v>11.386609</v>
      </c>
      <c r="G22">
        <v>11.467383999999999</v>
      </c>
      <c r="H22">
        <v>11.691407999999999</v>
      </c>
      <c r="I22">
        <v>12.139977</v>
      </c>
      <c r="J22">
        <v>12.724686999999999</v>
      </c>
      <c r="K22">
        <v>13.398179000000001</v>
      </c>
      <c r="L22">
        <v>13.662777</v>
      </c>
      <c r="M22">
        <v>13.941792</v>
      </c>
      <c r="N22">
        <v>14.101561999999999</v>
      </c>
      <c r="O22">
        <v>14.050715</v>
      </c>
      <c r="P22">
        <v>14.091177999999999</v>
      </c>
      <c r="Q22">
        <v>14.085131000000001</v>
      </c>
      <c r="R22">
        <v>14.070285999999999</v>
      </c>
      <c r="S22">
        <v>14.104556000000001</v>
      </c>
      <c r="T22">
        <v>14.130185000000001</v>
      </c>
      <c r="U22">
        <v>14.114658</v>
      </c>
      <c r="V22">
        <v>14.142315</v>
      </c>
      <c r="W22">
        <v>14.188305</v>
      </c>
      <c r="X22">
        <v>14.36407</v>
      </c>
      <c r="Y22">
        <v>14.405836000000001</v>
      </c>
      <c r="Z22">
        <v>14.336027</v>
      </c>
      <c r="AA22">
        <v>14.325272</v>
      </c>
      <c r="AB22">
        <v>14.350674</v>
      </c>
      <c r="AC22">
        <v>14.394806000000001</v>
      </c>
      <c r="AD22" s="4">
        <v>0.23568054853796305</v>
      </c>
    </row>
    <row r="23" spans="1:30" x14ac:dyDescent="0.25">
      <c r="A23" t="s">
        <v>75</v>
      </c>
      <c r="B23" t="s">
        <v>47</v>
      </c>
      <c r="C23">
        <v>13.330479</v>
      </c>
      <c r="D23">
        <v>13.641534999999999</v>
      </c>
      <c r="E23">
        <v>13.838838000000001</v>
      </c>
      <c r="F23">
        <v>14.038487</v>
      </c>
      <c r="G23">
        <v>14.331759</v>
      </c>
      <c r="H23">
        <v>14.804493000000001</v>
      </c>
      <c r="I23">
        <v>15.494508</v>
      </c>
      <c r="J23">
        <v>16.434355</v>
      </c>
      <c r="K23">
        <v>17.468311</v>
      </c>
      <c r="L23">
        <v>18.184328000000001</v>
      </c>
      <c r="M23">
        <v>18.658283000000001</v>
      </c>
      <c r="N23">
        <v>19.198703999999999</v>
      </c>
      <c r="O23">
        <v>19.403310999999999</v>
      </c>
      <c r="P23">
        <v>19.728857000000001</v>
      </c>
      <c r="Q23">
        <v>20.038678999999998</v>
      </c>
      <c r="R23">
        <v>20.334631000000002</v>
      </c>
      <c r="S23">
        <v>20.720966000000001</v>
      </c>
      <c r="T23">
        <v>21.169395000000002</v>
      </c>
      <c r="U23">
        <v>21.582346000000001</v>
      </c>
      <c r="V23">
        <v>22.024042000000001</v>
      </c>
      <c r="W23">
        <v>22.597214000000001</v>
      </c>
      <c r="X23">
        <v>23.229111</v>
      </c>
      <c r="Y23">
        <v>23.865993</v>
      </c>
      <c r="Z23">
        <v>24.298271</v>
      </c>
      <c r="AA23">
        <v>24.819877999999999</v>
      </c>
      <c r="AB23">
        <v>25.413923</v>
      </c>
      <c r="AC23">
        <v>26.034984999999999</v>
      </c>
      <c r="AD23" s="4" cm="1">
        <f t="array" ref="AD23:AD27">(AC23:AC27-C23:C27)/C23:C27</f>
        <v>0.95304197246025424</v>
      </c>
    </row>
    <row r="24" spans="1:30" x14ac:dyDescent="0.25">
      <c r="A24" t="s">
        <v>75</v>
      </c>
      <c r="B24" t="s">
        <v>49</v>
      </c>
      <c r="C24">
        <v>10.136806</v>
      </c>
      <c r="D24">
        <v>9.9571229999999993</v>
      </c>
      <c r="E24">
        <v>10.048864</v>
      </c>
      <c r="F24">
        <v>10.241376000000001</v>
      </c>
      <c r="G24">
        <v>10.567116</v>
      </c>
      <c r="H24">
        <v>11.043900000000001</v>
      </c>
      <c r="I24">
        <v>11.846221999999999</v>
      </c>
      <c r="J24">
        <v>12.806196</v>
      </c>
      <c r="K24">
        <v>13.929809000000001</v>
      </c>
      <c r="L24">
        <v>14.441521</v>
      </c>
      <c r="M24">
        <v>15.085528</v>
      </c>
      <c r="N24">
        <v>15.522005</v>
      </c>
      <c r="O24">
        <v>15.795285</v>
      </c>
      <c r="P24">
        <v>16.233695999999998</v>
      </c>
      <c r="Q24">
        <v>16.543970000000002</v>
      </c>
      <c r="R24">
        <v>16.915158999999999</v>
      </c>
      <c r="S24">
        <v>17.372387</v>
      </c>
      <c r="T24">
        <v>17.864559</v>
      </c>
      <c r="U24">
        <v>18.300547000000002</v>
      </c>
      <c r="V24">
        <v>18.825098000000001</v>
      </c>
      <c r="W24">
        <v>19.424275999999999</v>
      </c>
      <c r="X24">
        <v>20.164273999999999</v>
      </c>
      <c r="Y24">
        <v>20.687683</v>
      </c>
      <c r="Z24">
        <v>21.127904999999998</v>
      </c>
      <c r="AA24">
        <v>21.668697000000002</v>
      </c>
      <c r="AB24">
        <v>22.269031999999999</v>
      </c>
      <c r="AC24">
        <v>22.911691999999999</v>
      </c>
      <c r="AD24" s="4">
        <v>1.2602476559184421</v>
      </c>
    </row>
    <row r="25" spans="1:30" x14ac:dyDescent="0.25">
      <c r="A25" t="s">
        <v>75</v>
      </c>
      <c r="B25" t="s">
        <v>50</v>
      </c>
      <c r="C25">
        <v>6.9821200000000001</v>
      </c>
      <c r="D25">
        <v>6.7656029999999996</v>
      </c>
      <c r="E25">
        <v>6.7457039999999999</v>
      </c>
      <c r="F25">
        <v>6.8877959999999998</v>
      </c>
      <c r="G25">
        <v>7.1717630000000003</v>
      </c>
      <c r="H25">
        <v>7.8090549999999999</v>
      </c>
      <c r="I25">
        <v>8.7050160000000005</v>
      </c>
      <c r="J25">
        <v>9.6686540000000001</v>
      </c>
      <c r="K25">
        <v>10.771426999999999</v>
      </c>
      <c r="L25">
        <v>11.357989999999999</v>
      </c>
      <c r="M25">
        <v>12.415025</v>
      </c>
      <c r="N25">
        <v>13.014071</v>
      </c>
      <c r="O25">
        <v>13.415177999999999</v>
      </c>
      <c r="P25">
        <v>13.704765999999999</v>
      </c>
      <c r="Q25">
        <v>14.040834</v>
      </c>
      <c r="R25">
        <v>14.343069</v>
      </c>
      <c r="S25">
        <v>14.775126999999999</v>
      </c>
      <c r="T25">
        <v>15.125546999999999</v>
      </c>
      <c r="U25">
        <v>15.492495999999999</v>
      </c>
      <c r="V25">
        <v>16.022417000000001</v>
      </c>
      <c r="W25">
        <v>16.443047</v>
      </c>
      <c r="X25">
        <v>17.566637</v>
      </c>
      <c r="Y25">
        <v>18.163277000000001</v>
      </c>
      <c r="Z25">
        <v>18.545463999999999</v>
      </c>
      <c r="AA25">
        <v>19.016832000000001</v>
      </c>
      <c r="AB25">
        <v>19.540983000000001</v>
      </c>
      <c r="AC25">
        <v>20.098257</v>
      </c>
      <c r="AD25" s="4">
        <v>1.8785321650157831</v>
      </c>
    </row>
    <row r="26" spans="1:30" x14ac:dyDescent="0.25">
      <c r="A26" t="s">
        <v>75</v>
      </c>
      <c r="B26" t="s">
        <v>51</v>
      </c>
      <c r="C26">
        <v>9.3847819999999995</v>
      </c>
      <c r="D26">
        <v>9.1880369999999996</v>
      </c>
      <c r="E26">
        <v>9.2457989999999999</v>
      </c>
      <c r="F26">
        <v>9.4175229999999992</v>
      </c>
      <c r="G26">
        <v>9.7121790000000008</v>
      </c>
      <c r="H26">
        <v>10.169639999999999</v>
      </c>
      <c r="I26">
        <v>10.932599</v>
      </c>
      <c r="J26">
        <v>11.851203</v>
      </c>
      <c r="K26">
        <v>12.924298</v>
      </c>
      <c r="L26">
        <v>13.484915000000001</v>
      </c>
      <c r="M26">
        <v>14.073549999999999</v>
      </c>
      <c r="N26">
        <v>14.516232</v>
      </c>
      <c r="O26">
        <v>14.756643</v>
      </c>
      <c r="P26">
        <v>15.18228</v>
      </c>
      <c r="Q26">
        <v>15.501170999999999</v>
      </c>
      <c r="R26">
        <v>15.879305</v>
      </c>
      <c r="S26">
        <v>16.318821</v>
      </c>
      <c r="T26">
        <v>16.774813000000002</v>
      </c>
      <c r="U26">
        <v>17.220541000000001</v>
      </c>
      <c r="V26">
        <v>17.737362000000001</v>
      </c>
      <c r="W26">
        <v>18.300416999999999</v>
      </c>
      <c r="X26">
        <v>19.039207000000001</v>
      </c>
      <c r="Y26">
        <v>19.601680999999999</v>
      </c>
      <c r="Z26">
        <v>20.030861000000002</v>
      </c>
      <c r="AA26">
        <v>20.557532999999999</v>
      </c>
      <c r="AB26">
        <v>21.143249999999998</v>
      </c>
      <c r="AC26">
        <v>21.764627000000001</v>
      </c>
      <c r="AD26" s="4">
        <v>1.3191403913271509</v>
      </c>
    </row>
    <row r="27" spans="1:30" x14ac:dyDescent="0.25">
      <c r="A27" t="s">
        <v>75</v>
      </c>
      <c r="B27" t="s">
        <v>52</v>
      </c>
      <c r="C27">
        <v>11.649293999999999</v>
      </c>
      <c r="D27">
        <v>11.703706</v>
      </c>
      <c r="E27">
        <v>11.864698000000001</v>
      </c>
      <c r="F27">
        <v>12.060655000000001</v>
      </c>
      <c r="G27">
        <v>12.359309</v>
      </c>
      <c r="H27">
        <v>12.788543000000001</v>
      </c>
      <c r="I27">
        <v>13.488144</v>
      </c>
      <c r="J27">
        <v>14.384947</v>
      </c>
      <c r="K27">
        <v>15.411860000000001</v>
      </c>
      <c r="L27">
        <v>15.992006</v>
      </c>
      <c r="M27">
        <v>16.604033000000001</v>
      </c>
      <c r="N27">
        <v>17.085018000000002</v>
      </c>
      <c r="O27">
        <v>17.315479</v>
      </c>
      <c r="P27">
        <v>17.676313</v>
      </c>
      <c r="Q27">
        <v>17.998297000000001</v>
      </c>
      <c r="R27">
        <v>18.330421000000001</v>
      </c>
      <c r="S27">
        <v>18.757802999999999</v>
      </c>
      <c r="T27">
        <v>19.205812000000002</v>
      </c>
      <c r="U27">
        <v>19.623013</v>
      </c>
      <c r="V27">
        <v>20.124351999999998</v>
      </c>
      <c r="W27">
        <v>20.67914</v>
      </c>
      <c r="X27">
        <v>21.446767999999999</v>
      </c>
      <c r="Y27">
        <v>22.035862000000002</v>
      </c>
      <c r="Z27">
        <v>22.463676</v>
      </c>
      <c r="AA27">
        <v>22.985249</v>
      </c>
      <c r="AB27">
        <v>23.572205</v>
      </c>
      <c r="AC27">
        <v>24.193356000000001</v>
      </c>
      <c r="AD27" s="4">
        <v>1.0768087748493602</v>
      </c>
    </row>
    <row r="28" spans="1:30" x14ac:dyDescent="0.25">
      <c r="A28" t="s">
        <v>76</v>
      </c>
      <c r="B28" t="s">
        <v>54</v>
      </c>
      <c r="C28">
        <v>7.5196820000000004</v>
      </c>
      <c r="D28">
        <v>7.2173119999999997</v>
      </c>
      <c r="E28">
        <v>6.9551100000000003</v>
      </c>
      <c r="F28">
        <v>6.7730829999999997</v>
      </c>
      <c r="G28">
        <v>6.739363</v>
      </c>
      <c r="H28">
        <v>6.8544729999999996</v>
      </c>
      <c r="I28">
        <v>7.2120199999999999</v>
      </c>
      <c r="J28">
        <v>7.7047679999999996</v>
      </c>
      <c r="K28">
        <v>8.283868</v>
      </c>
      <c r="L28">
        <v>8.4749379999999999</v>
      </c>
      <c r="M28">
        <v>8.6912230000000008</v>
      </c>
      <c r="N28">
        <v>8.7864500000000003</v>
      </c>
      <c r="O28">
        <v>8.7188350000000003</v>
      </c>
      <c r="P28">
        <v>8.7538160000000005</v>
      </c>
      <c r="Q28">
        <v>8.739573</v>
      </c>
      <c r="R28">
        <v>8.7166230000000002</v>
      </c>
      <c r="S28">
        <v>8.7475930000000002</v>
      </c>
      <c r="T28">
        <v>8.7719799999999992</v>
      </c>
      <c r="U28">
        <v>8.7569009999999992</v>
      </c>
      <c r="V28">
        <v>8.7953250000000001</v>
      </c>
      <c r="W28">
        <v>8.8357740000000007</v>
      </c>
      <c r="X28">
        <v>8.9818060000000006</v>
      </c>
      <c r="Y28">
        <v>8.9927639999999993</v>
      </c>
      <c r="Z28">
        <v>8.9054409999999997</v>
      </c>
      <c r="AA28">
        <v>8.878679</v>
      </c>
      <c r="AB28">
        <v>8.8809439999999995</v>
      </c>
      <c r="AC28">
        <v>8.8942789999999992</v>
      </c>
      <c r="AD28" s="4" cm="1">
        <f t="array" ref="AD28:AD30">(AC28:AC30-C28:C30)/C28:C30</f>
        <v>0.18279988435681171</v>
      </c>
    </row>
    <row r="29" spans="1:30" x14ac:dyDescent="0.25">
      <c r="A29" t="s">
        <v>76</v>
      </c>
      <c r="B29" t="s">
        <v>55</v>
      </c>
      <c r="C29">
        <v>0.90910800000000003</v>
      </c>
      <c r="D29">
        <v>0.95602900000000002</v>
      </c>
      <c r="E29">
        <v>1.0476449999999999</v>
      </c>
      <c r="F29">
        <v>1.140539</v>
      </c>
      <c r="G29">
        <v>1.2082269999999999</v>
      </c>
      <c r="H29">
        <v>1.274551</v>
      </c>
      <c r="I29">
        <v>1.3337000000000001</v>
      </c>
      <c r="J29">
        <v>1.393254</v>
      </c>
      <c r="K29">
        <v>1.4576150000000001</v>
      </c>
      <c r="L29">
        <v>1.505444</v>
      </c>
      <c r="M29">
        <v>1.5319419999999999</v>
      </c>
      <c r="N29">
        <v>1.5664819999999999</v>
      </c>
      <c r="O29">
        <v>1.565515</v>
      </c>
      <c r="P29">
        <v>1.561561</v>
      </c>
      <c r="Q29">
        <v>1.5588770000000001</v>
      </c>
      <c r="R29">
        <v>1.5578110000000001</v>
      </c>
      <c r="S29">
        <v>1.5575479999999999</v>
      </c>
      <c r="T29">
        <v>1.5568280000000001</v>
      </c>
      <c r="U29">
        <v>1.5514969999999999</v>
      </c>
      <c r="V29">
        <v>1.5381180000000001</v>
      </c>
      <c r="W29">
        <v>1.5325390000000001</v>
      </c>
      <c r="X29">
        <v>1.540524</v>
      </c>
      <c r="Y29">
        <v>1.552621</v>
      </c>
      <c r="Z29">
        <v>1.5560240000000001</v>
      </c>
      <c r="AA29">
        <v>1.5606070000000001</v>
      </c>
      <c r="AB29">
        <v>1.5717939999999999</v>
      </c>
      <c r="AC29">
        <v>1.5901190000000001</v>
      </c>
      <c r="AD29" s="4">
        <v>0.74909801695728118</v>
      </c>
    </row>
    <row r="30" spans="1:30" x14ac:dyDescent="0.25">
      <c r="A30" t="s">
        <v>76</v>
      </c>
      <c r="B30" t="s">
        <v>56</v>
      </c>
      <c r="C30">
        <v>3.220504</v>
      </c>
      <c r="D30">
        <v>3.2678410000000002</v>
      </c>
      <c r="E30">
        <v>3.391642</v>
      </c>
      <c r="F30">
        <v>3.4729869999999998</v>
      </c>
      <c r="G30">
        <v>3.5197940000000001</v>
      </c>
      <c r="H30">
        <v>3.5623840000000002</v>
      </c>
      <c r="I30">
        <v>3.5942560000000001</v>
      </c>
      <c r="J30">
        <v>3.6266660000000002</v>
      </c>
      <c r="K30">
        <v>3.6566969999999999</v>
      </c>
      <c r="L30">
        <v>3.6823950000000001</v>
      </c>
      <c r="M30">
        <v>3.718626</v>
      </c>
      <c r="N30">
        <v>3.7486280000000001</v>
      </c>
      <c r="O30">
        <v>3.7663660000000001</v>
      </c>
      <c r="P30">
        <v>3.775801</v>
      </c>
      <c r="Q30">
        <v>3.78668</v>
      </c>
      <c r="R30">
        <v>3.7958509999999999</v>
      </c>
      <c r="S30">
        <v>3.7994150000000002</v>
      </c>
      <c r="T30">
        <v>3.8013759999999999</v>
      </c>
      <c r="U30">
        <v>3.8062619999999998</v>
      </c>
      <c r="V30">
        <v>3.8088730000000002</v>
      </c>
      <c r="W30">
        <v>3.8199909999999999</v>
      </c>
      <c r="X30">
        <v>3.8417400000000002</v>
      </c>
      <c r="Y30">
        <v>3.860452</v>
      </c>
      <c r="Z30">
        <v>3.8745609999999999</v>
      </c>
      <c r="AA30">
        <v>3.8859859999999999</v>
      </c>
      <c r="AB30">
        <v>3.8979339999999998</v>
      </c>
      <c r="AC30">
        <v>3.9104070000000002</v>
      </c>
      <c r="AD30" s="4">
        <v>0.21422205965277488</v>
      </c>
    </row>
    <row r="31" spans="1:30" x14ac:dyDescent="0.25">
      <c r="A31" t="s">
        <v>77</v>
      </c>
      <c r="B31" t="s">
        <v>54</v>
      </c>
      <c r="C31">
        <v>7.5196820000000004</v>
      </c>
      <c r="D31">
        <v>7.382917</v>
      </c>
      <c r="E31">
        <v>7.2421800000000003</v>
      </c>
      <c r="F31">
        <v>7.1740250000000003</v>
      </c>
      <c r="G31">
        <v>7.2635459999999998</v>
      </c>
      <c r="H31">
        <v>7.4977049999999998</v>
      </c>
      <c r="I31">
        <v>8.0129289999999997</v>
      </c>
      <c r="J31">
        <v>8.7100519999999992</v>
      </c>
      <c r="K31">
        <v>9.5288930000000001</v>
      </c>
      <c r="L31">
        <v>9.9197450000000007</v>
      </c>
      <c r="M31">
        <v>10.350846000000001</v>
      </c>
      <c r="N31">
        <v>10.645393</v>
      </c>
      <c r="O31">
        <v>10.744706000000001</v>
      </c>
      <c r="P31">
        <v>10.980998</v>
      </c>
      <c r="Q31">
        <v>11.167623000000001</v>
      </c>
      <c r="R31">
        <v>11.355802000000001</v>
      </c>
      <c r="S31">
        <v>11.633520000000001</v>
      </c>
      <c r="T31">
        <v>11.922915</v>
      </c>
      <c r="U31">
        <v>12.174348999999999</v>
      </c>
      <c r="V31">
        <v>12.515646</v>
      </c>
      <c r="W31">
        <v>12.877945</v>
      </c>
      <c r="X31">
        <v>13.410594</v>
      </c>
      <c r="Y31">
        <v>13.755765</v>
      </c>
      <c r="Z31">
        <v>13.954281</v>
      </c>
      <c r="AA31">
        <v>14.246058</v>
      </c>
      <c r="AB31">
        <v>14.587707999999999</v>
      </c>
      <c r="AC31">
        <v>14.948619000000001</v>
      </c>
      <c r="AD31" s="4" cm="1">
        <f t="array" ref="AD31:AD33">(AC31:AC33-C31:C33)/C31:C33</f>
        <v>0.98793233543652514</v>
      </c>
    </row>
    <row r="32" spans="1:30" x14ac:dyDescent="0.25">
      <c r="A32" t="s">
        <v>77</v>
      </c>
      <c r="B32" t="s">
        <v>55</v>
      </c>
      <c r="C32">
        <v>0.90910800000000003</v>
      </c>
      <c r="D32">
        <v>0.977966</v>
      </c>
      <c r="E32">
        <v>1.090886</v>
      </c>
      <c r="F32">
        <v>1.2080550000000001</v>
      </c>
      <c r="G32">
        <v>1.3022020000000001</v>
      </c>
      <c r="H32">
        <v>1.394156</v>
      </c>
      <c r="I32">
        <v>1.4818100000000001</v>
      </c>
      <c r="J32">
        <v>1.5750390000000001</v>
      </c>
      <c r="K32">
        <v>1.676688</v>
      </c>
      <c r="L32">
        <v>1.762092</v>
      </c>
      <c r="M32">
        <v>1.824473</v>
      </c>
      <c r="N32">
        <v>1.8979010000000001</v>
      </c>
      <c r="O32">
        <v>1.929271</v>
      </c>
      <c r="P32">
        <v>1.9588589999999999</v>
      </c>
      <c r="Q32">
        <v>1.991968</v>
      </c>
      <c r="R32">
        <v>2.0294780000000001</v>
      </c>
      <c r="S32">
        <v>2.0714000000000001</v>
      </c>
      <c r="T32">
        <v>2.1160480000000002</v>
      </c>
      <c r="U32">
        <v>2.156981</v>
      </c>
      <c r="V32">
        <v>2.1887249999999998</v>
      </c>
      <c r="W32">
        <v>2.2336420000000001</v>
      </c>
      <c r="X32">
        <v>2.3001330000000002</v>
      </c>
      <c r="Y32">
        <v>2.3749639999999999</v>
      </c>
      <c r="Z32">
        <v>2.4381949999999999</v>
      </c>
      <c r="AA32">
        <v>2.504032</v>
      </c>
      <c r="AB32">
        <v>2.5818059999999998</v>
      </c>
      <c r="AC32">
        <v>2.6725129999999999</v>
      </c>
      <c r="AD32" s="4">
        <v>1.9397090334701705</v>
      </c>
    </row>
    <row r="33" spans="1:30" x14ac:dyDescent="0.25">
      <c r="A33" t="s">
        <v>77</v>
      </c>
      <c r="B33" t="s">
        <v>56</v>
      </c>
      <c r="C33">
        <v>3.220504</v>
      </c>
      <c r="D33">
        <v>3.3428230000000001</v>
      </c>
      <c r="E33">
        <v>3.5316320000000001</v>
      </c>
      <c r="F33">
        <v>3.6785760000000001</v>
      </c>
      <c r="G33">
        <v>3.793561</v>
      </c>
      <c r="H33">
        <v>3.8966820000000002</v>
      </c>
      <c r="I33">
        <v>3.9934050000000001</v>
      </c>
      <c r="J33">
        <v>4.0998570000000001</v>
      </c>
      <c r="K33">
        <v>4.2062799999999996</v>
      </c>
      <c r="L33">
        <v>4.3101700000000003</v>
      </c>
      <c r="M33">
        <v>4.428712</v>
      </c>
      <c r="N33">
        <v>4.5417230000000002</v>
      </c>
      <c r="O33">
        <v>4.641502</v>
      </c>
      <c r="P33">
        <v>4.7364569999999997</v>
      </c>
      <c r="Q33">
        <v>4.8387060000000002</v>
      </c>
      <c r="R33">
        <v>4.9451400000000003</v>
      </c>
      <c r="S33">
        <v>5.0528839999999997</v>
      </c>
      <c r="T33">
        <v>5.1668469999999997</v>
      </c>
      <c r="U33">
        <v>5.2916850000000002</v>
      </c>
      <c r="V33">
        <v>5.4199820000000001</v>
      </c>
      <c r="W33">
        <v>5.5675530000000002</v>
      </c>
      <c r="X33">
        <v>5.7360420000000003</v>
      </c>
      <c r="Y33">
        <v>5.9051330000000002</v>
      </c>
      <c r="Z33">
        <v>6.0712000000000002</v>
      </c>
      <c r="AA33">
        <v>6.2351590000000003</v>
      </c>
      <c r="AB33">
        <v>6.4026889999999996</v>
      </c>
      <c r="AC33">
        <v>6.572222</v>
      </c>
      <c r="AD33" s="4">
        <v>1.0407433122269061</v>
      </c>
    </row>
    <row r="34" spans="1:30" x14ac:dyDescent="0.25">
      <c r="A34" t="s">
        <v>57</v>
      </c>
      <c r="B34" t="s">
        <v>58</v>
      </c>
      <c r="C34">
        <v>24.475612999999999</v>
      </c>
      <c r="D34">
        <v>23.318829000000001</v>
      </c>
      <c r="E34">
        <v>21.439420999999999</v>
      </c>
      <c r="F34">
        <v>18.410456</v>
      </c>
      <c r="G34">
        <v>16.365659999999998</v>
      </c>
      <c r="H34">
        <v>14.675813</v>
      </c>
      <c r="I34">
        <v>14.076625999999999</v>
      </c>
      <c r="J34">
        <v>14.319621</v>
      </c>
      <c r="K34">
        <v>13.023479</v>
      </c>
      <c r="L34">
        <v>13.07056</v>
      </c>
      <c r="M34">
        <v>12.230289000000001</v>
      </c>
      <c r="N34">
        <v>11.905193000000001</v>
      </c>
      <c r="O34">
        <v>11.997258</v>
      </c>
      <c r="P34">
        <v>12.451406</v>
      </c>
      <c r="Q34">
        <v>12.524037</v>
      </c>
      <c r="R34">
        <v>11.185408000000001</v>
      </c>
      <c r="S34">
        <v>11.282444</v>
      </c>
      <c r="T34">
        <v>11.485237</v>
      </c>
      <c r="U34">
        <v>11.798814999999999</v>
      </c>
      <c r="V34">
        <v>10.949242999999999</v>
      </c>
      <c r="W34">
        <v>9.8981790000000007</v>
      </c>
      <c r="X34">
        <v>8.2258499999999994</v>
      </c>
      <c r="Y34">
        <v>7.7881790000000004</v>
      </c>
      <c r="Z34">
        <v>7.5485550000000003</v>
      </c>
      <c r="AA34">
        <v>7.3202590000000001</v>
      </c>
      <c r="AB34">
        <v>7.2047530000000002</v>
      </c>
      <c r="AC34">
        <v>6.7930549999999998</v>
      </c>
      <c r="AD34" s="4" cm="1">
        <f t="array" ref="AD34:AD38">(AC34:AC38-C34:C38)/C34:C38</f>
        <v>-0.7224561852649003</v>
      </c>
    </row>
    <row r="35" spans="1:30" x14ac:dyDescent="0.25">
      <c r="A35" t="s">
        <v>57</v>
      </c>
      <c r="B35" t="s">
        <v>60</v>
      </c>
      <c r="C35">
        <v>89.743896000000007</v>
      </c>
      <c r="D35">
        <v>85.502387999999996</v>
      </c>
      <c r="E35">
        <v>78.611259000000004</v>
      </c>
      <c r="F35">
        <v>67.505065999999999</v>
      </c>
      <c r="G35">
        <v>60.007423000000003</v>
      </c>
      <c r="H35">
        <v>53.811324999999997</v>
      </c>
      <c r="I35">
        <v>51.614296000000003</v>
      </c>
      <c r="J35">
        <v>52.505234000000002</v>
      </c>
      <c r="K35">
        <v>47.752735000000001</v>
      </c>
      <c r="L35">
        <v>47.925376999999997</v>
      </c>
      <c r="M35">
        <v>44.844397999999998</v>
      </c>
      <c r="N35">
        <v>43.652351000000003</v>
      </c>
      <c r="O35">
        <v>43.989944000000001</v>
      </c>
      <c r="P35">
        <v>45.655140000000003</v>
      </c>
      <c r="Q35">
        <v>45.921486000000002</v>
      </c>
      <c r="R35">
        <v>41.013165000000001</v>
      </c>
      <c r="S35">
        <v>41.368926999999999</v>
      </c>
      <c r="T35">
        <v>42.112537000000003</v>
      </c>
      <c r="U35">
        <v>43.262295000000002</v>
      </c>
      <c r="V35">
        <v>40.147205</v>
      </c>
      <c r="W35">
        <v>36.293320000000001</v>
      </c>
      <c r="X35">
        <v>30.161448</v>
      </c>
      <c r="Y35">
        <v>28.556661999999999</v>
      </c>
      <c r="Z35">
        <v>27.678039999999999</v>
      </c>
      <c r="AA35">
        <v>26.84094</v>
      </c>
      <c r="AB35">
        <v>26.417431000000001</v>
      </c>
      <c r="AC35">
        <v>24.907858000000001</v>
      </c>
      <c r="AD35" s="4">
        <v>-0.72245624370932149</v>
      </c>
    </row>
    <row r="36" spans="1:30" x14ac:dyDescent="0.25">
      <c r="A36" t="s">
        <v>57</v>
      </c>
      <c r="B36" t="s">
        <v>61</v>
      </c>
      <c r="C36">
        <v>2.0438999999999999E-2</v>
      </c>
      <c r="D36">
        <v>1.1544E-2</v>
      </c>
      <c r="E36">
        <v>4.4000000000000003E-3</v>
      </c>
      <c r="F36">
        <v>1.6379999999999999E-3</v>
      </c>
      <c r="G36">
        <v>4.6839999999999998E-3</v>
      </c>
      <c r="H36">
        <v>3.3899999999999998E-3</v>
      </c>
      <c r="I36">
        <v>9.9430000000000004E-3</v>
      </c>
      <c r="J36">
        <v>2.8662E-2</v>
      </c>
      <c r="K36">
        <v>1.0477999999999999E-2</v>
      </c>
      <c r="L36">
        <v>1.0758999999999999E-2</v>
      </c>
      <c r="M36">
        <v>8.2740000000000001E-3</v>
      </c>
      <c r="N36">
        <v>7.1209999999999997E-3</v>
      </c>
      <c r="O36">
        <v>7.3969999999999999E-3</v>
      </c>
      <c r="P36">
        <v>9.1610000000000007E-3</v>
      </c>
      <c r="Q36">
        <v>1.0348E-2</v>
      </c>
      <c r="R36">
        <v>1.072E-3</v>
      </c>
      <c r="S36">
        <v>1.0839999999999999E-3</v>
      </c>
      <c r="T36">
        <v>1.093E-3</v>
      </c>
      <c r="U36">
        <v>1.114E-3</v>
      </c>
      <c r="V36">
        <v>1.127E-3</v>
      </c>
      <c r="W36">
        <v>1.1540000000000001E-3</v>
      </c>
      <c r="X36">
        <v>1.1620000000000001E-3</v>
      </c>
      <c r="Y36">
        <v>1.1689999999999999E-3</v>
      </c>
      <c r="Z36">
        <v>1.173E-3</v>
      </c>
      <c r="AA36">
        <v>1.1709999999999999E-3</v>
      </c>
      <c r="AB36">
        <v>1.008E-3</v>
      </c>
      <c r="AC36">
        <v>8.8900000000000003E-4</v>
      </c>
      <c r="AD36" s="4">
        <v>-0.95650472136601594</v>
      </c>
    </row>
    <row r="37" spans="1:30" x14ac:dyDescent="0.25">
      <c r="A37" t="s">
        <v>57</v>
      </c>
      <c r="B37" t="s">
        <v>62</v>
      </c>
      <c r="C37">
        <v>4.3952999999999999E-2</v>
      </c>
      <c r="D37">
        <v>4.0828999999999997E-2</v>
      </c>
      <c r="E37">
        <v>4.1250000000000002E-2</v>
      </c>
      <c r="F37">
        <v>2.6249000000000001E-2</v>
      </c>
      <c r="G37">
        <v>2.282E-2</v>
      </c>
      <c r="H37">
        <v>2.1013E-2</v>
      </c>
      <c r="I37">
        <v>2.9359E-2</v>
      </c>
      <c r="J37">
        <v>3.2411000000000002E-2</v>
      </c>
      <c r="K37">
        <v>2.6605E-2</v>
      </c>
      <c r="L37">
        <v>2.5933999999999999E-2</v>
      </c>
      <c r="M37">
        <v>2.3651999999999999E-2</v>
      </c>
      <c r="N37">
        <v>2.1659000000000001E-2</v>
      </c>
      <c r="O37">
        <v>2.2109E-2</v>
      </c>
      <c r="P37">
        <v>2.3192999999999998E-2</v>
      </c>
      <c r="Q37">
        <v>2.2284000000000002E-2</v>
      </c>
      <c r="R37">
        <v>1.6558E-2</v>
      </c>
      <c r="S37">
        <v>1.6611000000000001E-2</v>
      </c>
      <c r="T37">
        <v>1.6948999999999999E-2</v>
      </c>
      <c r="U37">
        <v>1.7047E-2</v>
      </c>
      <c r="V37">
        <v>1.6459999999999999E-2</v>
      </c>
      <c r="W37">
        <v>1.6112999999999999E-2</v>
      </c>
      <c r="X37">
        <v>1.4959E-2</v>
      </c>
      <c r="Y37">
        <v>1.4781000000000001E-2</v>
      </c>
      <c r="Z37">
        <v>1.4515E-2</v>
      </c>
      <c r="AA37">
        <v>1.4024E-2</v>
      </c>
      <c r="AB37">
        <v>1.3743E-2</v>
      </c>
      <c r="AC37">
        <v>1.3125E-2</v>
      </c>
      <c r="AD37" s="4">
        <v>-0.70138557095078835</v>
      </c>
    </row>
    <row r="38" spans="1:30" x14ac:dyDescent="0.25">
      <c r="A38" t="s">
        <v>57</v>
      </c>
      <c r="B38" t="s">
        <v>63</v>
      </c>
      <c r="C38">
        <v>4.4588999999999997E-2</v>
      </c>
      <c r="D38">
        <v>3.9660000000000001E-2</v>
      </c>
      <c r="E38">
        <v>4.7375E-2</v>
      </c>
      <c r="F38">
        <v>1.0265E-2</v>
      </c>
      <c r="G38">
        <v>1.0635E-2</v>
      </c>
      <c r="H38">
        <v>1.1036000000000001E-2</v>
      </c>
      <c r="I38">
        <v>1.8765E-2</v>
      </c>
      <c r="J38">
        <v>3.4083000000000002E-2</v>
      </c>
      <c r="K38">
        <v>2.3511000000000001E-2</v>
      </c>
      <c r="L38">
        <v>2.3709000000000001E-2</v>
      </c>
      <c r="M38">
        <v>1.7635000000000001E-2</v>
      </c>
      <c r="N38">
        <v>1.4716E-2</v>
      </c>
      <c r="O38">
        <v>1.5107000000000001E-2</v>
      </c>
      <c r="P38">
        <v>1.7590000000000001E-2</v>
      </c>
      <c r="Q38">
        <v>1.7253000000000001E-2</v>
      </c>
      <c r="R38">
        <v>3.8999999999999999E-5</v>
      </c>
      <c r="S38">
        <v>3.8999999999999999E-5</v>
      </c>
      <c r="T38">
        <v>3.3000000000000003E-5</v>
      </c>
      <c r="U38">
        <v>3.0000000000000001E-6</v>
      </c>
      <c r="V38">
        <v>1.2999999999999999E-5</v>
      </c>
      <c r="W38">
        <v>3.9999999999999998E-6</v>
      </c>
      <c r="X38">
        <v>4.8999999999999998E-5</v>
      </c>
      <c r="Y38">
        <v>1.5999999999999999E-5</v>
      </c>
      <c r="Z38">
        <v>3.3000000000000003E-5</v>
      </c>
      <c r="AA38">
        <v>4.8999999999999998E-5</v>
      </c>
      <c r="AB38">
        <v>2.5999999999999998E-5</v>
      </c>
      <c r="AC38">
        <v>2.0999999999999999E-5</v>
      </c>
      <c r="AD38" s="4">
        <v>-0.99952903182399244</v>
      </c>
    </row>
    <row r="39" spans="1:30" x14ac:dyDescent="0.25">
      <c r="A39" t="s">
        <v>70</v>
      </c>
      <c r="B39" t="s">
        <v>66</v>
      </c>
      <c r="C39" cm="1">
        <f t="array" ref="C39:C42">907185*C34:C37*10^6/(C17*10^9)</f>
        <v>91.569327411687041</v>
      </c>
      <c r="D39" cm="1">
        <f t="array" ref="D39:D42">907185*D34:D37*10^6/(D17*10^9)</f>
        <v>89.360297441658631</v>
      </c>
      <c r="E39" cm="1">
        <f t="array" ref="E39:E42">907185*E34:E37*10^6/(E17*10^9)</f>
        <v>81.052853311897792</v>
      </c>
      <c r="F39" cm="1">
        <f t="array" ref="F39:F42">907185*F34:F37*10^6/(F17*10^9)</f>
        <v>67.87191303127527</v>
      </c>
      <c r="G39" cm="1">
        <f t="array" ref="G39:G42">907185*G34:G37*10^6/(G17*10^9)</f>
        <v>58.958498644382097</v>
      </c>
      <c r="H39" cm="1">
        <f t="array" ref="H39:H42">907185*H34:H37*10^6/(H17*10^9)</f>
        <v>52.118949773273158</v>
      </c>
      <c r="I39" cm="1">
        <f t="array" ref="I39:I42">907185*I34:I37*10^6/(I17*10^9)</f>
        <v>50.792026021541432</v>
      </c>
      <c r="J39" cm="1">
        <f t="array" ref="J39:J42">907185*J34:J37*10^6/(J17*10^9)</f>
        <v>50.598937840392836</v>
      </c>
      <c r="K39" cm="1">
        <f t="array" ref="K39:K42">907185*K34:K37*10^6/(K17*10^9)</f>
        <v>45.396754189741927</v>
      </c>
      <c r="L39" cm="1">
        <f t="array" ref="L39:L42">907185*L34:L37*10^6/(L17*10^9)</f>
        <v>44.869184667346808</v>
      </c>
      <c r="M39" cm="1">
        <f t="array" ref="M39:M42">907185*M34:M37*10^6/(M17*10^9)</f>
        <v>41.120057656421551</v>
      </c>
      <c r="N39" cm="1">
        <f t="array" ref="N39:N42">907185*N34:N37*10^6/(N17*10^9)</f>
        <v>39.514175569504779</v>
      </c>
      <c r="O39" cm="1">
        <f t="array" ref="O39:O42">907185*O34:O37*10^6/(O17*10^9)</f>
        <v>39.013591924373685</v>
      </c>
      <c r="P39" cm="1">
        <f t="array" ref="P39:P42">907185*P34:P37*10^6/(P17*10^9)</f>
        <v>39.79371337062512</v>
      </c>
      <c r="Q39" cm="1">
        <f t="array" ref="Q39:Q42">907185*Q34:Q37*10^6/(Q17*10^9)</f>
        <v>39.276517689950062</v>
      </c>
      <c r="R39" cm="1">
        <f t="array" ref="R39:R42">907185*R34:R37*10^6/(R17*10^9)</f>
        <v>34.518748882741974</v>
      </c>
      <c r="S39" cm="1">
        <f t="array" ref="S39:S42">907185*S34:S37*10^6/(S17*10^9)</f>
        <v>34.179693305423342</v>
      </c>
      <c r="T39" cm="1">
        <f t="array" ref="T39:T42">907185*T34:T37*10^6/(T17*10^9)</f>
        <v>33.578449724460526</v>
      </c>
      <c r="U39" cm="1">
        <f t="array" ref="U39:U42">907185*U34:U37*10^6/(U17*10^9)</f>
        <v>34.023515937917097</v>
      </c>
      <c r="V39" cm="1">
        <f t="array" ref="V39:V42">907185*V34:V37*10^6/(V17*10^9)</f>
        <v>31.338857550433108</v>
      </c>
      <c r="W39" cm="1">
        <f t="array" ref="W39:W42">907185*W34:W37*10^6/(W17*10^9)</f>
        <v>27.724261618020435</v>
      </c>
      <c r="X39" cm="1">
        <f t="array" ref="X39:X42">907185*X34:X37*10^6/(X17*10^9)</f>
        <v>22.73419088591961</v>
      </c>
      <c r="Y39" cm="1">
        <f t="array" ref="Y39:Y42">907185*Y34:Y37*10^6/(Y17*10^9)</f>
        <v>21.392292881925133</v>
      </c>
      <c r="Z39" cm="1">
        <f t="array" ref="Z39:Z42">907185*Z34:Z37*10^6/(Z17*10^9)</f>
        <v>20.64135511763924</v>
      </c>
      <c r="AA39" cm="1">
        <f t="array" ref="AA39:AA42">907185*AA34:AA37*10^6/(AA17*10^9)</f>
        <v>19.829044459106484</v>
      </c>
      <c r="AB39" cm="1">
        <f t="array" ref="AB39:AB42">907185*AB34:AB37*10^6/(AB17*10^9)</f>
        <v>19.24184651229108</v>
      </c>
      <c r="AC39" cm="1">
        <f t="array" ref="AC39:AC42">907185*AC34:AC37*10^6/(AC17*10^9)</f>
        <v>17.857377345435562</v>
      </c>
      <c r="AD39" s="4" cm="1">
        <f t="array" ref="AD39:AD43">(AC39:AC43-C39:C43)/C39:C43</f>
        <v>-0.80498516424445832</v>
      </c>
    </row>
    <row r="40" spans="1:30" x14ac:dyDescent="0.25">
      <c r="A40" t="s">
        <v>70</v>
      </c>
      <c r="B40" t="s">
        <v>67</v>
      </c>
      <c r="C40">
        <v>335.75413191998058</v>
      </c>
      <c r="D40">
        <v>327.65448143438522</v>
      </c>
      <c r="E40">
        <v>297.19397946383936</v>
      </c>
      <c r="F40">
        <v>248.8639047681653</v>
      </c>
      <c r="G40">
        <v>216.18117250378927</v>
      </c>
      <c r="H40">
        <v>191.10285371640248</v>
      </c>
      <c r="I40">
        <v>186.23743115115383</v>
      </c>
      <c r="J40">
        <v>185.52928680593433</v>
      </c>
      <c r="K40">
        <v>166.45469099945458</v>
      </c>
      <c r="L40">
        <v>164.52031059611949</v>
      </c>
      <c r="M40">
        <v>150.77356155095887</v>
      </c>
      <c r="N40">
        <v>144.88523297653788</v>
      </c>
      <c r="O40">
        <v>143.04983055228541</v>
      </c>
      <c r="P40">
        <v>145.91023335483254</v>
      </c>
      <c r="Q40">
        <v>144.01395151002782</v>
      </c>
      <c r="R40">
        <v>126.56875310417486</v>
      </c>
      <c r="S40">
        <v>125.32543810848492</v>
      </c>
      <c r="T40">
        <v>123.12098622117976</v>
      </c>
      <c r="U40">
        <v>124.75281487533886</v>
      </c>
      <c r="V40">
        <v>114.90908901583754</v>
      </c>
      <c r="W40">
        <v>101.65561752990459</v>
      </c>
      <c r="X40">
        <v>83.358694387539074</v>
      </c>
      <c r="Y40">
        <v>78.438422798723806</v>
      </c>
      <c r="Z40">
        <v>75.684982437065571</v>
      </c>
      <c r="AA40">
        <v>72.706470165086998</v>
      </c>
      <c r="AB40">
        <v>70.55344611411941</v>
      </c>
      <c r="AC40">
        <v>65.477023102643216</v>
      </c>
      <c r="AD40" s="4">
        <v>-0.80498520531015183</v>
      </c>
    </row>
    <row r="41" spans="1:30" x14ac:dyDescent="0.25">
      <c r="A41" t="s">
        <v>70</v>
      </c>
      <c r="B41" t="s">
        <v>68</v>
      </c>
      <c r="C41">
        <v>7.6467358875443536E-2</v>
      </c>
      <c r="D41">
        <v>4.4237867761992129E-2</v>
      </c>
      <c r="E41">
        <v>1.663443031284988E-2</v>
      </c>
      <c r="F41">
        <v>6.0386442109434391E-3</v>
      </c>
      <c r="G41">
        <v>1.6874455882028943E-2</v>
      </c>
      <c r="H41">
        <v>1.2039076794682245E-2</v>
      </c>
      <c r="I41">
        <v>3.5876858185490364E-2</v>
      </c>
      <c r="J41">
        <v>0.10127829195907764</v>
      </c>
      <c r="K41">
        <v>3.6523819050202778E-2</v>
      </c>
      <c r="L41">
        <v>3.6933961347944098E-2</v>
      </c>
      <c r="M41">
        <v>2.7818423346270226E-2</v>
      </c>
      <c r="N41">
        <v>2.3635101441063872E-2</v>
      </c>
      <c r="O41">
        <v>2.4054124656199955E-2</v>
      </c>
      <c r="P41">
        <v>2.9277834823496787E-2</v>
      </c>
      <c r="Q41">
        <v>3.2452267991191913E-2</v>
      </c>
      <c r="R41">
        <v>3.3082475670354983E-3</v>
      </c>
      <c r="S41">
        <v>3.2839327669677686E-3</v>
      </c>
      <c r="T41">
        <v>3.1955148638931315E-3</v>
      </c>
      <c r="U41">
        <v>3.2123731709362037E-3</v>
      </c>
      <c r="V41">
        <v>3.2256926309278291E-3</v>
      </c>
      <c r="W41">
        <v>3.2322913040060785E-3</v>
      </c>
      <c r="X41">
        <v>3.2114772101896568E-3</v>
      </c>
      <c r="Y41">
        <v>3.2109675931909728E-3</v>
      </c>
      <c r="Z41">
        <v>3.2075423114742924E-3</v>
      </c>
      <c r="AA41">
        <v>3.1719931031967165E-3</v>
      </c>
      <c r="AB41">
        <v>2.692081364120242E-3</v>
      </c>
      <c r="AC41">
        <v>2.3369762882962403E-3</v>
      </c>
      <c r="AD41" s="4">
        <v>-0.96943825021990226</v>
      </c>
    </row>
    <row r="42" spans="1:30" x14ac:dyDescent="0.25">
      <c r="A42" t="s">
        <v>70</v>
      </c>
      <c r="B42" t="s">
        <v>69</v>
      </c>
      <c r="C42">
        <v>0.1644390539973761</v>
      </c>
      <c r="D42">
        <v>0.15646118354594393</v>
      </c>
      <c r="E42">
        <v>0.15594778418296762</v>
      </c>
      <c r="F42">
        <v>9.6769457810167478E-2</v>
      </c>
      <c r="G42">
        <v>8.2210735104163199E-2</v>
      </c>
      <c r="H42">
        <v>7.4624519376595283E-2</v>
      </c>
      <c r="I42">
        <v>0.1059346957123415</v>
      </c>
      <c r="J42">
        <v>0.11452552929612958</v>
      </c>
      <c r="K42">
        <v>9.2738710233884816E-2</v>
      </c>
      <c r="L42">
        <v>8.9027358824944933E-2</v>
      </c>
      <c r="M42">
        <v>7.9521555352427276E-2</v>
      </c>
      <c r="N42">
        <v>7.1887749208257606E-2</v>
      </c>
      <c r="O42">
        <v>7.1895720160054716E-2</v>
      </c>
      <c r="P42">
        <v>7.4123002189865825E-2</v>
      </c>
      <c r="Q42">
        <v>6.9884648233061536E-2</v>
      </c>
      <c r="R42">
        <v>5.1098846282624795E-2</v>
      </c>
      <c r="S42">
        <v>5.0322331358027314E-2</v>
      </c>
      <c r="T42">
        <v>4.9552407528018927E-2</v>
      </c>
      <c r="U42">
        <v>4.915738370282717E-2</v>
      </c>
      <c r="V42">
        <v>4.7111713136709907E-2</v>
      </c>
      <c r="W42">
        <v>4.5131637592244311E-2</v>
      </c>
      <c r="X42">
        <v>4.1342932519128295E-2</v>
      </c>
      <c r="Y42">
        <v>4.0599924717669621E-2</v>
      </c>
      <c r="Z42">
        <v>3.9690943436529715E-2</v>
      </c>
      <c r="AA42">
        <v>3.7988071118045051E-2</v>
      </c>
      <c r="AB42">
        <v>3.6703645026889373E-2</v>
      </c>
      <c r="AC42">
        <v>3.4502602681538978E-2</v>
      </c>
      <c r="AD42" s="4">
        <v>-0.790179997738922</v>
      </c>
    </row>
    <row r="43" spans="1:30" x14ac:dyDescent="0.25">
      <c r="A43" t="s">
        <v>70</v>
      </c>
      <c r="B43" t="s">
        <v>65</v>
      </c>
      <c r="C43">
        <f>907185*C38/(C17*10^9)</f>
        <v>1.6681848744543041E-7</v>
      </c>
      <c r="D43">
        <f>907185*D38/(D17*10^9)</f>
        <v>1.5198144797649063E-7</v>
      </c>
      <c r="E43">
        <f>907185*E38/(E17*10^9)</f>
        <v>1.7910366728892341E-7</v>
      </c>
      <c r="F43">
        <f>907185*F38/(F17*10^9)</f>
        <v>3.7842907707774362E-8</v>
      </c>
      <c r="G43">
        <f>907185*G38/(G17*10^9)</f>
        <v>3.8313372823522165E-8</v>
      </c>
      <c r="H43">
        <f>907185*H38/(H17*10^9)</f>
        <v>3.9192699559325447E-8</v>
      </c>
      <c r="I43">
        <f>907185*I38/(I17*10^9)</f>
        <v>6.770886491508868E-8</v>
      </c>
      <c r="J43">
        <f>907185*J38/(J17*10^9)</f>
        <v>1.2043360633735412E-7</v>
      </c>
      <c r="K43">
        <f>907185*K38/(K17*10^9)</f>
        <v>8.1953761184321212E-8</v>
      </c>
      <c r="L43">
        <f>907185*L38/(L17*10^9)</f>
        <v>8.138928242386903E-8</v>
      </c>
      <c r="M43">
        <f>907185*M38/(M17*10^9)</f>
        <v>5.9291502986641936E-8</v>
      </c>
      <c r="N43">
        <f>907185*N38/(N17*10^9)</f>
        <v>4.8843442326456382E-8</v>
      </c>
      <c r="O43">
        <f>907185*O38/(O17*10^9)</f>
        <v>4.9126086410870993E-8</v>
      </c>
      <c r="P43">
        <f>907185*P38/(P17*10^9)</f>
        <v>5.6216255271838056E-8</v>
      </c>
      <c r="Q43">
        <f>907185*Q38/(Q17*10^9)</f>
        <v>5.4106975227293607E-8</v>
      </c>
      <c r="R43">
        <f>907185*R38/(R17*10^9)</f>
        <v>1.2035602156192577E-10</v>
      </c>
      <c r="S43">
        <f>907185*S38/(S17*10^9)</f>
        <v>1.1814887261230902E-10</v>
      </c>
      <c r="T43">
        <f>907185*T38/(T17*10^9)</f>
        <v>9.64794057717048E-11</v>
      </c>
      <c r="U43">
        <f>907185*U38/(U17*10^9)</f>
        <v>8.6509151820544092E-12</v>
      </c>
      <c r="V43">
        <f>907185*V38/(V17*10^9)</f>
        <v>3.7208521918422168E-11</v>
      </c>
      <c r="W43">
        <f>907185*W38/(W17*10^9)</f>
        <v>1.1203782682863356E-11</v>
      </c>
      <c r="X43">
        <f>907185*X38/(X17*10^9)</f>
        <v>1.3542373777908191E-10</v>
      </c>
      <c r="Y43">
        <f>907185*Y38/(Y17*10^9)</f>
        <v>4.3948230531270804E-11</v>
      </c>
      <c r="Z43">
        <f>907185*Z38/(Z17*10^9)</f>
        <v>9.0237763238407202E-11</v>
      </c>
      <c r="AA43">
        <f>907185*AA38/(AA17*10^9)</f>
        <v>1.3273071055221102E-10</v>
      </c>
      <c r="AB43">
        <f>907185*AB38/(AB17*10^9)</f>
        <v>6.943860661421259E-11</v>
      </c>
      <c r="AC43">
        <f>907185*AC38/(AC17*10^9)</f>
        <v>5.5204164290462359E-11</v>
      </c>
      <c r="AD43" s="4">
        <v>-0.99966907646067393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43"/>
  <sheetViews>
    <sheetView tabSelected="1" topLeftCell="A31" zoomScale="70" zoomScaleNormal="70" workbookViewId="0">
      <selection activeCell="B16" sqref="B16:B17"/>
    </sheetView>
  </sheetViews>
  <sheetFormatPr defaultRowHeight="15" x14ac:dyDescent="0.25"/>
  <cols>
    <col min="1" max="1" width="44.7109375" bestFit="1" customWidth="1"/>
    <col min="2" max="2" width="16.140625" bestFit="1" customWidth="1"/>
    <col min="3" max="4" width="12.7109375" bestFit="1" customWidth="1"/>
    <col min="5" max="13" width="11.5703125" bestFit="1" customWidth="1"/>
    <col min="14" max="29" width="12.7109375" bestFit="1" customWidth="1"/>
    <col min="30" max="30" width="19.42578125" bestFit="1" customWidth="1"/>
  </cols>
  <sheetData>
    <row r="1" spans="1:30" s="3" customFormat="1" ht="15.75" thickBot="1" x14ac:dyDescent="0.3">
      <c r="A1" s="3" t="s">
        <v>72</v>
      </c>
      <c r="B1" s="1" t="s">
        <v>73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</row>
    <row r="2" spans="1:30" ht="15.75" thickTop="1" x14ac:dyDescent="0.25">
      <c r="A2" t="s">
        <v>29</v>
      </c>
      <c r="B2" t="s">
        <v>30</v>
      </c>
      <c r="C2">
        <v>0.90981800000000002</v>
      </c>
      <c r="D2">
        <v>0.92998999999999998</v>
      </c>
      <c r="E2">
        <v>0.94973300000000005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 s="4" cm="1">
        <f t="array" ref="AD2:AD17">(AC2:AC17-C2:C17)/C2:C17</f>
        <v>-1</v>
      </c>
    </row>
    <row r="3" spans="1:30" x14ac:dyDescent="0.25">
      <c r="A3" t="s">
        <v>29</v>
      </c>
      <c r="B3" t="s">
        <v>32</v>
      </c>
      <c r="C3">
        <v>1.7839000000000001E-2</v>
      </c>
      <c r="D3">
        <v>3.9237000000000001E-2</v>
      </c>
      <c r="E3">
        <v>1.8430999999999999E-2</v>
      </c>
      <c r="F3">
        <v>1.3604E-2</v>
      </c>
      <c r="G3">
        <v>1.434E-2</v>
      </c>
      <c r="H3">
        <v>1.1981E-2</v>
      </c>
      <c r="I3">
        <v>1.1795E-2</v>
      </c>
      <c r="J3">
        <v>9.7179999999999992E-3</v>
      </c>
      <c r="K3">
        <v>7.4840000000000002E-3</v>
      </c>
      <c r="L3">
        <v>1.643E-2</v>
      </c>
      <c r="M3">
        <v>8.0909999999999992E-3</v>
      </c>
      <c r="N3">
        <v>2.2637000000000001E-2</v>
      </c>
      <c r="O3">
        <v>9.4240000000000001E-3</v>
      </c>
      <c r="P3">
        <v>2.5241E-2</v>
      </c>
      <c r="Q3">
        <v>1.515E-2</v>
      </c>
      <c r="R3">
        <v>7.4440000000000001E-3</v>
      </c>
      <c r="S3">
        <v>8.0400000000000003E-3</v>
      </c>
      <c r="T3">
        <v>6.6109999999999997E-3</v>
      </c>
      <c r="U3">
        <v>1.3653999999999999E-2</v>
      </c>
      <c r="V3">
        <v>4.045E-3</v>
      </c>
      <c r="W3">
        <v>6.0780000000000001E-3</v>
      </c>
      <c r="X3">
        <v>6.9589999999999999E-3</v>
      </c>
      <c r="Y3">
        <v>4.8390000000000004E-3</v>
      </c>
      <c r="Z3">
        <v>4.8479999999999999E-3</v>
      </c>
      <c r="AA3">
        <v>4.7910000000000001E-3</v>
      </c>
      <c r="AB3">
        <v>4.6189999999999998E-3</v>
      </c>
      <c r="AC3">
        <v>4.8510000000000003E-3</v>
      </c>
      <c r="AD3" s="4">
        <v>-0.72806771680026905</v>
      </c>
    </row>
    <row r="4" spans="1:30" x14ac:dyDescent="0.25">
      <c r="A4" t="s">
        <v>29</v>
      </c>
      <c r="B4" t="s">
        <v>33</v>
      </c>
      <c r="C4">
        <v>60.090178999999999</v>
      </c>
      <c r="D4">
        <v>53.349429999999998</v>
      </c>
      <c r="E4">
        <v>33.754348999999998</v>
      </c>
      <c r="F4">
        <v>28.400928</v>
      </c>
      <c r="G4">
        <v>25.987138999999999</v>
      </c>
      <c r="H4">
        <v>25.696736999999999</v>
      </c>
      <c r="I4">
        <v>23.344746000000001</v>
      </c>
      <c r="J4">
        <v>21.129663000000001</v>
      </c>
      <c r="K4">
        <v>23.618034000000002</v>
      </c>
      <c r="L4">
        <v>22.230774</v>
      </c>
      <c r="M4">
        <v>21.610598</v>
      </c>
      <c r="N4">
        <v>22.145638999999999</v>
      </c>
      <c r="O4">
        <v>21.783325000000001</v>
      </c>
      <c r="P4">
        <v>18.172224</v>
      </c>
      <c r="Q4">
        <v>17.351122</v>
      </c>
      <c r="R4">
        <v>17.594147</v>
      </c>
      <c r="S4">
        <v>17.690450999999999</v>
      </c>
      <c r="T4">
        <v>17.770848999999998</v>
      </c>
      <c r="U4">
        <v>17.228064</v>
      </c>
      <c r="V4">
        <v>17.611704</v>
      </c>
      <c r="W4">
        <v>12.369694000000001</v>
      </c>
      <c r="X4">
        <v>10.068117000000001</v>
      </c>
      <c r="Y4">
        <v>10.79579</v>
      </c>
      <c r="Z4">
        <v>10.83616</v>
      </c>
      <c r="AA4">
        <v>10.918545</v>
      </c>
      <c r="AB4">
        <v>11.086205</v>
      </c>
      <c r="AC4">
        <v>11.171583999999999</v>
      </c>
      <c r="AD4" s="4">
        <v>-0.81408635843804023</v>
      </c>
    </row>
    <row r="5" spans="1:30" x14ac:dyDescent="0.25">
      <c r="A5" t="s">
        <v>29</v>
      </c>
      <c r="B5" t="s">
        <v>34</v>
      </c>
      <c r="C5">
        <v>26.333290000000002</v>
      </c>
      <c r="D5">
        <v>26.741506999999999</v>
      </c>
      <c r="E5">
        <v>26.680641000000001</v>
      </c>
      <c r="F5">
        <v>26.619769999999999</v>
      </c>
      <c r="G5">
        <v>26.609776</v>
      </c>
      <c r="H5">
        <v>26.609776</v>
      </c>
      <c r="I5">
        <v>26.609776</v>
      </c>
      <c r="J5">
        <v>26.609776</v>
      </c>
      <c r="K5">
        <v>26.619769999999999</v>
      </c>
      <c r="L5">
        <v>26.619769999999999</v>
      </c>
      <c r="M5">
        <v>26.619769999999999</v>
      </c>
      <c r="N5">
        <v>26.619769999999999</v>
      </c>
      <c r="O5">
        <v>26.619769999999999</v>
      </c>
      <c r="P5">
        <v>23.775124000000002</v>
      </c>
      <c r="Q5">
        <v>21.285271000000002</v>
      </c>
      <c r="R5">
        <v>19.487694000000001</v>
      </c>
      <c r="S5">
        <v>19.471502000000001</v>
      </c>
      <c r="T5">
        <v>19.459913</v>
      </c>
      <c r="U5">
        <v>18.754839</v>
      </c>
      <c r="V5">
        <v>19.377617000000001</v>
      </c>
      <c r="W5">
        <v>19.481411000000001</v>
      </c>
      <c r="X5">
        <v>19.333597000000001</v>
      </c>
      <c r="Y5">
        <v>19.474138</v>
      </c>
      <c r="Z5">
        <v>19.38616</v>
      </c>
      <c r="AA5">
        <v>19.382000000000001</v>
      </c>
      <c r="AB5">
        <v>19.382082</v>
      </c>
      <c r="AC5">
        <v>19.374022</v>
      </c>
      <c r="AD5" s="4">
        <v>-0.26427643488527264</v>
      </c>
    </row>
    <row r="6" spans="1:30" x14ac:dyDescent="0.25">
      <c r="A6" t="s">
        <v>29</v>
      </c>
      <c r="B6" t="s">
        <v>35</v>
      </c>
      <c r="C6">
        <v>0.90530999999999995</v>
      </c>
      <c r="D6">
        <v>0.931782</v>
      </c>
      <c r="E6">
        <v>0.81809900000000002</v>
      </c>
      <c r="F6">
        <v>0.87269300000000005</v>
      </c>
      <c r="G6">
        <v>0.83952499999999997</v>
      </c>
      <c r="H6">
        <v>0.80981000000000003</v>
      </c>
      <c r="I6">
        <v>0.77310800000000002</v>
      </c>
      <c r="J6">
        <v>0.75585800000000003</v>
      </c>
      <c r="K6">
        <v>0.70069300000000001</v>
      </c>
      <c r="L6">
        <v>0.68941699999999995</v>
      </c>
      <c r="M6">
        <v>0.65899399999999997</v>
      </c>
      <c r="N6">
        <v>0.63876299999999997</v>
      </c>
      <c r="O6">
        <v>0.60634100000000002</v>
      </c>
      <c r="P6">
        <v>0.53033200000000003</v>
      </c>
      <c r="Q6">
        <v>0.52633300000000005</v>
      </c>
      <c r="R6">
        <v>0.49846499999999999</v>
      </c>
      <c r="S6">
        <v>0.514289</v>
      </c>
      <c r="T6">
        <v>0.51525299999999996</v>
      </c>
      <c r="U6">
        <v>0.52234199999999997</v>
      </c>
      <c r="V6">
        <v>0.517378</v>
      </c>
      <c r="W6">
        <v>0.49865100000000001</v>
      </c>
      <c r="X6">
        <v>0.49318800000000002</v>
      </c>
      <c r="Y6">
        <v>0.48504399999999998</v>
      </c>
      <c r="Z6">
        <v>0.49976999999999999</v>
      </c>
      <c r="AA6">
        <v>0.49458600000000003</v>
      </c>
      <c r="AB6">
        <v>0.47354400000000002</v>
      </c>
      <c r="AC6">
        <v>0.46750799999999998</v>
      </c>
      <c r="AD6" s="4">
        <v>-0.4835934652218577</v>
      </c>
    </row>
    <row r="7" spans="1:30" x14ac:dyDescent="0.25">
      <c r="A7" t="s">
        <v>29</v>
      </c>
      <c r="B7" t="s">
        <v>36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 s="4" t="e">
        <v>#DIV/0!</v>
      </c>
    </row>
    <row r="8" spans="1:30" x14ac:dyDescent="0.25">
      <c r="A8" t="s">
        <v>29</v>
      </c>
      <c r="B8" t="s">
        <v>37</v>
      </c>
      <c r="C8">
        <v>6.838095</v>
      </c>
      <c r="D8">
        <v>7.4267799999999999</v>
      </c>
      <c r="E8">
        <v>7.7145400000000004</v>
      </c>
      <c r="F8">
        <v>7.9988530000000004</v>
      </c>
      <c r="G8">
        <v>7.9994269999999998</v>
      </c>
      <c r="H8">
        <v>8.0019340000000003</v>
      </c>
      <c r="I8">
        <v>8.0033449999999995</v>
      </c>
      <c r="J8">
        <v>8.0022549999999999</v>
      </c>
      <c r="K8">
        <v>8.0078300000000002</v>
      </c>
      <c r="L8">
        <v>8.0115390000000009</v>
      </c>
      <c r="M8">
        <v>8.0102010000000003</v>
      </c>
      <c r="N8">
        <v>8.0129029999999997</v>
      </c>
      <c r="O8">
        <v>8.0151540000000008</v>
      </c>
      <c r="P8">
        <v>8.0112860000000001</v>
      </c>
      <c r="Q8">
        <v>8.0119849999999992</v>
      </c>
      <c r="R8">
        <v>8.0023269999999993</v>
      </c>
      <c r="S8">
        <v>8.0008569999999999</v>
      </c>
      <c r="T8">
        <v>7.8607550000000002</v>
      </c>
      <c r="U8">
        <v>7.7120569999999997</v>
      </c>
      <c r="V8">
        <v>7.7845490000000002</v>
      </c>
      <c r="W8">
        <v>7.7929950000000003</v>
      </c>
      <c r="X8">
        <v>7.7955889999999997</v>
      </c>
      <c r="Y8">
        <v>7.7850720000000004</v>
      </c>
      <c r="Z8">
        <v>7.7130679999999998</v>
      </c>
      <c r="AA8">
        <v>7.7383360000000003</v>
      </c>
      <c r="AB8">
        <v>7.6904709999999996</v>
      </c>
      <c r="AC8">
        <v>8.0124309999999994</v>
      </c>
      <c r="AD8" s="4">
        <v>0.17173437923866214</v>
      </c>
    </row>
    <row r="9" spans="1:30" x14ac:dyDescent="0.25">
      <c r="A9" t="s">
        <v>29</v>
      </c>
      <c r="B9" t="s">
        <v>38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 s="4" t="e">
        <v>#DIV/0!</v>
      </c>
    </row>
    <row r="10" spans="1:30" x14ac:dyDescent="0.25">
      <c r="A10" t="s">
        <v>29</v>
      </c>
      <c r="B10" t="s">
        <v>39</v>
      </c>
      <c r="C10">
        <v>0.97675900000000004</v>
      </c>
      <c r="D10">
        <v>0.912493</v>
      </c>
      <c r="E10">
        <v>0.98209599999999997</v>
      </c>
      <c r="F10">
        <v>0.98402699999999999</v>
      </c>
      <c r="G10">
        <v>0.98623499999999997</v>
      </c>
      <c r="H10">
        <v>0.98860800000000004</v>
      </c>
      <c r="I10">
        <v>0.98670400000000003</v>
      </c>
      <c r="J10">
        <v>0.99346800000000002</v>
      </c>
      <c r="K10">
        <v>0.99590599999999996</v>
      </c>
      <c r="L10">
        <v>0.99828099999999997</v>
      </c>
      <c r="M10">
        <v>0.996166</v>
      </c>
      <c r="N10">
        <v>1.00285</v>
      </c>
      <c r="O10">
        <v>1.0011080000000001</v>
      </c>
      <c r="P10">
        <v>0.55079800000000001</v>
      </c>
      <c r="Q10">
        <v>0.556562</v>
      </c>
      <c r="R10">
        <v>0.118642</v>
      </c>
      <c r="S10">
        <v>9.7318000000000002E-2</v>
      </c>
      <c r="T10">
        <v>8.3835999999999994E-2</v>
      </c>
      <c r="U10">
        <v>9.3558000000000002E-2</v>
      </c>
      <c r="V10">
        <v>9.4517000000000004E-2</v>
      </c>
      <c r="W10">
        <v>8.6475999999999997E-2</v>
      </c>
      <c r="X10">
        <v>9.5587000000000005E-2</v>
      </c>
      <c r="Y10">
        <v>9.1818999999999998E-2</v>
      </c>
      <c r="Z10">
        <v>9.2387999999999998E-2</v>
      </c>
      <c r="AA10">
        <v>8.8631000000000001E-2</v>
      </c>
      <c r="AB10">
        <v>8.8631000000000001E-2</v>
      </c>
      <c r="AC10">
        <v>9.2934000000000003E-2</v>
      </c>
      <c r="AD10" s="4">
        <v>-0.90485472875089967</v>
      </c>
    </row>
    <row r="11" spans="1:30" x14ac:dyDescent="0.25">
      <c r="A11" t="s">
        <v>29</v>
      </c>
      <c r="B11" t="s">
        <v>40</v>
      </c>
      <c r="C11">
        <v>2.1112660000000001</v>
      </c>
      <c r="D11">
        <v>2.1114419999999998</v>
      </c>
      <c r="E11">
        <v>2.1114609999999998</v>
      </c>
      <c r="F11">
        <v>2.1114709999999999</v>
      </c>
      <c r="G11">
        <v>2.1026220000000002</v>
      </c>
      <c r="H11">
        <v>2.1022090000000002</v>
      </c>
      <c r="I11">
        <v>2.1159370000000002</v>
      </c>
      <c r="J11">
        <v>2.1160079999999999</v>
      </c>
      <c r="K11">
        <v>2.116088</v>
      </c>
      <c r="L11">
        <v>2.1216879999999998</v>
      </c>
      <c r="M11">
        <v>2.115901</v>
      </c>
      <c r="N11">
        <v>2.1288010000000002</v>
      </c>
      <c r="O11">
        <v>2.1229830000000001</v>
      </c>
      <c r="P11">
        <v>2.1228530000000001</v>
      </c>
      <c r="Q11">
        <v>2.1229830000000001</v>
      </c>
      <c r="R11">
        <v>2.128981</v>
      </c>
      <c r="S11">
        <v>2.1229830000000001</v>
      </c>
      <c r="T11">
        <v>2.128851</v>
      </c>
      <c r="U11">
        <v>2.0767259999999998</v>
      </c>
      <c r="V11">
        <v>2.0911430000000002</v>
      </c>
      <c r="W11">
        <v>2.1228039999999999</v>
      </c>
      <c r="X11">
        <v>2.1288019999999999</v>
      </c>
      <c r="Y11">
        <v>2.1170330000000002</v>
      </c>
      <c r="Z11">
        <v>2.1290290000000001</v>
      </c>
      <c r="AA11">
        <v>2.1230310000000001</v>
      </c>
      <c r="AB11">
        <v>2.1288019999999999</v>
      </c>
      <c r="AC11">
        <v>2.1288019999999999</v>
      </c>
      <c r="AD11" s="4">
        <v>8.3059169237792736E-3</v>
      </c>
    </row>
    <row r="12" spans="1:30" x14ac:dyDescent="0.25">
      <c r="A12" t="s">
        <v>29</v>
      </c>
      <c r="B12" t="s">
        <v>41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 s="4" t="e">
        <v>#DIV/0!</v>
      </c>
    </row>
    <row r="13" spans="1:30" x14ac:dyDescent="0.25">
      <c r="A13" t="s">
        <v>29</v>
      </c>
      <c r="B13" t="s">
        <v>42</v>
      </c>
      <c r="C13">
        <v>3.849243</v>
      </c>
      <c r="D13">
        <v>4.4277379999999997</v>
      </c>
      <c r="E13">
        <v>5.349405</v>
      </c>
      <c r="F13">
        <v>5.6012300000000002</v>
      </c>
      <c r="G13">
        <v>5.5971520000000003</v>
      </c>
      <c r="H13">
        <v>5.5939480000000001</v>
      </c>
      <c r="I13">
        <v>5.6020519999999996</v>
      </c>
      <c r="J13">
        <v>5.6236740000000003</v>
      </c>
      <c r="K13">
        <v>5.6051859999999998</v>
      </c>
      <c r="L13">
        <v>5.5935980000000001</v>
      </c>
      <c r="M13">
        <v>5.599145</v>
      </c>
      <c r="N13">
        <v>5.593369</v>
      </c>
      <c r="O13">
        <v>5.5699230000000002</v>
      </c>
      <c r="P13">
        <v>5.5814909999999998</v>
      </c>
      <c r="Q13">
        <v>5.5924370000000003</v>
      </c>
      <c r="R13">
        <v>5.608555</v>
      </c>
      <c r="S13">
        <v>5.6098280000000003</v>
      </c>
      <c r="T13">
        <v>5.6037419999999996</v>
      </c>
      <c r="U13">
        <v>5.6023680000000002</v>
      </c>
      <c r="V13">
        <v>2.916944</v>
      </c>
      <c r="W13">
        <v>2.9167900000000002</v>
      </c>
      <c r="X13">
        <v>5.5941130000000001</v>
      </c>
      <c r="Y13">
        <v>5.5930470000000003</v>
      </c>
      <c r="Z13">
        <v>3.1962030000000001</v>
      </c>
      <c r="AA13">
        <v>5.5756240000000004</v>
      </c>
      <c r="AB13">
        <v>2.9090699999999998</v>
      </c>
      <c r="AC13">
        <v>5.5743200000000002</v>
      </c>
      <c r="AD13" s="4">
        <v>0.44816006679754961</v>
      </c>
    </row>
    <row r="14" spans="1:30" x14ac:dyDescent="0.25">
      <c r="A14" t="s">
        <v>29</v>
      </c>
      <c r="B14" t="s">
        <v>43</v>
      </c>
      <c r="C14">
        <v>3.6562459999999999</v>
      </c>
      <c r="D14">
        <v>3.6760449999999998</v>
      </c>
      <c r="E14">
        <v>3.8400240000000001</v>
      </c>
      <c r="F14">
        <v>3.9678100000000001</v>
      </c>
      <c r="G14">
        <v>3.9652419999999999</v>
      </c>
      <c r="H14">
        <v>3.9661499999999998</v>
      </c>
      <c r="I14">
        <v>3.9625409999999999</v>
      </c>
      <c r="J14">
        <v>3.9535390000000001</v>
      </c>
      <c r="K14">
        <v>3.9537360000000001</v>
      </c>
      <c r="L14">
        <v>3.954844</v>
      </c>
      <c r="M14">
        <v>3.9543119999999998</v>
      </c>
      <c r="N14">
        <v>5.1063049999999999</v>
      </c>
      <c r="O14">
        <v>14.014139999999999</v>
      </c>
      <c r="P14">
        <v>24.247253000000001</v>
      </c>
      <c r="Q14">
        <v>30.054473999999999</v>
      </c>
      <c r="R14">
        <v>38.334358000000002</v>
      </c>
      <c r="S14">
        <v>40.227131</v>
      </c>
      <c r="T14">
        <v>54.917534000000003</v>
      </c>
      <c r="U14">
        <v>62.222828</v>
      </c>
      <c r="V14">
        <v>61.980606000000002</v>
      </c>
      <c r="W14">
        <v>63.383274</v>
      </c>
      <c r="X14">
        <v>63.365597000000001</v>
      </c>
      <c r="Y14">
        <v>63.287823000000003</v>
      </c>
      <c r="Z14">
        <v>63.236420000000003</v>
      </c>
      <c r="AA14">
        <v>63.059894999999997</v>
      </c>
      <c r="AB14">
        <v>63.154693999999999</v>
      </c>
      <c r="AC14">
        <v>60.631034999999997</v>
      </c>
      <c r="AD14" s="4">
        <v>15.582865321425308</v>
      </c>
    </row>
    <row r="15" spans="1:30" x14ac:dyDescent="0.25">
      <c r="A15" t="s">
        <v>29</v>
      </c>
      <c r="B15" t="s">
        <v>44</v>
      </c>
      <c r="C15">
        <v>0.100895</v>
      </c>
      <c r="D15">
        <v>5.100034</v>
      </c>
      <c r="E15">
        <v>12.401552000000001</v>
      </c>
      <c r="F15">
        <v>15.986451000000001</v>
      </c>
      <c r="G15">
        <v>19.160093</v>
      </c>
      <c r="H15">
        <v>22.335058</v>
      </c>
      <c r="I15">
        <v>25.515294999999998</v>
      </c>
      <c r="J15">
        <v>26.818428000000001</v>
      </c>
      <c r="K15">
        <v>27.660107</v>
      </c>
      <c r="L15">
        <v>28.498011000000002</v>
      </c>
      <c r="M15">
        <v>29.339818999999999</v>
      </c>
      <c r="N15">
        <v>30.178508999999998</v>
      </c>
      <c r="O15">
        <v>31.020479000000002</v>
      </c>
      <c r="P15">
        <v>31.777892999999999</v>
      </c>
      <c r="Q15">
        <v>32.686667999999997</v>
      </c>
      <c r="R15">
        <v>32.968254000000002</v>
      </c>
      <c r="S15">
        <v>33.916321000000003</v>
      </c>
      <c r="T15">
        <v>29.679518000000002</v>
      </c>
      <c r="U15">
        <v>30.060593000000001</v>
      </c>
      <c r="V15">
        <v>36.497608</v>
      </c>
      <c r="W15">
        <v>37.939594</v>
      </c>
      <c r="X15">
        <v>36.821156000000002</v>
      </c>
      <c r="Y15">
        <v>37.620032999999999</v>
      </c>
      <c r="Z15">
        <v>40.874961999999996</v>
      </c>
      <c r="AA15">
        <v>38.637847999999998</v>
      </c>
      <c r="AB15">
        <v>41.964851000000003</v>
      </c>
      <c r="AC15">
        <v>43.048198999999997</v>
      </c>
      <c r="AD15" s="4">
        <v>425.6633529907329</v>
      </c>
    </row>
    <row r="16" spans="1:30" x14ac:dyDescent="0.25">
      <c r="A16" t="s">
        <v>29</v>
      </c>
      <c r="B16" s="5" t="s">
        <v>45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4.0340000000000003E-3</v>
      </c>
      <c r="N16">
        <v>9.2829999999999996E-3</v>
      </c>
      <c r="O16">
        <v>1.4862E-2</v>
      </c>
      <c r="P16">
        <v>2.0673E-2</v>
      </c>
      <c r="Q16">
        <v>3.5610000000000003E-2</v>
      </c>
      <c r="R16">
        <v>5.1664000000000002E-2</v>
      </c>
      <c r="S16">
        <v>6.6473000000000004E-2</v>
      </c>
      <c r="T16">
        <v>8.0342999999999998E-2</v>
      </c>
      <c r="U16">
        <v>9.4646999999999995E-2</v>
      </c>
      <c r="V16">
        <v>0.108404</v>
      </c>
      <c r="W16">
        <v>0.12146</v>
      </c>
      <c r="X16">
        <v>0.13275300000000001</v>
      </c>
      <c r="Y16">
        <v>0.14160200000000001</v>
      </c>
      <c r="Z16">
        <v>0.14920800000000001</v>
      </c>
      <c r="AA16">
        <v>0.15586900000000001</v>
      </c>
      <c r="AB16">
        <v>0.162717</v>
      </c>
      <c r="AC16">
        <v>0.17079900000000001</v>
      </c>
      <c r="AD16" s="4" t="e">
        <v>#DIV/0!</v>
      </c>
    </row>
    <row r="17" spans="1:30" x14ac:dyDescent="0.25">
      <c r="A17" t="s">
        <v>29</v>
      </c>
      <c r="B17" s="5" t="s">
        <v>46</v>
      </c>
      <c r="C17">
        <v>105.78894</v>
      </c>
      <c r="D17">
        <v>105.646469</v>
      </c>
      <c r="E17">
        <v>94.620330999999993</v>
      </c>
      <c r="F17">
        <v>92.556831000000003</v>
      </c>
      <c r="G17">
        <v>93.261543000000003</v>
      </c>
      <c r="H17">
        <v>96.116211000000007</v>
      </c>
      <c r="I17">
        <v>96.925301000000005</v>
      </c>
      <c r="J17">
        <v>96.012389999999996</v>
      </c>
      <c r="K17">
        <v>99.284835999999999</v>
      </c>
      <c r="L17">
        <v>98.734343999999993</v>
      </c>
      <c r="M17">
        <v>98.917029999999997</v>
      </c>
      <c r="N17">
        <v>101.458839</v>
      </c>
      <c r="O17">
        <v>110.777512</v>
      </c>
      <c r="P17">
        <v>114.81516999999999</v>
      </c>
      <c r="Q17">
        <v>118.23859400000001</v>
      </c>
      <c r="R17">
        <v>124.80053700000001</v>
      </c>
      <c r="S17">
        <v>127.72519699999999</v>
      </c>
      <c r="T17">
        <v>138.107193</v>
      </c>
      <c r="U17">
        <v>144.38168300000001</v>
      </c>
      <c r="V17">
        <v>148.984512</v>
      </c>
      <c r="W17">
        <v>146.719223</v>
      </c>
      <c r="X17">
        <v>145.835464</v>
      </c>
      <c r="Y17">
        <v>147.39624000000001</v>
      </c>
      <c r="Z17">
        <v>148.11821</v>
      </c>
      <c r="AA17">
        <v>148.17915300000001</v>
      </c>
      <c r="AB17">
        <v>149.04568499999999</v>
      </c>
      <c r="AC17">
        <v>150.676468</v>
      </c>
      <c r="AD17" s="4">
        <v>0.42431210672873748</v>
      </c>
    </row>
    <row r="18" spans="1:30" x14ac:dyDescent="0.25">
      <c r="A18" t="s">
        <v>74</v>
      </c>
      <c r="B18" t="s">
        <v>47</v>
      </c>
      <c r="C18">
        <v>25.34742</v>
      </c>
      <c r="D18">
        <v>26.065548</v>
      </c>
      <c r="E18">
        <v>24.02186</v>
      </c>
      <c r="F18">
        <v>21.61495</v>
      </c>
      <c r="G18">
        <v>21.554736999999999</v>
      </c>
      <c r="H18">
        <v>21.794509999999999</v>
      </c>
      <c r="I18">
        <v>22.323912</v>
      </c>
      <c r="J18">
        <v>23.086079000000002</v>
      </c>
      <c r="K18">
        <v>23.850534</v>
      </c>
      <c r="L18">
        <v>24.298119</v>
      </c>
      <c r="M18">
        <v>24.824558</v>
      </c>
      <c r="N18">
        <v>24.359587000000001</v>
      </c>
      <c r="O18">
        <v>24.357292000000001</v>
      </c>
      <c r="P18">
        <v>23.975487000000001</v>
      </c>
      <c r="Q18">
        <v>23.054449000000002</v>
      </c>
      <c r="R18">
        <v>22.689558000000002</v>
      </c>
      <c r="S18">
        <v>22.526793000000001</v>
      </c>
      <c r="T18">
        <v>22.285876999999999</v>
      </c>
      <c r="U18">
        <v>21.919837999999999</v>
      </c>
      <c r="V18">
        <v>21.694502</v>
      </c>
      <c r="W18">
        <v>21.82733</v>
      </c>
      <c r="X18">
        <v>21.875070999999998</v>
      </c>
      <c r="Y18">
        <v>21.936492999999999</v>
      </c>
      <c r="Z18">
        <v>22.44755</v>
      </c>
      <c r="AA18">
        <v>22.762505000000001</v>
      </c>
      <c r="AB18">
        <v>23.111989999999999</v>
      </c>
      <c r="AC18">
        <v>23.504719000000001</v>
      </c>
      <c r="AD18" s="4" cm="1">
        <f t="array" ref="AD18:AD22">(AC18:AC22-C18:C22)/C18:C22</f>
        <v>-7.2697773580111827E-2</v>
      </c>
    </row>
    <row r="19" spans="1:30" x14ac:dyDescent="0.25">
      <c r="A19" t="s">
        <v>74</v>
      </c>
      <c r="B19" t="s">
        <v>49</v>
      </c>
      <c r="C19">
        <v>22.224957</v>
      </c>
      <c r="D19">
        <v>22.748809999999999</v>
      </c>
      <c r="E19">
        <v>21.010266999999999</v>
      </c>
      <c r="F19">
        <v>18.691965</v>
      </c>
      <c r="G19">
        <v>18.640260999999999</v>
      </c>
      <c r="H19">
        <v>18.835781000000001</v>
      </c>
      <c r="I19">
        <v>19.337233999999999</v>
      </c>
      <c r="J19">
        <v>20.098869000000001</v>
      </c>
      <c r="K19">
        <v>20.803106</v>
      </c>
      <c r="L19">
        <v>21.217348000000001</v>
      </c>
      <c r="M19">
        <v>21.880738999999998</v>
      </c>
      <c r="N19">
        <v>21.204053999999999</v>
      </c>
      <c r="O19">
        <v>21.217141999999999</v>
      </c>
      <c r="P19">
        <v>21.160399999999999</v>
      </c>
      <c r="Q19">
        <v>20.372441999999999</v>
      </c>
      <c r="R19">
        <v>19.952738</v>
      </c>
      <c r="S19">
        <v>19.801030999999998</v>
      </c>
      <c r="T19">
        <v>19.538664000000001</v>
      </c>
      <c r="U19">
        <v>19.146571999999999</v>
      </c>
      <c r="V19">
        <v>18.853090000000002</v>
      </c>
      <c r="W19">
        <v>18.739405000000001</v>
      </c>
      <c r="X19">
        <v>18.667826000000002</v>
      </c>
      <c r="Y19">
        <v>18.682936000000002</v>
      </c>
      <c r="Z19">
        <v>19.246410000000001</v>
      </c>
      <c r="AA19">
        <v>19.475521000000001</v>
      </c>
      <c r="AB19">
        <v>19.766698999999999</v>
      </c>
      <c r="AC19">
        <v>20.104208</v>
      </c>
      <c r="AD19" s="4">
        <v>-9.5421961896259233E-2</v>
      </c>
    </row>
    <row r="20" spans="1:30" x14ac:dyDescent="0.25">
      <c r="A20" t="s">
        <v>74</v>
      </c>
      <c r="B20" t="s">
        <v>50</v>
      </c>
      <c r="C20">
        <v>19.005192000000001</v>
      </c>
      <c r="D20">
        <v>19.496638999999998</v>
      </c>
      <c r="E20">
        <v>17.421102999999999</v>
      </c>
      <c r="F20">
        <v>15.011319</v>
      </c>
      <c r="G20">
        <v>14.883376</v>
      </c>
      <c r="H20">
        <v>15.081064</v>
      </c>
      <c r="I20">
        <v>15.565046000000001</v>
      </c>
      <c r="J20">
        <v>16.203011</v>
      </c>
      <c r="K20">
        <v>16.837565999999999</v>
      </c>
      <c r="L20">
        <v>17.210509999999999</v>
      </c>
      <c r="M20">
        <v>17.633234000000002</v>
      </c>
      <c r="N20">
        <v>17.228169999999999</v>
      </c>
      <c r="O20">
        <v>17.194527000000001</v>
      </c>
      <c r="P20">
        <v>16.756053999999999</v>
      </c>
      <c r="Q20">
        <v>15.866726999999999</v>
      </c>
      <c r="R20">
        <v>15.547064000000001</v>
      </c>
      <c r="S20">
        <v>15.396872</v>
      </c>
      <c r="T20">
        <v>15.139237</v>
      </c>
      <c r="U20">
        <v>14.755639</v>
      </c>
      <c r="V20">
        <v>14.522791</v>
      </c>
      <c r="W20">
        <v>14.505986999999999</v>
      </c>
      <c r="X20">
        <v>14.463863999999999</v>
      </c>
      <c r="Y20">
        <v>14.477914</v>
      </c>
      <c r="Z20">
        <v>14.853826</v>
      </c>
      <c r="AA20">
        <v>15.051429000000001</v>
      </c>
      <c r="AB20">
        <v>15.283066</v>
      </c>
      <c r="AC20">
        <v>15.543544000000001</v>
      </c>
      <c r="AD20" s="4">
        <v>-0.18214222723979848</v>
      </c>
    </row>
    <row r="21" spans="1:30" x14ac:dyDescent="0.25">
      <c r="A21" t="s">
        <v>74</v>
      </c>
      <c r="B21" t="s">
        <v>51</v>
      </c>
      <c r="C21">
        <v>21.732800999999998</v>
      </c>
      <c r="D21">
        <v>22.200901000000002</v>
      </c>
      <c r="E21">
        <v>20.145741999999998</v>
      </c>
      <c r="F21">
        <v>17.723027999999999</v>
      </c>
      <c r="G21">
        <v>17.621915999999999</v>
      </c>
      <c r="H21">
        <v>17.863277</v>
      </c>
      <c r="I21">
        <v>18.380458999999998</v>
      </c>
      <c r="J21">
        <v>19.003388999999999</v>
      </c>
      <c r="K21">
        <v>19.570753</v>
      </c>
      <c r="L21">
        <v>19.889230999999999</v>
      </c>
      <c r="M21">
        <v>20.293631000000001</v>
      </c>
      <c r="N21">
        <v>19.835650999999999</v>
      </c>
      <c r="O21">
        <v>19.748667000000001</v>
      </c>
      <c r="P21">
        <v>19.442688</v>
      </c>
      <c r="Q21">
        <v>18.684671000000002</v>
      </c>
      <c r="R21">
        <v>18.393340999999999</v>
      </c>
      <c r="S21">
        <v>18.302443</v>
      </c>
      <c r="T21">
        <v>18.073450000000001</v>
      </c>
      <c r="U21">
        <v>17.713857999999998</v>
      </c>
      <c r="V21">
        <v>17.495971999999998</v>
      </c>
      <c r="W21">
        <v>17.465800999999999</v>
      </c>
      <c r="X21">
        <v>17.408545</v>
      </c>
      <c r="Y21">
        <v>17.451564999999999</v>
      </c>
      <c r="Z21">
        <v>17.854787999999999</v>
      </c>
      <c r="AA21">
        <v>18.064378999999999</v>
      </c>
      <c r="AB21">
        <v>18.308014</v>
      </c>
      <c r="AC21">
        <v>18.587617999999999</v>
      </c>
      <c r="AD21" s="4">
        <v>-0.14472055396817002</v>
      </c>
    </row>
    <row r="22" spans="1:30" x14ac:dyDescent="0.25">
      <c r="A22" t="s">
        <v>74</v>
      </c>
      <c r="B22" t="s">
        <v>52</v>
      </c>
      <c r="C22">
        <v>23.140629000000001</v>
      </c>
      <c r="D22">
        <v>23.734259000000002</v>
      </c>
      <c r="E22">
        <v>21.860073</v>
      </c>
      <c r="F22">
        <v>19.504947999999999</v>
      </c>
      <c r="G22">
        <v>19.446570999999999</v>
      </c>
      <c r="H22">
        <v>19.665609</v>
      </c>
      <c r="I22">
        <v>20.176683000000001</v>
      </c>
      <c r="J22">
        <v>20.918468000000001</v>
      </c>
      <c r="K22">
        <v>21.631308000000001</v>
      </c>
      <c r="L22">
        <v>22.052182999999999</v>
      </c>
      <c r="M22">
        <v>22.620764000000001</v>
      </c>
      <c r="N22">
        <v>22.069877999999999</v>
      </c>
      <c r="O22">
        <v>22.074200000000001</v>
      </c>
      <c r="P22">
        <v>21.829333999999999</v>
      </c>
      <c r="Q22">
        <v>20.972033</v>
      </c>
      <c r="R22">
        <v>20.593843</v>
      </c>
      <c r="S22">
        <v>20.441374</v>
      </c>
      <c r="T22">
        <v>20.193605000000002</v>
      </c>
      <c r="U22">
        <v>19.815863</v>
      </c>
      <c r="V22">
        <v>19.564951000000001</v>
      </c>
      <c r="W22">
        <v>19.573903999999999</v>
      </c>
      <c r="X22">
        <v>19.560072000000002</v>
      </c>
      <c r="Y22">
        <v>19.600998000000001</v>
      </c>
      <c r="Z22">
        <v>20.123270000000002</v>
      </c>
      <c r="AA22">
        <v>20.383533</v>
      </c>
      <c r="AB22">
        <v>20.692178999999999</v>
      </c>
      <c r="AC22">
        <v>21.043037000000002</v>
      </c>
      <c r="AD22" s="4">
        <v>-9.064541849748331E-2</v>
      </c>
    </row>
    <row r="23" spans="1:30" x14ac:dyDescent="0.25">
      <c r="A23" t="s">
        <v>75</v>
      </c>
      <c r="B23" t="s">
        <v>47</v>
      </c>
      <c r="C23">
        <v>25.34742</v>
      </c>
      <c r="D23">
        <v>26.663633000000001</v>
      </c>
      <c r="E23">
        <v>25.013359000000001</v>
      </c>
      <c r="F23">
        <v>22.894476000000001</v>
      </c>
      <c r="G23">
        <v>23.231248999999998</v>
      </c>
      <c r="H23">
        <v>23.839731</v>
      </c>
      <c r="I23">
        <v>24.803024000000001</v>
      </c>
      <c r="J23">
        <v>26.098246</v>
      </c>
      <c r="K23">
        <v>27.435154000000001</v>
      </c>
      <c r="L23">
        <v>28.440458</v>
      </c>
      <c r="M23">
        <v>29.564905</v>
      </c>
      <c r="N23">
        <v>29.513328999999999</v>
      </c>
      <c r="O23">
        <v>30.016848</v>
      </c>
      <c r="P23">
        <v>30.075431999999999</v>
      </c>
      <c r="Q23">
        <v>29.459493999999999</v>
      </c>
      <c r="R23">
        <v>29.559397000000001</v>
      </c>
      <c r="S23">
        <v>29.958629999999999</v>
      </c>
      <c r="T23">
        <v>30.291065</v>
      </c>
      <c r="U23">
        <v>30.474222000000001</v>
      </c>
      <c r="V23">
        <v>30.871027000000002</v>
      </c>
      <c r="W23">
        <v>31.812847000000001</v>
      </c>
      <c r="X23">
        <v>32.661324</v>
      </c>
      <c r="Y23">
        <v>33.555118999999998</v>
      </c>
      <c r="Z23">
        <v>35.173935</v>
      </c>
      <c r="AA23">
        <v>36.522995000000002</v>
      </c>
      <c r="AB23">
        <v>37.963413000000003</v>
      </c>
      <c r="AC23">
        <v>39.504390999999998</v>
      </c>
      <c r="AD23" s="4" cm="1">
        <f t="array" ref="AD23:AD27">(AC23:AC27-C23:C27)/C23:C27</f>
        <v>0.55851723765180039</v>
      </c>
    </row>
    <row r="24" spans="1:30" x14ac:dyDescent="0.25">
      <c r="A24" t="s">
        <v>75</v>
      </c>
      <c r="B24" t="s">
        <v>49</v>
      </c>
      <c r="C24">
        <v>22.224957</v>
      </c>
      <c r="D24">
        <v>23.270790000000002</v>
      </c>
      <c r="E24">
        <v>21.877462000000001</v>
      </c>
      <c r="F24">
        <v>19.798459999999999</v>
      </c>
      <c r="G24">
        <v>20.090085999999999</v>
      </c>
      <c r="H24">
        <v>20.603352000000001</v>
      </c>
      <c r="I24">
        <v>21.484670999999999</v>
      </c>
      <c r="J24">
        <v>22.721278999999999</v>
      </c>
      <c r="K24">
        <v>23.929711999999999</v>
      </c>
      <c r="L24">
        <v>24.834479999999999</v>
      </c>
      <c r="M24">
        <v>26.058952000000001</v>
      </c>
      <c r="N24">
        <v>25.690182</v>
      </c>
      <c r="O24">
        <v>26.147065999999999</v>
      </c>
      <c r="P24">
        <v>26.544118999999998</v>
      </c>
      <c r="Q24">
        <v>26.032366</v>
      </c>
      <c r="R24">
        <v>25.993935</v>
      </c>
      <c r="S24">
        <v>26.333608999999999</v>
      </c>
      <c r="T24">
        <v>26.557043</v>
      </c>
      <c r="U24">
        <v>26.618670000000002</v>
      </c>
      <c r="V24">
        <v>26.827729999999999</v>
      </c>
      <c r="W24">
        <v>27.312266999999999</v>
      </c>
      <c r="X24">
        <v>27.872638999999999</v>
      </c>
      <c r="Y24">
        <v>28.578320000000001</v>
      </c>
      <c r="Z24">
        <v>30.157948000000001</v>
      </c>
      <c r="AA24">
        <v>31.248949</v>
      </c>
      <c r="AB24">
        <v>32.468487000000003</v>
      </c>
      <c r="AC24">
        <v>33.789146000000002</v>
      </c>
      <c r="AD24" s="4">
        <v>0.52032447126894343</v>
      </c>
    </row>
    <row r="25" spans="1:30" x14ac:dyDescent="0.25">
      <c r="A25" t="s">
        <v>75</v>
      </c>
      <c r="B25" t="s">
        <v>50</v>
      </c>
      <c r="C25">
        <v>19.005192000000001</v>
      </c>
      <c r="D25">
        <v>19.943995999999999</v>
      </c>
      <c r="E25">
        <v>18.140156000000001</v>
      </c>
      <c r="F25">
        <v>15.899934</v>
      </c>
      <c r="G25">
        <v>16.040994999999999</v>
      </c>
      <c r="H25">
        <v>16.496288</v>
      </c>
      <c r="I25">
        <v>17.293575000000001</v>
      </c>
      <c r="J25">
        <v>18.317105999999999</v>
      </c>
      <c r="K25">
        <v>19.368172000000001</v>
      </c>
      <c r="L25">
        <v>20.144556000000001</v>
      </c>
      <c r="M25">
        <v>21.00037</v>
      </c>
      <c r="N25">
        <v>20.873123</v>
      </c>
      <c r="O25">
        <v>21.189774</v>
      </c>
      <c r="P25">
        <v>21.019199</v>
      </c>
      <c r="Q25">
        <v>20.27486</v>
      </c>
      <c r="R25">
        <v>20.254332000000002</v>
      </c>
      <c r="S25">
        <v>20.476469000000002</v>
      </c>
      <c r="T25">
        <v>20.577321999999999</v>
      </c>
      <c r="U25">
        <v>20.514140999999999</v>
      </c>
      <c r="V25">
        <v>20.665763999999999</v>
      </c>
      <c r="W25">
        <v>21.142154999999999</v>
      </c>
      <c r="X25">
        <v>21.595770000000002</v>
      </c>
      <c r="Y25">
        <v>22.146115999999999</v>
      </c>
      <c r="Z25">
        <v>23.275034000000002</v>
      </c>
      <c r="AA25">
        <v>24.150385</v>
      </c>
      <c r="AB25">
        <v>25.103739000000001</v>
      </c>
      <c r="AC25">
        <v>26.124040999999998</v>
      </c>
      <c r="AD25" s="4">
        <v>0.37457390590950079</v>
      </c>
    </row>
    <row r="26" spans="1:30" x14ac:dyDescent="0.25">
      <c r="A26" t="s">
        <v>75</v>
      </c>
      <c r="B26" t="s">
        <v>51</v>
      </c>
      <c r="C26">
        <v>21.732800999999998</v>
      </c>
      <c r="D26">
        <v>22.71031</v>
      </c>
      <c r="E26">
        <v>20.977253000000001</v>
      </c>
      <c r="F26">
        <v>18.772167</v>
      </c>
      <c r="G26">
        <v>18.992535</v>
      </c>
      <c r="H26">
        <v>19.539587000000001</v>
      </c>
      <c r="I26">
        <v>20.421644000000001</v>
      </c>
      <c r="J26">
        <v>21.482866000000001</v>
      </c>
      <c r="K26">
        <v>22.512142000000001</v>
      </c>
      <c r="L26">
        <v>23.279945000000001</v>
      </c>
      <c r="M26">
        <v>24.168779000000001</v>
      </c>
      <c r="N26">
        <v>24.032267000000001</v>
      </c>
      <c r="O26">
        <v>24.337381000000001</v>
      </c>
      <c r="P26">
        <v>24.389378000000001</v>
      </c>
      <c r="Q26">
        <v>23.875693999999999</v>
      </c>
      <c r="R26">
        <v>23.962391</v>
      </c>
      <c r="S26">
        <v>24.340617999999999</v>
      </c>
      <c r="T26">
        <v>24.565517</v>
      </c>
      <c r="U26">
        <v>24.626825</v>
      </c>
      <c r="V26">
        <v>24.896566</v>
      </c>
      <c r="W26">
        <v>25.456018</v>
      </c>
      <c r="X26">
        <v>25.992425999999998</v>
      </c>
      <c r="Y26">
        <v>26.694756000000002</v>
      </c>
      <c r="Z26">
        <v>27.977357999999999</v>
      </c>
      <c r="AA26">
        <v>28.984736999999999</v>
      </c>
      <c r="AB26">
        <v>30.072475000000001</v>
      </c>
      <c r="AC26">
        <v>31.240217000000001</v>
      </c>
      <c r="AD26" s="4">
        <v>0.4374685067056015</v>
      </c>
    </row>
    <row r="27" spans="1:30" x14ac:dyDescent="0.25">
      <c r="A27" t="s">
        <v>75</v>
      </c>
      <c r="B27" t="s">
        <v>52</v>
      </c>
      <c r="C27">
        <v>23.140629000000001</v>
      </c>
      <c r="D27">
        <v>24.278851</v>
      </c>
      <c r="E27">
        <v>22.762343999999999</v>
      </c>
      <c r="F27">
        <v>20.659569000000001</v>
      </c>
      <c r="G27">
        <v>20.959109999999999</v>
      </c>
      <c r="H27">
        <v>21.511053</v>
      </c>
      <c r="I27">
        <v>22.417341</v>
      </c>
      <c r="J27">
        <v>23.647815999999999</v>
      </c>
      <c r="K27">
        <v>24.882387000000001</v>
      </c>
      <c r="L27">
        <v>25.811637999999999</v>
      </c>
      <c r="M27">
        <v>26.940289</v>
      </c>
      <c r="N27">
        <v>26.739187000000001</v>
      </c>
      <c r="O27">
        <v>27.203264000000001</v>
      </c>
      <c r="P27">
        <v>27.383244999999999</v>
      </c>
      <c r="Q27">
        <v>26.798534</v>
      </c>
      <c r="R27">
        <v>26.829149000000001</v>
      </c>
      <c r="S27">
        <v>27.185206999999998</v>
      </c>
      <c r="T27">
        <v>27.447243</v>
      </c>
      <c r="U27">
        <v>27.549156</v>
      </c>
      <c r="V27">
        <v>27.840699999999998</v>
      </c>
      <c r="W27">
        <v>28.528531999999998</v>
      </c>
      <c r="X27">
        <v>29.204837999999999</v>
      </c>
      <c r="Y27">
        <v>29.982631999999999</v>
      </c>
      <c r="Z27">
        <v>31.531931</v>
      </c>
      <c r="AA27">
        <v>32.705874999999999</v>
      </c>
      <c r="AB27">
        <v>33.988667</v>
      </c>
      <c r="AC27">
        <v>35.367038999999998</v>
      </c>
      <c r="AD27" s="4">
        <v>0.5283525352746461</v>
      </c>
    </row>
    <row r="28" spans="1:30" x14ac:dyDescent="0.25">
      <c r="A28" t="s">
        <v>76</v>
      </c>
      <c r="B28" t="s">
        <v>54</v>
      </c>
      <c r="C28">
        <v>10.314258000000001</v>
      </c>
      <c r="D28">
        <v>10.712043</v>
      </c>
      <c r="E28">
        <v>8.5038339999999994</v>
      </c>
      <c r="F28">
        <v>5.9696280000000002</v>
      </c>
      <c r="G28">
        <v>5.765765</v>
      </c>
      <c r="H28">
        <v>5.8304850000000004</v>
      </c>
      <c r="I28">
        <v>6.1906239999999997</v>
      </c>
      <c r="J28">
        <v>6.7856550000000002</v>
      </c>
      <c r="K28">
        <v>7.3708289999999996</v>
      </c>
      <c r="L28">
        <v>7.7033529999999999</v>
      </c>
      <c r="M28">
        <v>8.1953119999999995</v>
      </c>
      <c r="N28">
        <v>7.6153680000000001</v>
      </c>
      <c r="O28">
        <v>7.569699</v>
      </c>
      <c r="P28">
        <v>7.2655339999999997</v>
      </c>
      <c r="Q28">
        <v>6.3948359999999997</v>
      </c>
      <c r="R28">
        <v>6.0052260000000004</v>
      </c>
      <c r="S28">
        <v>5.8356149999999998</v>
      </c>
      <c r="T28">
        <v>5.5369520000000003</v>
      </c>
      <c r="U28">
        <v>5.0897490000000003</v>
      </c>
      <c r="V28">
        <v>4.7954340000000002</v>
      </c>
      <c r="W28">
        <v>4.7587710000000003</v>
      </c>
      <c r="X28">
        <v>4.6915430000000002</v>
      </c>
      <c r="Y28">
        <v>4.6586509999999999</v>
      </c>
      <c r="Z28">
        <v>5.0744150000000001</v>
      </c>
      <c r="AA28">
        <v>5.2454809999999998</v>
      </c>
      <c r="AB28">
        <v>5.4569089999999996</v>
      </c>
      <c r="AC28">
        <v>5.7028910000000002</v>
      </c>
      <c r="AD28" s="4" cm="1">
        <f t="array" ref="AD28:AD30">(AC28:AC30-C28:C30)/C28:C30</f>
        <v>-0.44708664452644098</v>
      </c>
    </row>
    <row r="29" spans="1:30" x14ac:dyDescent="0.25">
      <c r="A29" t="s">
        <v>76</v>
      </c>
      <c r="B29" t="s">
        <v>55</v>
      </c>
      <c r="C29">
        <v>5.5107030000000004</v>
      </c>
      <c r="D29">
        <v>5.6427899999999998</v>
      </c>
      <c r="E29">
        <v>5.8509799999999998</v>
      </c>
      <c r="F29">
        <v>5.9678599999999999</v>
      </c>
      <c r="G29">
        <v>6.0636060000000001</v>
      </c>
      <c r="H29">
        <v>6.158798</v>
      </c>
      <c r="I29">
        <v>6.248259</v>
      </c>
      <c r="J29">
        <v>6.3312419999999996</v>
      </c>
      <c r="K29">
        <v>6.4027979999999998</v>
      </c>
      <c r="L29">
        <v>6.4560589999999998</v>
      </c>
      <c r="M29">
        <v>6.5018560000000001</v>
      </c>
      <c r="N29">
        <v>6.5217369999999999</v>
      </c>
      <c r="O29">
        <v>6.5642740000000002</v>
      </c>
      <c r="P29">
        <v>6.6199240000000001</v>
      </c>
      <c r="Q29">
        <v>6.6417419999999998</v>
      </c>
      <c r="R29">
        <v>6.6568849999999999</v>
      </c>
      <c r="S29">
        <v>6.6742790000000003</v>
      </c>
      <c r="T29">
        <v>6.7194459999999996</v>
      </c>
      <c r="U29">
        <v>6.7804950000000002</v>
      </c>
      <c r="V29">
        <v>6.811382</v>
      </c>
      <c r="W29">
        <v>6.8398669999999999</v>
      </c>
      <c r="X29">
        <v>6.8680870000000001</v>
      </c>
      <c r="Y29">
        <v>6.9050840000000004</v>
      </c>
      <c r="Z29">
        <v>6.9601800000000003</v>
      </c>
      <c r="AA29">
        <v>7.0045869999999999</v>
      </c>
      <c r="AB29">
        <v>7.055758</v>
      </c>
      <c r="AC29">
        <v>7.1142820000000002</v>
      </c>
      <c r="AD29" s="4">
        <v>0.29099354474374683</v>
      </c>
    </row>
    <row r="30" spans="1:30" x14ac:dyDescent="0.25">
      <c r="A30" t="s">
        <v>76</v>
      </c>
      <c r="B30" t="s">
        <v>56</v>
      </c>
      <c r="C30">
        <v>7.3156699999999999</v>
      </c>
      <c r="D30">
        <v>7.3794240000000002</v>
      </c>
      <c r="E30">
        <v>7.5052599999999998</v>
      </c>
      <c r="F30">
        <v>7.5674580000000002</v>
      </c>
      <c r="G30">
        <v>7.6171990000000003</v>
      </c>
      <c r="H30">
        <v>7.6763260000000004</v>
      </c>
      <c r="I30">
        <v>7.7378</v>
      </c>
      <c r="J30">
        <v>7.801571</v>
      </c>
      <c r="K30">
        <v>7.8576819999999996</v>
      </c>
      <c r="L30">
        <v>7.8927709999999998</v>
      </c>
      <c r="M30">
        <v>7.9235949999999997</v>
      </c>
      <c r="N30">
        <v>7.9327740000000002</v>
      </c>
      <c r="O30">
        <v>7.9402270000000001</v>
      </c>
      <c r="P30">
        <v>7.9438769999999996</v>
      </c>
      <c r="Q30">
        <v>7.9354550000000001</v>
      </c>
      <c r="R30">
        <v>7.9317330000000004</v>
      </c>
      <c r="S30">
        <v>7.9314819999999999</v>
      </c>
      <c r="T30">
        <v>7.937208</v>
      </c>
      <c r="U30">
        <v>7.9456179999999996</v>
      </c>
      <c r="V30">
        <v>7.9581359999999997</v>
      </c>
      <c r="W30">
        <v>7.9752650000000003</v>
      </c>
      <c r="X30">
        <v>8.0004419999999996</v>
      </c>
      <c r="Y30">
        <v>8.0372610000000009</v>
      </c>
      <c r="Z30">
        <v>8.0886739999999993</v>
      </c>
      <c r="AA30">
        <v>8.1334660000000003</v>
      </c>
      <c r="AB30">
        <v>8.1795100000000005</v>
      </c>
      <c r="AC30">
        <v>8.2258650000000006</v>
      </c>
      <c r="AD30" s="4">
        <v>0.12441717573373332</v>
      </c>
    </row>
    <row r="31" spans="1:30" x14ac:dyDescent="0.25">
      <c r="A31" t="s">
        <v>77</v>
      </c>
      <c r="B31" t="s">
        <v>54</v>
      </c>
      <c r="C31">
        <v>10.314258000000001</v>
      </c>
      <c r="D31">
        <v>10.957834999999999</v>
      </c>
      <c r="E31">
        <v>8.8548279999999995</v>
      </c>
      <c r="F31">
        <v>6.3230089999999999</v>
      </c>
      <c r="G31">
        <v>6.2142210000000002</v>
      </c>
      <c r="H31">
        <v>6.3776250000000001</v>
      </c>
      <c r="I31">
        <v>6.8781040000000004</v>
      </c>
      <c r="J31">
        <v>7.6710159999999998</v>
      </c>
      <c r="K31">
        <v>8.4786289999999997</v>
      </c>
      <c r="L31">
        <v>9.0166199999999996</v>
      </c>
      <c r="M31">
        <v>9.7602399999999996</v>
      </c>
      <c r="N31">
        <v>9.2265460000000008</v>
      </c>
      <c r="O31">
        <v>9.3285619999999998</v>
      </c>
      <c r="P31">
        <v>9.1140609999999995</v>
      </c>
      <c r="Q31">
        <v>8.1714660000000006</v>
      </c>
      <c r="R31">
        <v>7.8234599999999999</v>
      </c>
      <c r="S31">
        <v>7.7608480000000002</v>
      </c>
      <c r="T31">
        <v>7.5258510000000003</v>
      </c>
      <c r="U31">
        <v>7.0760630000000004</v>
      </c>
      <c r="V31">
        <v>6.8238479999999999</v>
      </c>
      <c r="W31">
        <v>6.9358040000000001</v>
      </c>
      <c r="X31">
        <v>7.0048690000000002</v>
      </c>
      <c r="Y31">
        <v>7.1260969999999997</v>
      </c>
      <c r="Z31">
        <v>7.9512970000000003</v>
      </c>
      <c r="AA31">
        <v>8.4165019999999995</v>
      </c>
      <c r="AB31">
        <v>8.963438</v>
      </c>
      <c r="AC31">
        <v>9.5848510000000005</v>
      </c>
      <c r="AD31" s="4" cm="1">
        <f t="array" ref="AD31:AD33">(AC31:AC33-C31:C33)/C31:C33</f>
        <v>-7.0718320212660973E-2</v>
      </c>
    </row>
    <row r="32" spans="1:30" x14ac:dyDescent="0.25">
      <c r="A32" t="s">
        <v>77</v>
      </c>
      <c r="B32" t="s">
        <v>55</v>
      </c>
      <c r="C32">
        <v>5.5107030000000004</v>
      </c>
      <c r="D32">
        <v>5.7722670000000003</v>
      </c>
      <c r="E32">
        <v>6.0924779999999998</v>
      </c>
      <c r="F32">
        <v>6.3211360000000001</v>
      </c>
      <c r="G32">
        <v>6.5352290000000002</v>
      </c>
      <c r="H32">
        <v>6.7367470000000003</v>
      </c>
      <c r="I32">
        <v>6.9421390000000001</v>
      </c>
      <c r="J32">
        <v>7.1573140000000004</v>
      </c>
      <c r="K32">
        <v>7.3651080000000002</v>
      </c>
      <c r="L32">
        <v>7.556686</v>
      </c>
      <c r="M32">
        <v>7.743411</v>
      </c>
      <c r="N32">
        <v>7.9015360000000001</v>
      </c>
      <c r="O32">
        <v>8.0895209999999995</v>
      </c>
      <c r="P32">
        <v>8.3041929999999997</v>
      </c>
      <c r="Q32">
        <v>8.4869679999999992</v>
      </c>
      <c r="R32">
        <v>8.6724250000000005</v>
      </c>
      <c r="S32">
        <v>8.8761969999999994</v>
      </c>
      <c r="T32">
        <v>9.1331019999999992</v>
      </c>
      <c r="U32">
        <v>9.4266349999999992</v>
      </c>
      <c r="V32">
        <v>9.6925170000000005</v>
      </c>
      <c r="W32">
        <v>9.9689549999999993</v>
      </c>
      <c r="X32">
        <v>10.254633</v>
      </c>
      <c r="Y32">
        <v>10.562348999999999</v>
      </c>
      <c r="Z32">
        <v>10.906177</v>
      </c>
      <c r="AA32">
        <v>11.239031000000001</v>
      </c>
      <c r="AB32">
        <v>11.589684</v>
      </c>
      <c r="AC32">
        <v>11.956975999999999</v>
      </c>
      <c r="AD32" s="4">
        <v>1.169773257604338</v>
      </c>
    </row>
    <row r="33" spans="1:30" x14ac:dyDescent="0.25">
      <c r="A33" t="s">
        <v>77</v>
      </c>
      <c r="B33" t="s">
        <v>56</v>
      </c>
      <c r="C33">
        <v>7.3156699999999999</v>
      </c>
      <c r="D33">
        <v>7.5487479999999998</v>
      </c>
      <c r="E33">
        <v>7.8150380000000004</v>
      </c>
      <c r="F33">
        <v>8.0154239999999994</v>
      </c>
      <c r="G33">
        <v>8.2096599999999995</v>
      </c>
      <c r="H33">
        <v>8.3966809999999992</v>
      </c>
      <c r="I33">
        <v>8.5970969999999998</v>
      </c>
      <c r="J33">
        <v>8.8194850000000002</v>
      </c>
      <c r="K33">
        <v>9.038653</v>
      </c>
      <c r="L33">
        <v>9.2383290000000002</v>
      </c>
      <c r="M33">
        <v>9.4366369999999993</v>
      </c>
      <c r="N33">
        <v>9.6111050000000002</v>
      </c>
      <c r="O33">
        <v>9.7851839999999992</v>
      </c>
      <c r="P33">
        <v>9.9649920000000005</v>
      </c>
      <c r="Q33">
        <v>10.140103</v>
      </c>
      <c r="R33">
        <v>10.333266</v>
      </c>
      <c r="S33">
        <v>10.548164</v>
      </c>
      <c r="T33">
        <v>10.788289000000001</v>
      </c>
      <c r="U33">
        <v>11.046455999999999</v>
      </c>
      <c r="V33">
        <v>11.324335</v>
      </c>
      <c r="W33">
        <v>11.623772000000001</v>
      </c>
      <c r="X33">
        <v>11.945334000000001</v>
      </c>
      <c r="Y33">
        <v>12.294181999999999</v>
      </c>
      <c r="Z33">
        <v>12.674455999999999</v>
      </c>
      <c r="AA33">
        <v>13.050344000000001</v>
      </c>
      <c r="AB33">
        <v>13.435542</v>
      </c>
      <c r="AC33">
        <v>13.825215</v>
      </c>
      <c r="AD33" s="4">
        <v>0.88980845226752991</v>
      </c>
    </row>
    <row r="34" spans="1:30" x14ac:dyDescent="0.25">
      <c r="A34" t="s">
        <v>57</v>
      </c>
      <c r="B34" t="s">
        <v>58</v>
      </c>
      <c r="C34">
        <v>7.5453489999999999</v>
      </c>
      <c r="D34">
        <v>6.7237609999999997</v>
      </c>
      <c r="E34">
        <v>4.3293419999999996</v>
      </c>
      <c r="F34">
        <v>3.4195630000000001</v>
      </c>
      <c r="G34">
        <v>3.1388530000000001</v>
      </c>
      <c r="H34">
        <v>3.1019269999999999</v>
      </c>
      <c r="I34">
        <v>2.8262930000000002</v>
      </c>
      <c r="J34">
        <v>2.56168</v>
      </c>
      <c r="K34">
        <v>2.8731469999999999</v>
      </c>
      <c r="L34">
        <v>2.721266</v>
      </c>
      <c r="M34">
        <v>2.6522730000000001</v>
      </c>
      <c r="N34">
        <v>2.7328809999999999</v>
      </c>
      <c r="O34">
        <v>2.6974559999999999</v>
      </c>
      <c r="P34">
        <v>2.2959960000000001</v>
      </c>
      <c r="Q34">
        <v>2.218324</v>
      </c>
      <c r="R34">
        <v>2.2762479999999998</v>
      </c>
      <c r="S34">
        <v>2.323229</v>
      </c>
      <c r="T34">
        <v>2.3505959999999999</v>
      </c>
      <c r="U34">
        <v>2.314279</v>
      </c>
      <c r="V34">
        <v>2.3651789999999999</v>
      </c>
      <c r="W34">
        <v>1.7597210000000001</v>
      </c>
      <c r="X34">
        <v>1.4934460000000001</v>
      </c>
      <c r="Y34">
        <v>1.582778</v>
      </c>
      <c r="Z34">
        <v>1.5893079999999999</v>
      </c>
      <c r="AA34">
        <v>1.598994</v>
      </c>
      <c r="AB34">
        <v>1.6222220000000001</v>
      </c>
      <c r="AC34">
        <v>1.639</v>
      </c>
      <c r="AD34" s="4" cm="1">
        <f t="array" ref="AD34:AD38">(AC34:AC38-C34:C38)/C34:C38</f>
        <v>-0.78278009406854465</v>
      </c>
    </row>
    <row r="35" spans="1:30" x14ac:dyDescent="0.25">
      <c r="A35" t="s">
        <v>57</v>
      </c>
      <c r="B35" t="s">
        <v>60</v>
      </c>
      <c r="C35">
        <v>27.666274999999999</v>
      </c>
      <c r="D35">
        <v>24.653797000000001</v>
      </c>
      <c r="E35">
        <v>15.87425</v>
      </c>
      <c r="F35">
        <v>12.538387</v>
      </c>
      <c r="G35">
        <v>11.509118000000001</v>
      </c>
      <c r="H35">
        <v>11.373723</v>
      </c>
      <c r="I35">
        <v>10.363068</v>
      </c>
      <c r="J35">
        <v>9.3928220000000007</v>
      </c>
      <c r="K35">
        <v>10.534865</v>
      </c>
      <c r="L35">
        <v>9.977976</v>
      </c>
      <c r="M35">
        <v>9.7249999999999996</v>
      </c>
      <c r="N35">
        <v>10.020554000000001</v>
      </c>
      <c r="O35">
        <v>9.8906639999999992</v>
      </c>
      <c r="P35">
        <v>8.4186530000000008</v>
      </c>
      <c r="Q35">
        <v>8.1338550000000005</v>
      </c>
      <c r="R35">
        <v>8.3462390000000006</v>
      </c>
      <c r="S35">
        <v>8.5184999999999995</v>
      </c>
      <c r="T35">
        <v>8.6188500000000001</v>
      </c>
      <c r="U35">
        <v>8.4856859999999994</v>
      </c>
      <c r="V35">
        <v>8.6723160000000004</v>
      </c>
      <c r="W35">
        <v>6.4523140000000003</v>
      </c>
      <c r="X35">
        <v>5.4759710000000004</v>
      </c>
      <c r="Y35">
        <v>5.8035209999999999</v>
      </c>
      <c r="Z35">
        <v>5.827464</v>
      </c>
      <c r="AA35">
        <v>5.8629819999999997</v>
      </c>
      <c r="AB35">
        <v>5.94815</v>
      </c>
      <c r="AC35">
        <v>6.009665</v>
      </c>
      <c r="AD35" s="4">
        <v>-0.78278011767034061</v>
      </c>
    </row>
    <row r="36" spans="1:30" x14ac:dyDescent="0.25">
      <c r="A36" t="s">
        <v>57</v>
      </c>
      <c r="B36" t="s">
        <v>61</v>
      </c>
      <c r="C36">
        <v>1.1839999999999999E-3</v>
      </c>
      <c r="D36">
        <v>1.077E-3</v>
      </c>
      <c r="E36">
        <v>1.1180000000000001E-3</v>
      </c>
      <c r="F36">
        <v>7.7899999999999996E-4</v>
      </c>
      <c r="G36">
        <v>7.18E-4</v>
      </c>
      <c r="H36">
        <v>4.9899999999999999E-4</v>
      </c>
      <c r="I36">
        <v>1.85E-4</v>
      </c>
      <c r="J36">
        <v>1.9000000000000001E-4</v>
      </c>
      <c r="K36">
        <v>6.8999999999999997E-5</v>
      </c>
      <c r="L36">
        <v>7.6000000000000004E-5</v>
      </c>
      <c r="M36">
        <v>7.4999999999999993E-5</v>
      </c>
      <c r="N36">
        <v>8.3999999999999995E-5</v>
      </c>
      <c r="O36">
        <v>7.8999999999999996E-5</v>
      </c>
      <c r="P36">
        <v>7.4999999999999993E-5</v>
      </c>
      <c r="Q36">
        <v>8.1000000000000004E-5</v>
      </c>
      <c r="R36">
        <v>6.0999999999999997E-4</v>
      </c>
      <c r="S36">
        <v>6.1399999999999996E-4</v>
      </c>
      <c r="T36">
        <v>6.0499999999999996E-4</v>
      </c>
      <c r="U36">
        <v>6.5399999999999996E-4</v>
      </c>
      <c r="V36">
        <v>6.1499999999999999E-4</v>
      </c>
      <c r="W36">
        <v>6.2299999999999996E-4</v>
      </c>
      <c r="X36">
        <v>6.2799999999999998E-4</v>
      </c>
      <c r="Y36">
        <v>6.2699999999999995E-4</v>
      </c>
      <c r="Z36">
        <v>6.2600000000000004E-4</v>
      </c>
      <c r="AA36">
        <v>6.2E-4</v>
      </c>
      <c r="AB36">
        <v>5.3300000000000005E-4</v>
      </c>
      <c r="AC36">
        <v>4.7199999999999998E-4</v>
      </c>
      <c r="AD36" s="4">
        <v>-0.60135135135135132</v>
      </c>
    </row>
    <row r="37" spans="1:30" x14ac:dyDescent="0.25">
      <c r="A37" t="s">
        <v>57</v>
      </c>
      <c r="B37" t="s">
        <v>62</v>
      </c>
      <c r="C37">
        <v>1.5238E-2</v>
      </c>
      <c r="D37">
        <v>1.4512000000000001E-2</v>
      </c>
      <c r="E37">
        <v>1.2486000000000001E-2</v>
      </c>
      <c r="F37">
        <v>1.2323000000000001E-2</v>
      </c>
      <c r="G37">
        <v>1.1365999999999999E-2</v>
      </c>
      <c r="H37">
        <v>1.1443E-2</v>
      </c>
      <c r="I37">
        <v>1.3559999999999999E-2</v>
      </c>
      <c r="J37">
        <v>1.1055000000000001E-2</v>
      </c>
      <c r="K37">
        <v>9.7149999999999997E-3</v>
      </c>
      <c r="L37">
        <v>9.4599999999999997E-3</v>
      </c>
      <c r="M37">
        <v>9.9360000000000004E-3</v>
      </c>
      <c r="N37">
        <v>9.9579999999999998E-3</v>
      </c>
      <c r="O37">
        <v>1.0052999999999999E-2</v>
      </c>
      <c r="P37">
        <v>8.7130000000000003E-3</v>
      </c>
      <c r="Q37">
        <v>8.4349999999999998E-3</v>
      </c>
      <c r="R37">
        <v>9.3699999999999999E-3</v>
      </c>
      <c r="S37">
        <v>9.5230000000000002E-3</v>
      </c>
      <c r="T37">
        <v>9.7339999999999996E-3</v>
      </c>
      <c r="U37">
        <v>1.0094000000000001E-2</v>
      </c>
      <c r="V37">
        <v>1.0163999999999999E-2</v>
      </c>
      <c r="W37">
        <v>1.0016000000000001E-2</v>
      </c>
      <c r="X37">
        <v>9.9539999999999993E-3</v>
      </c>
      <c r="Y37">
        <v>1.0364E-2</v>
      </c>
      <c r="Z37">
        <v>1.0265E-2</v>
      </c>
      <c r="AA37">
        <v>1.0097E-2</v>
      </c>
      <c r="AB37">
        <v>1.0061E-2</v>
      </c>
      <c r="AC37">
        <v>1.0078999999999999E-2</v>
      </c>
      <c r="AD37" s="4">
        <v>-0.33856149100931882</v>
      </c>
    </row>
    <row r="38" spans="1:30" x14ac:dyDescent="0.25">
      <c r="A38" t="s">
        <v>57</v>
      </c>
      <c r="B38" t="s">
        <v>63</v>
      </c>
      <c r="C38">
        <v>1.2999999999999999E-5</v>
      </c>
      <c r="D38">
        <v>2.8E-5</v>
      </c>
      <c r="E38">
        <v>2.513E-3</v>
      </c>
      <c r="F38">
        <v>1.0000000000000001E-5</v>
      </c>
      <c r="G38">
        <v>1.0000000000000001E-5</v>
      </c>
      <c r="H38">
        <v>9.0000000000000002E-6</v>
      </c>
      <c r="I38">
        <v>9.0000000000000002E-6</v>
      </c>
      <c r="J38">
        <v>6.9999999999999999E-6</v>
      </c>
      <c r="K38">
        <v>5.0000000000000004E-6</v>
      </c>
      <c r="L38">
        <v>1.2E-5</v>
      </c>
      <c r="M38">
        <v>6.0000000000000002E-6</v>
      </c>
      <c r="N38">
        <v>1.5999999999999999E-5</v>
      </c>
      <c r="O38">
        <v>6.9999999999999999E-6</v>
      </c>
      <c r="P38">
        <v>1.7E-5</v>
      </c>
      <c r="Q38">
        <v>1.1E-5</v>
      </c>
      <c r="R38">
        <v>6.0000000000000002E-6</v>
      </c>
      <c r="S38">
        <v>6.0000000000000002E-6</v>
      </c>
      <c r="T38">
        <v>5.0000000000000004E-6</v>
      </c>
      <c r="U38">
        <v>1.0000000000000001E-5</v>
      </c>
      <c r="V38">
        <v>3.0000000000000001E-6</v>
      </c>
      <c r="W38">
        <v>5.0000000000000004E-6</v>
      </c>
      <c r="X38">
        <v>6.0000000000000002E-6</v>
      </c>
      <c r="Y38">
        <v>3.9999999999999998E-6</v>
      </c>
      <c r="Z38">
        <v>3.9999999999999998E-6</v>
      </c>
      <c r="AA38">
        <v>3.9999999999999998E-6</v>
      </c>
      <c r="AB38">
        <v>3.9999999999999998E-6</v>
      </c>
      <c r="AC38">
        <v>3.9999999999999998E-6</v>
      </c>
      <c r="AD38" s="4">
        <v>-0.69230769230769229</v>
      </c>
    </row>
    <row r="39" spans="1:30" x14ac:dyDescent="0.25">
      <c r="A39" t="s">
        <v>70</v>
      </c>
      <c r="B39" t="s">
        <v>66</v>
      </c>
      <c r="C39" cm="1">
        <f t="array" ref="C39:C42">907185*C34:C37*10^6/(C17*10^9)</f>
        <v>64.704565832354504</v>
      </c>
      <c r="D39" cm="1">
        <f t="array" ref="D39:D42">907185*D34:D37*10^6/(D17*10^9)</f>
        <v>57.736857469273296</v>
      </c>
      <c r="E39" cm="1">
        <f t="array" ref="E39:E42">907185*E34:E37*10^6/(E17*10^9)</f>
        <v>41.508141862978682</v>
      </c>
      <c r="F39" cm="1">
        <f t="array" ref="F39:F42">907185*F34:F37*10^6/(F17*10^9)</f>
        <v>33.516448506701799</v>
      </c>
      <c r="G39" cm="1">
        <f t="array" ref="G39:G42">907185*G34:G37*10^6/(G17*10^9)</f>
        <v>30.532631856680737</v>
      </c>
      <c r="H39" cm="1">
        <f t="array" ref="H39:H42">907185*H34:H37*10^6/(H17*10^9)</f>
        <v>29.277284406217387</v>
      </c>
      <c r="I39" cm="1">
        <f t="array" ref="I39:I42">907185*I34:I37*10^6/(I17*10^9)</f>
        <v>26.453058063807301</v>
      </c>
      <c r="J39" cm="1">
        <f t="array" ref="J39:J42">907185*J34:J37*10^6/(J17*10^9)</f>
        <v>24.204351863337639</v>
      </c>
      <c r="K39" cm="1">
        <f t="array" ref="K39:K42">907185*K34:K37*10^6/(K17*10^9)</f>
        <v>26.252507091767772</v>
      </c>
      <c r="L39" cm="1">
        <f t="array" ref="L39:L42">907185*L34:L37*10^6/(L17*10^9)</f>
        <v>25.003373661043415</v>
      </c>
      <c r="M39" cm="1">
        <f t="array" ref="M39:M42">907185*M34:M37*10^6/(M17*10^9)</f>
        <v>24.324449303674005</v>
      </c>
      <c r="N39" cm="1">
        <f t="array" ref="N39:N42">907185*N34:N37*10^6/(N17*10^9)</f>
        <v>24.435807411368071</v>
      </c>
      <c r="O39" cm="1">
        <f t="array" ref="O39:O42">907185*O34:O37*10^6/(O17*10^9)</f>
        <v>22.090147875500218</v>
      </c>
      <c r="P39" cm="1">
        <f t="array" ref="P39:P42">907185*P34:P37*10^6/(P17*10^9)</f>
        <v>18.141271151364407</v>
      </c>
      <c r="Q39" cm="1">
        <f t="array" ref="Q39:Q42">907185*Q34:Q37*10^6/(Q17*10^9)</f>
        <v>17.020079399286498</v>
      </c>
      <c r="R39" cm="1">
        <f t="array" ref="R39:R42">907185*R34:R37*10^6/(R17*10^9)</f>
        <v>16.546227215993468</v>
      </c>
      <c r="S39" cm="1">
        <f t="array" ref="S39:S42">907185*S34:S37*10^6/(S17*10^9)</f>
        <v>16.501039339677043</v>
      </c>
      <c r="T39" cm="1">
        <f t="array" ref="T39:T42">907185*T34:T37*10^6/(T17*10^9)</f>
        <v>15.4403647336457</v>
      </c>
      <c r="U39" cm="1">
        <f t="array" ref="U39:U42">907185*U34:U37*10^6/(U17*10^9)</f>
        <v>14.54117413643807</v>
      </c>
      <c r="V39" cm="1">
        <f t="array" ref="V39:V42">907185*V34:V37*10^6/(V17*10^9)</f>
        <v>14.401865551736009</v>
      </c>
      <c r="W39" cm="1">
        <f t="array" ref="W39:W42">907185*W34:W37*10^6/(W17*10^9)</f>
        <v>10.880595349015719</v>
      </c>
      <c r="X39" cm="1">
        <f t="array" ref="X39:X42">907185*X34:X37*10^6/(X17*10^9)</f>
        <v>9.2901395336185164</v>
      </c>
      <c r="Y39" cm="1">
        <f t="array" ref="Y39:Y42">907185*Y34:Y37*10^6/(Y17*10^9)</f>
        <v>9.7415813315862074</v>
      </c>
      <c r="Z39" cm="1">
        <f t="array" ref="Z39:Z42">907185*Z34:Z37*10^6/(Z17*10^9)</f>
        <v>9.7340926411411512</v>
      </c>
      <c r="AA39" cm="1">
        <f t="array" ref="AA39:AA42">907185*AA34:AA37*10^6/(AA17*10^9)</f>
        <v>9.7893890100046672</v>
      </c>
      <c r="AB39" cm="1">
        <f t="array" ref="AB39:AB42">907185*AB34:AB37*10^6/(AB17*10^9)</f>
        <v>9.8738548859700312</v>
      </c>
      <c r="AC39" cm="1">
        <f t="array" ref="AC39:AC42">907185*AC34:AC37*10^6/(AC17*10^9)</f>
        <v>9.8680055003678486</v>
      </c>
      <c r="AD39" s="4" cm="1">
        <f t="array" ref="AD39:AD43">(AC39:AC43-C39:C43)/C39:C43</f>
        <v>-0.84749135747336224</v>
      </c>
    </row>
    <row r="40" spans="1:30" x14ac:dyDescent="0.25">
      <c r="A40" t="s">
        <v>70</v>
      </c>
      <c r="B40" t="s">
        <v>67</v>
      </c>
      <c r="C40">
        <v>237.25003469998848</v>
      </c>
      <c r="D40">
        <v>211.70186796725787</v>
      </c>
      <c r="E40">
        <v>152.19648181372352</v>
      </c>
      <c r="F40">
        <v>122.89353997648213</v>
      </c>
      <c r="G40">
        <v>111.95288944372282</v>
      </c>
      <c r="H40">
        <v>107.34995473089342</v>
      </c>
      <c r="I40">
        <v>96.994486956300506</v>
      </c>
      <c r="J40">
        <v>88.749246071991337</v>
      </c>
      <c r="K40">
        <v>96.259125663711629</v>
      </c>
      <c r="L40">
        <v>91.679042882586018</v>
      </c>
      <c r="M40">
        <v>89.189638275633627</v>
      </c>
      <c r="N40">
        <v>89.597874074726988</v>
      </c>
      <c r="O40">
        <v>80.997143362815351</v>
      </c>
      <c r="P40">
        <v>66.518002122933765</v>
      </c>
      <c r="Q40">
        <v>62.406960354882102</v>
      </c>
      <c r="R40">
        <v>60.669473138685298</v>
      </c>
      <c r="S40">
        <v>60.503765928816684</v>
      </c>
      <c r="T40">
        <v>56.614657552630149</v>
      </c>
      <c r="U40">
        <v>53.317615461720301</v>
      </c>
      <c r="V40">
        <v>52.806797732505245</v>
      </c>
      <c r="W40">
        <v>39.895538951225227</v>
      </c>
      <c r="X40">
        <v>34.063859471349161</v>
      </c>
      <c r="Y40">
        <v>35.719141807043378</v>
      </c>
      <c r="Z40">
        <v>35.691681183832834</v>
      </c>
      <c r="AA40">
        <v>35.894450858887012</v>
      </c>
      <c r="AB40">
        <v>36.204150812886667</v>
      </c>
      <c r="AC40">
        <v>36.182676800102591</v>
      </c>
      <c r="AD40" s="4">
        <v>-0.84749137404402519</v>
      </c>
    </row>
    <row r="41" spans="1:30" x14ac:dyDescent="0.25">
      <c r="A41" t="s">
        <v>70</v>
      </c>
      <c r="B41" t="s">
        <v>68</v>
      </c>
      <c r="C41">
        <v>1.0153301848000366E-2</v>
      </c>
      <c r="D41">
        <v>9.2481864680210007E-3</v>
      </c>
      <c r="E41">
        <v>1.0718973599870413E-2</v>
      </c>
      <c r="F41">
        <v>7.635277778687128E-3</v>
      </c>
      <c r="G41">
        <v>6.9842167419426034E-3</v>
      </c>
      <c r="H41">
        <v>4.7097707066292909E-3</v>
      </c>
      <c r="I41">
        <v>1.7315316358935012E-3</v>
      </c>
      <c r="J41">
        <v>1.7952386145163139E-3</v>
      </c>
      <c r="K41">
        <v>6.3046651958008977E-4</v>
      </c>
      <c r="L41">
        <v>6.9829865887395775E-4</v>
      </c>
      <c r="M41">
        <v>6.8783782731851118E-4</v>
      </c>
      <c r="N41">
        <v>7.5107837573422246E-4</v>
      </c>
      <c r="O41">
        <v>6.4695093531257498E-4</v>
      </c>
      <c r="P41">
        <v>5.9259482000505669E-4</v>
      </c>
      <c r="Q41">
        <v>6.2147208042747878E-4</v>
      </c>
      <c r="R41">
        <v>4.4341383723372919E-3</v>
      </c>
      <c r="S41">
        <v>4.3610157046772846E-3</v>
      </c>
      <c r="T41">
        <v>3.9740647324574907E-3</v>
      </c>
      <c r="U41">
        <v>4.1092400204255823E-3</v>
      </c>
      <c r="V41">
        <v>3.7448105679602456E-3</v>
      </c>
      <c r="W41">
        <v>3.8520941117579392E-3</v>
      </c>
      <c r="X41">
        <v>3.9065407300380656E-3</v>
      </c>
      <c r="Y41">
        <v>3.8590197076940362E-3</v>
      </c>
      <c r="Z41">
        <v>3.834085018985849E-3</v>
      </c>
      <c r="AA41">
        <v>3.7957748348041915E-3</v>
      </c>
      <c r="AB41">
        <v>3.2441704367355555E-3</v>
      </c>
      <c r="AC41">
        <v>2.8417929201791478E-3</v>
      </c>
      <c r="AD41" s="4">
        <v>-0.72011145115922837</v>
      </c>
    </row>
    <row r="42" spans="1:30" x14ac:dyDescent="0.25">
      <c r="A42" t="s">
        <v>70</v>
      </c>
      <c r="B42" t="s">
        <v>69</v>
      </c>
      <c r="C42">
        <v>0.13067230874985608</v>
      </c>
      <c r="D42">
        <v>0.12461437513827368</v>
      </c>
      <c r="E42">
        <v>0.11971118458674596</v>
      </c>
      <c r="F42">
        <v>0.12078244937966816</v>
      </c>
      <c r="G42">
        <v>0.11056073466423344</v>
      </c>
      <c r="H42">
        <v>0.1080038200319819</v>
      </c>
      <c r="I42">
        <v>0.12691658909576148</v>
      </c>
      <c r="J42">
        <v>0.10445454149198871</v>
      </c>
      <c r="K42">
        <v>8.8767858517689452E-2</v>
      </c>
      <c r="L42">
        <v>8.691980674931106E-2</v>
      </c>
      <c r="M42">
        <v>9.1124755363156368E-2</v>
      </c>
      <c r="N42">
        <v>8.90385531614451E-2</v>
      </c>
      <c r="O42">
        <v>8.2326553831611596E-2</v>
      </c>
      <c r="P42">
        <v>6.8843715556054133E-2</v>
      </c>
      <c r="Q42">
        <v>6.4717493807478793E-2</v>
      </c>
      <c r="R42">
        <v>6.8111273030820374E-2</v>
      </c>
      <c r="S42">
        <v>6.7638359211142973E-2</v>
      </c>
      <c r="T42">
        <v>6.3939745629324321E-2</v>
      </c>
      <c r="U42">
        <v>6.3423040926874369E-2</v>
      </c>
      <c r="V42">
        <v>6.1889844898777129E-2</v>
      </c>
      <c r="W42">
        <v>6.1930296345694254E-2</v>
      </c>
      <c r="X42">
        <v>6.1919914692354944E-2</v>
      </c>
      <c r="Y42">
        <v>6.3787687799905887E-2</v>
      </c>
      <c r="Z42">
        <v>6.2870419680335049E-2</v>
      </c>
      <c r="AA42">
        <v>6.1816029850028903E-2</v>
      </c>
      <c r="AB42">
        <v>6.1237521133201543E-2</v>
      </c>
      <c r="AC42">
        <v>6.0683116191706847E-2</v>
      </c>
      <c r="AD42" s="4">
        <v>-0.53560844855147105</v>
      </c>
    </row>
    <row r="43" spans="1:30" x14ac:dyDescent="0.25">
      <c r="A43" t="s">
        <v>70</v>
      </c>
      <c r="B43" t="s">
        <v>65</v>
      </c>
      <c r="C43">
        <f>907185*C38/(C17*10^9)</f>
        <v>1.1148051015540944E-10</v>
      </c>
      <c r="D43">
        <f>907185*D38/(D17*10^9)</f>
        <v>2.4043567419181798E-10</v>
      </c>
      <c r="E43">
        <f>907185*E38/(E17*10^9)</f>
        <v>2.4093721517418914E-8</v>
      </c>
      <c r="F43">
        <f>907185*F38/(F17*10^9)</f>
        <v>9.8013835413185236E-11</v>
      </c>
      <c r="G43">
        <f>907185*G38/(G17*10^9)</f>
        <v>9.7273213676080839E-11</v>
      </c>
      <c r="H43">
        <f>907185*H38/(H17*10^9)</f>
        <v>8.4945764247822871E-11</v>
      </c>
      <c r="I43">
        <f>907185*I38/(I17*10^9)</f>
        <v>8.4236674178602748E-11</v>
      </c>
      <c r="J43">
        <f>907185*J38/(J17*10^9)</f>
        <v>6.6140370008495776E-11</v>
      </c>
      <c r="K43">
        <f>907185*K38/(K17*10^9)</f>
        <v>4.5685979679716654E-11</v>
      </c>
      <c r="L43">
        <f>907185*L38/(L17*10^9)</f>
        <v>1.1025768298009859E-10</v>
      </c>
      <c r="M43">
        <f>907185*M38/(M17*10^9)</f>
        <v>5.5027026185480904E-11</v>
      </c>
      <c r="N43">
        <f>907185*N38/(N17*10^9)</f>
        <v>1.4306254775889954E-10</v>
      </c>
      <c r="O43">
        <f>907185*O38/(O17*10^9)</f>
        <v>5.7324766420101582E-11</v>
      </c>
      <c r="P43">
        <f>907185*P38/(P17*10^9)</f>
        <v>1.3432149253447954E-10</v>
      </c>
      <c r="Q43">
        <f>907185*Q38/(Q17*10^9)</f>
        <v>8.4397443021015627E-11</v>
      </c>
      <c r="R43">
        <f>907185*R38/(R17*10^9)</f>
        <v>4.3614475793481562E-11</v>
      </c>
      <c r="S43">
        <f>907185*S38/(S17*10^9)</f>
        <v>4.2615788645054896E-11</v>
      </c>
      <c r="T43">
        <f>907185*T38/(T17*10^9)</f>
        <v>3.2843510185599099E-11</v>
      </c>
      <c r="U43">
        <f>907185*U38/(U17*10^9)</f>
        <v>6.2832416214458455E-11</v>
      </c>
      <c r="V43">
        <f>907185*V38/(V17*10^9)</f>
        <v>1.8267368624196317E-11</v>
      </c>
      <c r="W43">
        <f>907185*W38/(W17*10^9)</f>
        <v>3.0915683079919261E-11</v>
      </c>
      <c r="X43">
        <f>907185*X38/(X17*10^9)</f>
        <v>3.7323637548134379E-11</v>
      </c>
      <c r="Y43">
        <f>907185*Y38/(Y17*10^9)</f>
        <v>2.4618945503630211E-11</v>
      </c>
      <c r="Z43">
        <f>907185*Z38/(Z17*10^9)</f>
        <v>2.4498945808216286E-11</v>
      </c>
      <c r="AA43">
        <f>907185*AA38/(AA17*10^9)</f>
        <v>2.4488869901962523E-11</v>
      </c>
      <c r="AB43">
        <f>907185*AB38/(AB17*10^9)</f>
        <v>2.4346494834788403E-11</v>
      </c>
      <c r="AC43">
        <f>907185*AC38/(AC17*10^9)</f>
        <v>2.4082990848975829E-11</v>
      </c>
      <c r="AD43" s="4">
        <v>-0.78397128955184248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43"/>
  <sheetViews>
    <sheetView tabSelected="1" topLeftCell="A9" zoomScale="70" zoomScaleNormal="70" workbookViewId="0">
      <selection activeCell="B16" sqref="B16:B17"/>
    </sheetView>
  </sheetViews>
  <sheetFormatPr defaultRowHeight="15" x14ac:dyDescent="0.25"/>
  <cols>
    <col min="1" max="1" width="44.7109375" bestFit="1" customWidth="1"/>
    <col min="2" max="2" width="16.140625" bestFit="1" customWidth="1"/>
    <col min="3" max="29" width="11.5703125" bestFit="1" customWidth="1"/>
    <col min="30" max="30" width="19.42578125" bestFit="1" customWidth="1"/>
  </cols>
  <sheetData>
    <row r="1" spans="1:30" s="3" customFormat="1" ht="15.75" thickBot="1" x14ac:dyDescent="0.3">
      <c r="A1" s="3" t="s">
        <v>72</v>
      </c>
      <c r="B1" s="1" t="s">
        <v>73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</row>
    <row r="2" spans="1:30" ht="15.75" thickTop="1" x14ac:dyDescent="0.25">
      <c r="A2" t="s">
        <v>29</v>
      </c>
      <c r="B2" t="s">
        <v>30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 s="4" t="e" cm="1">
        <f t="array" ref="AD2:AD17">(AC2:AC17-C2:C17)/C2:C17</f>
        <v>#DIV/0!</v>
      </c>
    </row>
    <row r="3" spans="1:30" x14ac:dyDescent="0.25">
      <c r="A3" t="s">
        <v>29</v>
      </c>
      <c r="B3" t="s">
        <v>32</v>
      </c>
      <c r="C3">
        <v>0.51529199999999997</v>
      </c>
      <c r="D3">
        <v>0.46970400000000001</v>
      </c>
      <c r="E3">
        <v>0.49158000000000002</v>
      </c>
      <c r="F3">
        <v>0.46457700000000002</v>
      </c>
      <c r="G3">
        <v>0.30716500000000002</v>
      </c>
      <c r="H3">
        <v>0.29996200000000001</v>
      </c>
      <c r="I3">
        <v>0.29943799999999998</v>
      </c>
      <c r="J3">
        <v>0.120194</v>
      </c>
      <c r="K3">
        <v>0.119297</v>
      </c>
      <c r="L3">
        <v>0.109046</v>
      </c>
      <c r="M3">
        <v>0.109046</v>
      </c>
      <c r="N3">
        <v>0.115463</v>
      </c>
      <c r="O3">
        <v>0.11321199999999999</v>
      </c>
      <c r="P3">
        <v>0.109046</v>
      </c>
      <c r="Q3">
        <v>0.109046</v>
      </c>
      <c r="R3">
        <v>0.109128</v>
      </c>
      <c r="S3">
        <v>0.106071</v>
      </c>
      <c r="T3">
        <v>0.104577</v>
      </c>
      <c r="U3">
        <v>0.106382</v>
      </c>
      <c r="V3">
        <v>0.10337399999999999</v>
      </c>
      <c r="W3">
        <v>3.6942999999999997E-2</v>
      </c>
      <c r="X3">
        <v>3.8904000000000001E-2</v>
      </c>
      <c r="Y3">
        <v>3.9208E-2</v>
      </c>
      <c r="Z3">
        <v>3.5711E-2</v>
      </c>
      <c r="AA3">
        <v>3.3603000000000001E-2</v>
      </c>
      <c r="AB3">
        <v>3.3092999999999997E-2</v>
      </c>
      <c r="AC3">
        <v>3.4498000000000001E-2</v>
      </c>
      <c r="AD3" s="4">
        <v>-0.93305155135340734</v>
      </c>
    </row>
    <row r="4" spans="1:30" x14ac:dyDescent="0.25">
      <c r="A4" t="s">
        <v>29</v>
      </c>
      <c r="B4" t="s">
        <v>33</v>
      </c>
      <c r="C4">
        <v>41.292915000000001</v>
      </c>
      <c r="D4">
        <v>25.743186999999999</v>
      </c>
      <c r="E4">
        <v>31.293763999999999</v>
      </c>
      <c r="F4">
        <v>25.418631000000001</v>
      </c>
      <c r="G4">
        <v>17.550039000000002</v>
      </c>
      <c r="H4">
        <v>15.898548</v>
      </c>
      <c r="I4">
        <v>20.624628000000001</v>
      </c>
      <c r="J4">
        <v>15.792185</v>
      </c>
      <c r="K4">
        <v>16.011203999999999</v>
      </c>
      <c r="L4">
        <v>14.530652</v>
      </c>
      <c r="M4">
        <v>14.496301000000001</v>
      </c>
      <c r="N4">
        <v>14.319091999999999</v>
      </c>
      <c r="O4">
        <v>14.446045</v>
      </c>
      <c r="P4">
        <v>14.155331</v>
      </c>
      <c r="Q4">
        <v>13.982574</v>
      </c>
      <c r="R4">
        <v>14.153238</v>
      </c>
      <c r="S4">
        <v>13.855288</v>
      </c>
      <c r="T4">
        <v>13.622139000000001</v>
      </c>
      <c r="U4">
        <v>13.468735000000001</v>
      </c>
      <c r="V4">
        <v>13.093812</v>
      </c>
      <c r="W4">
        <v>13.27045</v>
      </c>
      <c r="X4">
        <v>13.406487</v>
      </c>
      <c r="Y4">
        <v>13.955603999999999</v>
      </c>
      <c r="Z4">
        <v>14.163505000000001</v>
      </c>
      <c r="AA4">
        <v>14.641722</v>
      </c>
      <c r="AB4">
        <v>14.591887</v>
      </c>
      <c r="AC4">
        <v>14.353241000000001</v>
      </c>
      <c r="AD4" s="4">
        <v>-0.65240426838357135</v>
      </c>
    </row>
    <row r="5" spans="1:30" x14ac:dyDescent="0.25">
      <c r="A5" t="s">
        <v>29</v>
      </c>
      <c r="B5" t="s">
        <v>34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 s="4" t="e">
        <v>#DIV/0!</v>
      </c>
    </row>
    <row r="6" spans="1:30" x14ac:dyDescent="0.25">
      <c r="A6" t="s">
        <v>29</v>
      </c>
      <c r="B6" t="s">
        <v>35</v>
      </c>
      <c r="C6">
        <v>0.33815400000000001</v>
      </c>
      <c r="D6">
        <v>0.35526400000000002</v>
      </c>
      <c r="E6">
        <v>0.32437500000000002</v>
      </c>
      <c r="F6">
        <v>0.33804600000000001</v>
      </c>
      <c r="G6">
        <v>0.32891700000000001</v>
      </c>
      <c r="H6">
        <v>0.323967</v>
      </c>
      <c r="I6">
        <v>0.32748699999999997</v>
      </c>
      <c r="J6">
        <v>0.33066200000000001</v>
      </c>
      <c r="K6">
        <v>0.30582999999999999</v>
      </c>
      <c r="L6">
        <v>0.27708500000000003</v>
      </c>
      <c r="M6">
        <v>0.25857999999999998</v>
      </c>
      <c r="N6">
        <v>0.22218599999999999</v>
      </c>
      <c r="O6">
        <v>0.216167</v>
      </c>
      <c r="P6">
        <v>0.21532999999999999</v>
      </c>
      <c r="Q6">
        <v>0.20271</v>
      </c>
      <c r="R6">
        <v>0.20511399999999999</v>
      </c>
      <c r="S6">
        <v>0.12651899999999999</v>
      </c>
      <c r="T6">
        <v>8.4960999999999995E-2</v>
      </c>
      <c r="U6">
        <v>8.1222000000000003E-2</v>
      </c>
      <c r="V6">
        <v>7.9018000000000005E-2</v>
      </c>
      <c r="W6">
        <v>7.5620999999999994E-2</v>
      </c>
      <c r="X6">
        <v>7.4385999999999994E-2</v>
      </c>
      <c r="Y6">
        <v>7.1490999999999999E-2</v>
      </c>
      <c r="Z6">
        <v>7.4900999999999995E-2</v>
      </c>
      <c r="AA6">
        <v>7.6563000000000006E-2</v>
      </c>
      <c r="AB6">
        <v>7.4852000000000002E-2</v>
      </c>
      <c r="AC6">
        <v>7.7567999999999998E-2</v>
      </c>
      <c r="AD6" s="4">
        <v>-0.77061338916588296</v>
      </c>
    </row>
    <row r="7" spans="1:30" x14ac:dyDescent="0.25">
      <c r="A7" t="s">
        <v>29</v>
      </c>
      <c r="B7" t="s">
        <v>36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 s="4" t="e">
        <v>#DIV/0!</v>
      </c>
    </row>
    <row r="8" spans="1:30" x14ac:dyDescent="0.25">
      <c r="A8" t="s">
        <v>29</v>
      </c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 s="4" t="e">
        <v>#DIV/0!</v>
      </c>
    </row>
    <row r="9" spans="1:30" x14ac:dyDescent="0.25">
      <c r="A9" t="s">
        <v>29</v>
      </c>
      <c r="B9" t="s">
        <v>38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 s="4" t="e">
        <v>#DIV/0!</v>
      </c>
    </row>
    <row r="10" spans="1:30" x14ac:dyDescent="0.25">
      <c r="A10" t="s">
        <v>29</v>
      </c>
      <c r="B10" t="s">
        <v>39</v>
      </c>
      <c r="C10">
        <v>3.9469999999999998E-2</v>
      </c>
      <c r="D10">
        <v>3.5783000000000002E-2</v>
      </c>
      <c r="E10">
        <v>5.5198999999999998E-2</v>
      </c>
      <c r="F10">
        <v>5.5198999999999998E-2</v>
      </c>
      <c r="G10">
        <v>5.5198999999999998E-2</v>
      </c>
      <c r="H10">
        <v>5.5198999999999998E-2</v>
      </c>
      <c r="I10">
        <v>5.5198999999999998E-2</v>
      </c>
      <c r="J10">
        <v>5.5198999999999998E-2</v>
      </c>
      <c r="K10">
        <v>5.5198999999999998E-2</v>
      </c>
      <c r="L10">
        <v>5.5198999999999998E-2</v>
      </c>
      <c r="M10">
        <v>5.5198999999999998E-2</v>
      </c>
      <c r="N10">
        <v>5.5198999999999998E-2</v>
      </c>
      <c r="O10">
        <v>5.5198999999999998E-2</v>
      </c>
      <c r="P10">
        <v>5.5198999999999998E-2</v>
      </c>
      <c r="Q10">
        <v>5.5198999999999998E-2</v>
      </c>
      <c r="R10">
        <v>4.4719000000000002E-2</v>
      </c>
      <c r="S10">
        <v>4.0728E-2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 s="4">
        <v>-1</v>
      </c>
    </row>
    <row r="11" spans="1:30" x14ac:dyDescent="0.25">
      <c r="A11" t="s">
        <v>29</v>
      </c>
      <c r="B11" t="s">
        <v>40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 s="4" t="e">
        <v>#DIV/0!</v>
      </c>
    </row>
    <row r="12" spans="1:30" x14ac:dyDescent="0.25">
      <c r="A12" t="s">
        <v>29</v>
      </c>
      <c r="B12" t="s">
        <v>41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 s="4" t="e">
        <v>#DIV/0!</v>
      </c>
    </row>
    <row r="13" spans="1:30" x14ac:dyDescent="0.25">
      <c r="A13" t="s">
        <v>29</v>
      </c>
      <c r="B13" t="s">
        <v>42</v>
      </c>
      <c r="C13">
        <v>0.26185900000000001</v>
      </c>
      <c r="D13">
        <v>0.28156399999999998</v>
      </c>
      <c r="E13">
        <v>4.1646289999999997</v>
      </c>
      <c r="F13">
        <v>5.1280669999999997</v>
      </c>
      <c r="G13">
        <v>5.1045170000000004</v>
      </c>
      <c r="H13">
        <v>5.1045020000000001</v>
      </c>
      <c r="I13">
        <v>5.0984749999999996</v>
      </c>
      <c r="J13">
        <v>5.1058539999999999</v>
      </c>
      <c r="K13">
        <v>5.1012570000000004</v>
      </c>
      <c r="L13">
        <v>5.1020300000000001</v>
      </c>
      <c r="M13">
        <v>5.2781200000000004</v>
      </c>
      <c r="N13">
        <v>9.2027219999999996</v>
      </c>
      <c r="O13">
        <v>9.9033730000000002</v>
      </c>
      <c r="P13">
        <v>9.8724489999999996</v>
      </c>
      <c r="Q13">
        <v>9.8591730000000002</v>
      </c>
      <c r="R13">
        <v>9.8596199999999996</v>
      </c>
      <c r="S13">
        <v>9.8751660000000001</v>
      </c>
      <c r="T13">
        <v>9.8858929999999994</v>
      </c>
      <c r="U13">
        <v>9.8970690000000001</v>
      </c>
      <c r="V13">
        <v>9.8976629999999997</v>
      </c>
      <c r="W13">
        <v>9.8971820000000008</v>
      </c>
      <c r="X13">
        <v>9.8995040000000003</v>
      </c>
      <c r="Y13">
        <v>9.9054110000000009</v>
      </c>
      <c r="Z13">
        <v>9.9049209999999999</v>
      </c>
      <c r="AA13">
        <v>9.8954160000000009</v>
      </c>
      <c r="AB13">
        <v>9.8943569999999994</v>
      </c>
      <c r="AC13">
        <v>8.8507180000000005</v>
      </c>
      <c r="AD13" s="4">
        <v>32.799556249737456</v>
      </c>
    </row>
    <row r="14" spans="1:30" x14ac:dyDescent="0.25">
      <c r="A14" t="s">
        <v>29</v>
      </c>
      <c r="B14" t="s">
        <v>43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1.288076</v>
      </c>
      <c r="AC14">
        <v>1.981139</v>
      </c>
      <c r="AD14" s="4" t="e">
        <v>#DIV/0!</v>
      </c>
    </row>
    <row r="15" spans="1:30" x14ac:dyDescent="0.25">
      <c r="A15" t="s">
        <v>29</v>
      </c>
      <c r="B15" t="s">
        <v>44</v>
      </c>
      <c r="C15">
        <v>0.25730500000000001</v>
      </c>
      <c r="D15">
        <v>2.8386900000000002</v>
      </c>
      <c r="E15">
        <v>4.5406110000000002</v>
      </c>
      <c r="F15">
        <v>7.9333200000000001</v>
      </c>
      <c r="G15">
        <v>10.566216000000001</v>
      </c>
      <c r="H15">
        <v>13.649988</v>
      </c>
      <c r="I15">
        <v>16.736076000000001</v>
      </c>
      <c r="J15">
        <v>19.820565999999999</v>
      </c>
      <c r="K15">
        <v>22.909870000000002</v>
      </c>
      <c r="L15">
        <v>25.993224999999999</v>
      </c>
      <c r="M15">
        <v>29.078496999999999</v>
      </c>
      <c r="N15">
        <v>32.151969999999999</v>
      </c>
      <c r="O15">
        <v>32.781815000000002</v>
      </c>
      <c r="P15">
        <v>32.780914000000003</v>
      </c>
      <c r="Q15">
        <v>32.781196999999999</v>
      </c>
      <c r="R15">
        <v>32.781193000000002</v>
      </c>
      <c r="S15">
        <v>32.781052000000003</v>
      </c>
      <c r="T15">
        <v>32.764350999999998</v>
      </c>
      <c r="U15">
        <v>32.776896999999998</v>
      </c>
      <c r="V15">
        <v>32.171230000000001</v>
      </c>
      <c r="W15">
        <v>32.779674999999997</v>
      </c>
      <c r="X15">
        <v>32.779632999999997</v>
      </c>
      <c r="Y15">
        <v>32.779921999999999</v>
      </c>
      <c r="Z15">
        <v>32.779868999999998</v>
      </c>
      <c r="AA15">
        <v>32.754004999999999</v>
      </c>
      <c r="AB15">
        <v>31.785954</v>
      </c>
      <c r="AC15">
        <v>32.784739999999999</v>
      </c>
      <c r="AD15" s="4">
        <v>126.41586832747127</v>
      </c>
    </row>
    <row r="16" spans="1:30" x14ac:dyDescent="0.25">
      <c r="A16" t="s">
        <v>29</v>
      </c>
      <c r="B16" s="5" t="s">
        <v>45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3.5109999999999998E-3</v>
      </c>
      <c r="S16">
        <v>3.5109999999999998E-3</v>
      </c>
      <c r="T16">
        <v>3.5109999999999998E-3</v>
      </c>
      <c r="U16">
        <v>3.5109999999999998E-3</v>
      </c>
      <c r="V16">
        <v>5.8820000000000001E-3</v>
      </c>
      <c r="W16">
        <v>8.5419999999999992E-3</v>
      </c>
      <c r="X16">
        <v>8.5419999999999992E-3</v>
      </c>
      <c r="Y16">
        <v>8.5419999999999992E-3</v>
      </c>
      <c r="Z16">
        <v>8.5419999999999992E-3</v>
      </c>
      <c r="AA16">
        <v>8.5419999999999992E-3</v>
      </c>
      <c r="AB16">
        <v>8.5419999999999992E-3</v>
      </c>
      <c r="AC16">
        <v>9.8759999999999994E-3</v>
      </c>
      <c r="AD16" s="4" t="e">
        <v>#DIV/0!</v>
      </c>
    </row>
    <row r="17" spans="1:30" x14ac:dyDescent="0.25">
      <c r="A17" t="s">
        <v>29</v>
      </c>
      <c r="B17" s="5" t="s">
        <v>46</v>
      </c>
      <c r="C17">
        <v>42.704998000000003</v>
      </c>
      <c r="D17">
        <v>29.724191999999999</v>
      </c>
      <c r="E17">
        <v>40.870154999999997</v>
      </c>
      <c r="F17">
        <v>39.337837</v>
      </c>
      <c r="G17">
        <v>33.912056</v>
      </c>
      <c r="H17">
        <v>35.332165000000003</v>
      </c>
      <c r="I17">
        <v>43.141303999999998</v>
      </c>
      <c r="J17">
        <v>41.224659000000003</v>
      </c>
      <c r="K17">
        <v>44.502654999999997</v>
      </c>
      <c r="L17">
        <v>46.067233999999999</v>
      </c>
      <c r="M17">
        <v>49.275742000000001</v>
      </c>
      <c r="N17">
        <v>56.066631000000001</v>
      </c>
      <c r="O17">
        <v>57.515816000000001</v>
      </c>
      <c r="P17">
        <v>57.188271</v>
      </c>
      <c r="Q17">
        <v>56.989899000000001</v>
      </c>
      <c r="R17">
        <v>57.156517000000001</v>
      </c>
      <c r="S17">
        <v>56.788330000000002</v>
      </c>
      <c r="T17">
        <v>56.465426999999998</v>
      </c>
      <c r="U17">
        <v>56.333812999999999</v>
      </c>
      <c r="V17">
        <v>55.350979000000002</v>
      </c>
      <c r="W17">
        <v>56.068416999999997</v>
      </c>
      <c r="X17">
        <v>56.207455000000003</v>
      </c>
      <c r="Y17">
        <v>56.760178000000003</v>
      </c>
      <c r="Z17">
        <v>56.967444999999998</v>
      </c>
      <c r="AA17">
        <v>57.409851000000003</v>
      </c>
      <c r="AB17">
        <v>57.676758</v>
      </c>
      <c r="AC17">
        <v>58.091777999999998</v>
      </c>
      <c r="AD17" s="4">
        <v>0.36030396254789648</v>
      </c>
    </row>
    <row r="18" spans="1:30" x14ac:dyDescent="0.25">
      <c r="A18" t="s">
        <v>74</v>
      </c>
      <c r="B18" t="s">
        <v>47</v>
      </c>
      <c r="C18">
        <v>30.014765000000001</v>
      </c>
      <c r="D18">
        <v>31.347172</v>
      </c>
      <c r="E18">
        <v>31.324299</v>
      </c>
      <c r="F18">
        <v>30.548770999999999</v>
      </c>
      <c r="G18">
        <v>30.614691000000001</v>
      </c>
      <c r="H18">
        <v>31.188701999999999</v>
      </c>
      <c r="I18">
        <v>32.022789000000003</v>
      </c>
      <c r="J18">
        <v>32.879958999999999</v>
      </c>
      <c r="K18">
        <v>33.522151999999998</v>
      </c>
      <c r="L18">
        <v>34.123375000000003</v>
      </c>
      <c r="M18">
        <v>34.097008000000002</v>
      </c>
      <c r="N18">
        <v>34.549273999999997</v>
      </c>
      <c r="O18">
        <v>34.326340000000002</v>
      </c>
      <c r="P18">
        <v>33.114578000000002</v>
      </c>
      <c r="Q18">
        <v>31.962689999999998</v>
      </c>
      <c r="R18">
        <v>31.582037</v>
      </c>
      <c r="S18">
        <v>31.347048000000001</v>
      </c>
      <c r="T18">
        <v>30.984940000000002</v>
      </c>
      <c r="U18">
        <v>30.656763000000002</v>
      </c>
      <c r="V18">
        <v>30.437747999999999</v>
      </c>
      <c r="W18">
        <v>30.471972000000001</v>
      </c>
      <c r="X18">
        <v>30.791826</v>
      </c>
      <c r="Y18">
        <v>31.443988999999998</v>
      </c>
      <c r="Z18">
        <v>32.043579000000001</v>
      </c>
      <c r="AA18">
        <v>32.503203999999997</v>
      </c>
      <c r="AB18">
        <v>32.953795999999997</v>
      </c>
      <c r="AC18">
        <v>33.459392999999999</v>
      </c>
      <c r="AD18" s="4" cm="1">
        <f t="array" ref="AD18:AD22">(AC18:AC22-C18:C22)/C18:C22</f>
        <v>0.11476445009647745</v>
      </c>
    </row>
    <row r="19" spans="1:30" x14ac:dyDescent="0.25">
      <c r="A19" t="s">
        <v>74</v>
      </c>
      <c r="B19" t="s">
        <v>49</v>
      </c>
      <c r="C19">
        <v>22.268557000000001</v>
      </c>
      <c r="D19">
        <v>22.950613000000001</v>
      </c>
      <c r="E19">
        <v>22.857296000000002</v>
      </c>
      <c r="F19">
        <v>21.975731</v>
      </c>
      <c r="G19">
        <v>22.032236000000001</v>
      </c>
      <c r="H19">
        <v>22.543811999999999</v>
      </c>
      <c r="I19">
        <v>23.386348999999999</v>
      </c>
      <c r="J19">
        <v>24.254505000000002</v>
      </c>
      <c r="K19">
        <v>24.677534000000001</v>
      </c>
      <c r="L19">
        <v>25.166166</v>
      </c>
      <c r="M19">
        <v>25.097265</v>
      </c>
      <c r="N19">
        <v>25.51071</v>
      </c>
      <c r="O19">
        <v>25.171154000000001</v>
      </c>
      <c r="P19">
        <v>24.062843000000001</v>
      </c>
      <c r="Q19">
        <v>23.01726</v>
      </c>
      <c r="R19">
        <v>22.557699</v>
      </c>
      <c r="S19">
        <v>22.261951</v>
      </c>
      <c r="T19">
        <v>21.773136000000001</v>
      </c>
      <c r="U19">
        <v>21.270506000000001</v>
      </c>
      <c r="V19">
        <v>20.857492000000001</v>
      </c>
      <c r="W19">
        <v>20.713760000000001</v>
      </c>
      <c r="X19">
        <v>20.874842000000001</v>
      </c>
      <c r="Y19">
        <v>21.467946999999999</v>
      </c>
      <c r="Z19">
        <v>21.981902999999999</v>
      </c>
      <c r="AA19">
        <v>22.256321</v>
      </c>
      <c r="AB19">
        <v>22.532817999999999</v>
      </c>
      <c r="AC19">
        <v>22.893377000000001</v>
      </c>
      <c r="AD19" s="4">
        <v>2.8058396419669208E-2</v>
      </c>
    </row>
    <row r="20" spans="1:30" x14ac:dyDescent="0.25">
      <c r="A20" t="s">
        <v>74</v>
      </c>
      <c r="B20" t="s">
        <v>50</v>
      </c>
      <c r="C20">
        <v>24.088584999999998</v>
      </c>
      <c r="D20">
        <v>25.201376</v>
      </c>
      <c r="E20">
        <v>25.291520999999999</v>
      </c>
      <c r="F20">
        <v>24.509001000000001</v>
      </c>
      <c r="G20">
        <v>24.575523</v>
      </c>
      <c r="H20">
        <v>25.215958000000001</v>
      </c>
      <c r="I20">
        <v>26.066790000000001</v>
      </c>
      <c r="J20">
        <v>26.830048000000001</v>
      </c>
      <c r="K20">
        <v>27.363565000000001</v>
      </c>
      <c r="L20">
        <v>27.90457</v>
      </c>
      <c r="M20">
        <v>27.875019000000002</v>
      </c>
      <c r="N20">
        <v>28.201436999999999</v>
      </c>
      <c r="O20">
        <v>28.005465000000001</v>
      </c>
      <c r="P20">
        <v>26.868448000000001</v>
      </c>
      <c r="Q20">
        <v>25.789728</v>
      </c>
      <c r="R20">
        <v>25.507290000000001</v>
      </c>
      <c r="S20">
        <v>25.323017</v>
      </c>
      <c r="T20">
        <v>24.998481999999999</v>
      </c>
      <c r="U20">
        <v>24.652170000000002</v>
      </c>
      <c r="V20">
        <v>24.455904</v>
      </c>
      <c r="W20">
        <v>24.493628000000001</v>
      </c>
      <c r="X20">
        <v>24.79101</v>
      </c>
      <c r="Y20">
        <v>25.44725</v>
      </c>
      <c r="Z20">
        <v>25.996659999999999</v>
      </c>
      <c r="AA20">
        <v>26.364602999999999</v>
      </c>
      <c r="AB20">
        <v>26.741714000000002</v>
      </c>
      <c r="AC20">
        <v>27.133794999999999</v>
      </c>
      <c r="AD20" s="4">
        <v>0.12641713907230337</v>
      </c>
    </row>
    <row r="21" spans="1:30" x14ac:dyDescent="0.25">
      <c r="A21" t="s">
        <v>74</v>
      </c>
      <c r="B21" t="s">
        <v>51</v>
      </c>
      <c r="C21">
        <v>21.805592999999998</v>
      </c>
      <c r="D21">
        <v>22.623180000000001</v>
      </c>
      <c r="E21">
        <v>22.312086000000001</v>
      </c>
      <c r="F21">
        <v>21.402335999999998</v>
      </c>
      <c r="G21">
        <v>21.405301999999999</v>
      </c>
      <c r="H21">
        <v>21.922917999999999</v>
      </c>
      <c r="I21">
        <v>22.714521000000001</v>
      </c>
      <c r="J21">
        <v>23.434753000000001</v>
      </c>
      <c r="K21">
        <v>23.948229000000001</v>
      </c>
      <c r="L21">
        <v>24.403642999999999</v>
      </c>
      <c r="M21">
        <v>24.397072000000001</v>
      </c>
      <c r="N21">
        <v>24.654066</v>
      </c>
      <c r="O21">
        <v>24.361128000000001</v>
      </c>
      <c r="P21">
        <v>23.247931000000001</v>
      </c>
      <c r="Q21">
        <v>22.179438000000001</v>
      </c>
      <c r="R21">
        <v>21.826456</v>
      </c>
      <c r="S21">
        <v>21.588570000000001</v>
      </c>
      <c r="T21">
        <v>21.159970999999999</v>
      </c>
      <c r="U21">
        <v>20.713743000000001</v>
      </c>
      <c r="V21">
        <v>20.372153999999998</v>
      </c>
      <c r="W21">
        <v>20.249054000000001</v>
      </c>
      <c r="X21">
        <v>20.414549000000001</v>
      </c>
      <c r="Y21">
        <v>20.938883000000001</v>
      </c>
      <c r="Z21">
        <v>21.394635999999998</v>
      </c>
      <c r="AA21">
        <v>21.677837</v>
      </c>
      <c r="AB21">
        <v>21.953147999999999</v>
      </c>
      <c r="AC21">
        <v>22.270931000000001</v>
      </c>
      <c r="AD21" s="4">
        <v>2.1340304755757055E-2</v>
      </c>
    </row>
    <row r="22" spans="1:30" x14ac:dyDescent="0.25">
      <c r="A22" t="s">
        <v>74</v>
      </c>
      <c r="B22" t="s">
        <v>52</v>
      </c>
      <c r="C22">
        <v>25.132674999999999</v>
      </c>
      <c r="D22">
        <v>26.011709</v>
      </c>
      <c r="E22">
        <v>25.962706000000001</v>
      </c>
      <c r="F22">
        <v>25.112362000000001</v>
      </c>
      <c r="G22">
        <v>25.165189999999999</v>
      </c>
      <c r="H22">
        <v>25.684529999999999</v>
      </c>
      <c r="I22">
        <v>26.517869999999998</v>
      </c>
      <c r="J22">
        <v>27.373387999999998</v>
      </c>
      <c r="K22">
        <v>27.859307999999999</v>
      </c>
      <c r="L22">
        <v>28.375164000000002</v>
      </c>
      <c r="M22">
        <v>28.306557000000002</v>
      </c>
      <c r="N22">
        <v>28.715958000000001</v>
      </c>
      <c r="O22">
        <v>28.403752999999998</v>
      </c>
      <c r="P22">
        <v>27.244807999999999</v>
      </c>
      <c r="Q22">
        <v>26.148506000000001</v>
      </c>
      <c r="R22">
        <v>25.703824999999998</v>
      </c>
      <c r="S22">
        <v>25.414708999999998</v>
      </c>
      <c r="T22">
        <v>24.952325999999999</v>
      </c>
      <c r="U22">
        <v>24.490210999999999</v>
      </c>
      <c r="V22">
        <v>24.124061999999999</v>
      </c>
      <c r="W22">
        <v>24.020264000000001</v>
      </c>
      <c r="X22">
        <v>24.215530000000001</v>
      </c>
      <c r="Y22">
        <v>24.814598</v>
      </c>
      <c r="Z22">
        <v>25.340831999999999</v>
      </c>
      <c r="AA22">
        <v>25.654678000000001</v>
      </c>
      <c r="AB22">
        <v>25.966396</v>
      </c>
      <c r="AC22">
        <v>26.355281999999999</v>
      </c>
      <c r="AD22" s="4">
        <v>4.8646115067337639E-2</v>
      </c>
    </row>
    <row r="23" spans="1:30" x14ac:dyDescent="0.25">
      <c r="A23" t="s">
        <v>75</v>
      </c>
      <c r="B23" t="s">
        <v>47</v>
      </c>
      <c r="C23">
        <v>30.014765000000001</v>
      </c>
      <c r="D23">
        <v>32.066443999999997</v>
      </c>
      <c r="E23">
        <v>32.617203000000003</v>
      </c>
      <c r="F23">
        <v>32.357146999999998</v>
      </c>
      <c r="G23">
        <v>32.995876000000003</v>
      </c>
      <c r="H23">
        <v>34.115485999999997</v>
      </c>
      <c r="I23">
        <v>35.578978999999997</v>
      </c>
      <c r="J23">
        <v>37.169991000000003</v>
      </c>
      <c r="K23">
        <v>38.560367999999997</v>
      </c>
      <c r="L23">
        <v>39.940722999999998</v>
      </c>
      <c r="M23">
        <v>40.607967000000002</v>
      </c>
      <c r="N23">
        <v>41.858840999999998</v>
      </c>
      <c r="O23">
        <v>42.302261000000001</v>
      </c>
      <c r="P23">
        <v>41.539726000000002</v>
      </c>
      <c r="Q23">
        <v>40.842644</v>
      </c>
      <c r="R23">
        <v>41.144298999999997</v>
      </c>
      <c r="S23">
        <v>41.688782000000003</v>
      </c>
      <c r="T23">
        <v>42.114871999999998</v>
      </c>
      <c r="U23">
        <v>42.620800000000003</v>
      </c>
      <c r="V23">
        <v>43.312561000000002</v>
      </c>
      <c r="W23">
        <v>44.412224000000002</v>
      </c>
      <c r="X23">
        <v>45.974792000000001</v>
      </c>
      <c r="Y23">
        <v>48.098244000000001</v>
      </c>
      <c r="Z23">
        <v>50.210326999999999</v>
      </c>
      <c r="AA23">
        <v>52.152186999999998</v>
      </c>
      <c r="AB23">
        <v>54.129421000000001</v>
      </c>
      <c r="AC23">
        <v>56.235210000000002</v>
      </c>
      <c r="AD23" s="4" cm="1">
        <f t="array" ref="AD23:AD27">(AC23:AC27-C23:C27)/C23:C27</f>
        <v>0.87358488397293799</v>
      </c>
    </row>
    <row r="24" spans="1:30" x14ac:dyDescent="0.25">
      <c r="A24" t="s">
        <v>75</v>
      </c>
      <c r="B24" t="s">
        <v>49</v>
      </c>
      <c r="C24">
        <v>22.268557000000001</v>
      </c>
      <c r="D24">
        <v>23.477224</v>
      </c>
      <c r="E24">
        <v>23.800726000000001</v>
      </c>
      <c r="F24">
        <v>23.276613000000001</v>
      </c>
      <c r="G24">
        <v>23.745885999999999</v>
      </c>
      <c r="H24">
        <v>24.659348999999999</v>
      </c>
      <c r="I24">
        <v>25.983446000000001</v>
      </c>
      <c r="J24">
        <v>27.419125000000001</v>
      </c>
      <c r="K24">
        <v>28.386448000000001</v>
      </c>
      <c r="L24">
        <v>29.456491</v>
      </c>
      <c r="M24">
        <v>29.889686999999999</v>
      </c>
      <c r="N24">
        <v>30.907993000000001</v>
      </c>
      <c r="O24">
        <v>31.019814</v>
      </c>
      <c r="P24">
        <v>30.185010999999999</v>
      </c>
      <c r="Q24">
        <v>29.411974000000001</v>
      </c>
      <c r="R24">
        <v>29.387613000000002</v>
      </c>
      <c r="S24">
        <v>29.606413</v>
      </c>
      <c r="T24">
        <v>29.594147</v>
      </c>
      <c r="U24">
        <v>29.571484000000002</v>
      </c>
      <c r="V24">
        <v>29.679970000000001</v>
      </c>
      <c r="W24">
        <v>30.189848000000001</v>
      </c>
      <c r="X24">
        <v>31.167898000000001</v>
      </c>
      <c r="Y24">
        <v>32.838405999999999</v>
      </c>
      <c r="Z24">
        <v>34.444293999999999</v>
      </c>
      <c r="AA24">
        <v>35.710808</v>
      </c>
      <c r="AB24">
        <v>37.012073999999998</v>
      </c>
      <c r="AC24">
        <v>38.476909999999997</v>
      </c>
      <c r="AD24" s="4">
        <v>0.72785825323122622</v>
      </c>
    </row>
    <row r="25" spans="1:30" x14ac:dyDescent="0.25">
      <c r="A25" t="s">
        <v>75</v>
      </c>
      <c r="B25" t="s">
        <v>50</v>
      </c>
      <c r="C25">
        <v>24.088584999999998</v>
      </c>
      <c r="D25">
        <v>25.779633</v>
      </c>
      <c r="E25">
        <v>26.335424</v>
      </c>
      <c r="F25">
        <v>25.959845000000001</v>
      </c>
      <c r="G25">
        <v>26.486989999999999</v>
      </c>
      <c r="H25">
        <v>27.582253000000001</v>
      </c>
      <c r="I25">
        <v>28.961555000000001</v>
      </c>
      <c r="J25">
        <v>30.330711000000001</v>
      </c>
      <c r="K25">
        <v>31.476175000000001</v>
      </c>
      <c r="L25">
        <v>32.661738999999997</v>
      </c>
      <c r="M25">
        <v>33.197865</v>
      </c>
      <c r="N25">
        <v>34.167994999999998</v>
      </c>
      <c r="O25">
        <v>34.512695000000001</v>
      </c>
      <c r="P25">
        <v>33.704433000000002</v>
      </c>
      <c r="Q25">
        <v>32.954697000000003</v>
      </c>
      <c r="R25">
        <v>33.230266999999998</v>
      </c>
      <c r="S25">
        <v>33.677357000000001</v>
      </c>
      <c r="T25">
        <v>33.978050000000003</v>
      </c>
      <c r="U25">
        <v>34.272869</v>
      </c>
      <c r="V25">
        <v>34.800468000000002</v>
      </c>
      <c r="W25">
        <v>35.698920999999999</v>
      </c>
      <c r="X25">
        <v>37.015067999999999</v>
      </c>
      <c r="Y25">
        <v>38.925342999999998</v>
      </c>
      <c r="Z25">
        <v>40.735171999999999</v>
      </c>
      <c r="AA25">
        <v>42.30265</v>
      </c>
      <c r="AB25">
        <v>43.925545</v>
      </c>
      <c r="AC25">
        <v>45.603779000000003</v>
      </c>
      <c r="AD25" s="4">
        <v>0.89316969012501179</v>
      </c>
    </row>
    <row r="26" spans="1:30" x14ac:dyDescent="0.25">
      <c r="A26" t="s">
        <v>75</v>
      </c>
      <c r="B26" t="s">
        <v>51</v>
      </c>
      <c r="C26">
        <v>21.805592999999998</v>
      </c>
      <c r="D26">
        <v>23.142278999999998</v>
      </c>
      <c r="E26">
        <v>23.233013</v>
      </c>
      <c r="F26">
        <v>22.669277000000001</v>
      </c>
      <c r="G26">
        <v>23.07019</v>
      </c>
      <c r="H26">
        <v>23.98019</v>
      </c>
      <c r="I26">
        <v>25.237013000000001</v>
      </c>
      <c r="J26">
        <v>26.492414</v>
      </c>
      <c r="K26">
        <v>27.547530999999999</v>
      </c>
      <c r="L26">
        <v>28.563972</v>
      </c>
      <c r="M26">
        <v>29.055789999999998</v>
      </c>
      <c r="N26">
        <v>29.87011</v>
      </c>
      <c r="O26">
        <v>30.021574000000001</v>
      </c>
      <c r="P26">
        <v>29.162766000000001</v>
      </c>
      <c r="Q26">
        <v>28.341384999999999</v>
      </c>
      <c r="R26">
        <v>28.434967</v>
      </c>
      <c r="S26">
        <v>28.710875000000001</v>
      </c>
      <c r="T26">
        <v>28.760731</v>
      </c>
      <c r="U26">
        <v>28.797440000000002</v>
      </c>
      <c r="V26">
        <v>28.989339999999999</v>
      </c>
      <c r="W26">
        <v>29.512547000000001</v>
      </c>
      <c r="X26">
        <v>30.480644000000002</v>
      </c>
      <c r="Y26">
        <v>32.029125000000001</v>
      </c>
      <c r="Z26">
        <v>33.524085999999997</v>
      </c>
      <c r="AA26">
        <v>34.782623000000001</v>
      </c>
      <c r="AB26">
        <v>36.059916999999999</v>
      </c>
      <c r="AC26">
        <v>37.430762999999999</v>
      </c>
      <c r="AD26" s="4">
        <v>0.71656707524532826</v>
      </c>
    </row>
    <row r="27" spans="1:30" x14ac:dyDescent="0.25">
      <c r="A27" t="s">
        <v>75</v>
      </c>
      <c r="B27" t="s">
        <v>52</v>
      </c>
      <c r="C27">
        <v>25.132674999999999</v>
      </c>
      <c r="D27">
        <v>26.608561000000002</v>
      </c>
      <c r="E27">
        <v>27.034310999999999</v>
      </c>
      <c r="F27">
        <v>26.598921000000001</v>
      </c>
      <c r="G27">
        <v>27.122519</v>
      </c>
      <c r="H27">
        <v>28.094797</v>
      </c>
      <c r="I27">
        <v>29.462730000000001</v>
      </c>
      <c r="J27">
        <v>30.944944</v>
      </c>
      <c r="K27">
        <v>32.046429000000003</v>
      </c>
      <c r="L27">
        <v>33.212558999999999</v>
      </c>
      <c r="M27">
        <v>33.711803000000003</v>
      </c>
      <c r="N27">
        <v>34.791373999999998</v>
      </c>
      <c r="O27">
        <v>35.003529</v>
      </c>
      <c r="P27">
        <v>34.176544</v>
      </c>
      <c r="Q27">
        <v>33.413150999999999</v>
      </c>
      <c r="R27">
        <v>33.486308999999999</v>
      </c>
      <c r="S27">
        <v>33.799301</v>
      </c>
      <c r="T27">
        <v>33.915317999999999</v>
      </c>
      <c r="U27">
        <v>34.047707000000003</v>
      </c>
      <c r="V27">
        <v>34.328262000000002</v>
      </c>
      <c r="W27">
        <v>35.009003</v>
      </c>
      <c r="X27">
        <v>36.155830000000002</v>
      </c>
      <c r="Y27">
        <v>37.957607000000003</v>
      </c>
      <c r="Z27">
        <v>39.707531000000003</v>
      </c>
      <c r="AA27">
        <v>41.163558999999999</v>
      </c>
      <c r="AB27">
        <v>42.65202</v>
      </c>
      <c r="AC27">
        <v>44.29533</v>
      </c>
      <c r="AD27" s="4">
        <v>0.76245982570498372</v>
      </c>
    </row>
    <row r="28" spans="1:30" x14ac:dyDescent="0.25">
      <c r="A28" t="s">
        <v>76</v>
      </c>
      <c r="B28" t="s">
        <v>54</v>
      </c>
      <c r="C28">
        <v>8.8595609999999994</v>
      </c>
      <c r="D28">
        <v>9.0490379999999995</v>
      </c>
      <c r="E28">
        <v>8.3463039999999999</v>
      </c>
      <c r="F28">
        <v>7.1050409999999999</v>
      </c>
      <c r="G28">
        <v>6.9792079999999999</v>
      </c>
      <c r="H28">
        <v>7.3026660000000003</v>
      </c>
      <c r="I28">
        <v>7.9304569999999996</v>
      </c>
      <c r="J28">
        <v>8.5580499999999997</v>
      </c>
      <c r="K28">
        <v>8.9057279999999999</v>
      </c>
      <c r="L28">
        <v>9.3488140000000008</v>
      </c>
      <c r="M28">
        <v>9.2391760000000005</v>
      </c>
      <c r="N28">
        <v>9.6639769999999992</v>
      </c>
      <c r="O28">
        <v>9.3532700000000002</v>
      </c>
      <c r="P28">
        <v>8.2819199999999995</v>
      </c>
      <c r="Q28">
        <v>7.3045309999999999</v>
      </c>
      <c r="R28">
        <v>6.9543220000000003</v>
      </c>
      <c r="S28">
        <v>6.7417540000000002</v>
      </c>
      <c r="T28">
        <v>6.3301629999999998</v>
      </c>
      <c r="U28">
        <v>5.8960039999999996</v>
      </c>
      <c r="V28">
        <v>5.551501</v>
      </c>
      <c r="W28">
        <v>5.45566</v>
      </c>
      <c r="X28">
        <v>5.623024</v>
      </c>
      <c r="Y28">
        <v>6.1474159999999998</v>
      </c>
      <c r="Z28">
        <v>6.5840759999999996</v>
      </c>
      <c r="AA28">
        <v>6.8312359999999996</v>
      </c>
      <c r="AB28">
        <v>7.086055</v>
      </c>
      <c r="AC28">
        <v>7.3795330000000003</v>
      </c>
      <c r="AD28" s="4" cm="1">
        <f t="array" ref="AD28:AD30">(AC28:AC30-C28:C30)/C28:C30</f>
        <v>-0.16705432695818664</v>
      </c>
    </row>
    <row r="29" spans="1:30" x14ac:dyDescent="0.25">
      <c r="A29" t="s">
        <v>76</v>
      </c>
      <c r="B29" t="s">
        <v>55</v>
      </c>
      <c r="C29">
        <v>2.5097900000000002</v>
      </c>
      <c r="D29">
        <v>2.6623160000000001</v>
      </c>
      <c r="E29">
        <v>2.7984300000000002</v>
      </c>
      <c r="F29">
        <v>2.9143300000000001</v>
      </c>
      <c r="G29">
        <v>2.943851</v>
      </c>
      <c r="H29">
        <v>2.982491</v>
      </c>
      <c r="I29">
        <v>3.0213380000000001</v>
      </c>
      <c r="J29">
        <v>3.0656300000000001</v>
      </c>
      <c r="K29">
        <v>3.094274</v>
      </c>
      <c r="L29">
        <v>3.1104579999999999</v>
      </c>
      <c r="M29">
        <v>3.1358000000000001</v>
      </c>
      <c r="N29">
        <v>3.1390980000000002</v>
      </c>
      <c r="O29">
        <v>3.1598220000000001</v>
      </c>
      <c r="P29">
        <v>3.1275149999999998</v>
      </c>
      <c r="Q29">
        <v>3.0892119999999998</v>
      </c>
      <c r="R29">
        <v>3.0563370000000001</v>
      </c>
      <c r="S29">
        <v>3.0247440000000001</v>
      </c>
      <c r="T29">
        <v>3.005531</v>
      </c>
      <c r="U29">
        <v>2.9921669999999998</v>
      </c>
      <c r="V29">
        <v>2.981058</v>
      </c>
      <c r="W29">
        <v>2.9720279999999999</v>
      </c>
      <c r="X29">
        <v>2.9696500000000001</v>
      </c>
      <c r="Y29">
        <v>2.9750009999999998</v>
      </c>
      <c r="Z29">
        <v>2.982383</v>
      </c>
      <c r="AA29">
        <v>2.98827</v>
      </c>
      <c r="AB29">
        <v>2.9916990000000001</v>
      </c>
      <c r="AC29">
        <v>3.0109379999999999</v>
      </c>
      <c r="AD29" s="4">
        <v>0.1996772638348227</v>
      </c>
    </row>
    <row r="30" spans="1:30" x14ac:dyDescent="0.25">
      <c r="A30" t="s">
        <v>76</v>
      </c>
      <c r="B30" t="s">
        <v>56</v>
      </c>
      <c r="C30">
        <v>13.763324000000001</v>
      </c>
      <c r="D30">
        <v>14.300357</v>
      </c>
      <c r="E30">
        <v>14.817970000000001</v>
      </c>
      <c r="F30">
        <v>15.092991</v>
      </c>
      <c r="G30">
        <v>15.242132</v>
      </c>
      <c r="H30">
        <v>15.399374</v>
      </c>
      <c r="I30">
        <v>15.566077</v>
      </c>
      <c r="J30">
        <v>15.749708</v>
      </c>
      <c r="K30">
        <v>15.859305000000001</v>
      </c>
      <c r="L30">
        <v>15.915891</v>
      </c>
      <c r="M30">
        <v>15.93158</v>
      </c>
      <c r="N30">
        <v>15.912884</v>
      </c>
      <c r="O30">
        <v>15.890662000000001</v>
      </c>
      <c r="P30">
        <v>15.835371</v>
      </c>
      <c r="Q30">
        <v>15.754763000000001</v>
      </c>
      <c r="R30">
        <v>15.693167000000001</v>
      </c>
      <c r="S30">
        <v>15.648211</v>
      </c>
      <c r="T30">
        <v>15.616633</v>
      </c>
      <c r="U30">
        <v>15.602042000000001</v>
      </c>
      <c r="V30">
        <v>15.5915</v>
      </c>
      <c r="W30">
        <v>15.592578</v>
      </c>
      <c r="X30">
        <v>15.622857</v>
      </c>
      <c r="Y30">
        <v>15.692183</v>
      </c>
      <c r="Z30">
        <v>15.774372</v>
      </c>
      <c r="AA30">
        <v>15.835172</v>
      </c>
      <c r="AB30">
        <v>15.888641</v>
      </c>
      <c r="AC30">
        <v>15.964810999999999</v>
      </c>
      <c r="AD30" s="4">
        <v>0.15995314794594664</v>
      </c>
    </row>
    <row r="31" spans="1:30" x14ac:dyDescent="0.25">
      <c r="A31" t="s">
        <v>77</v>
      </c>
      <c r="B31" t="s">
        <v>54</v>
      </c>
      <c r="C31">
        <v>8.8595609999999994</v>
      </c>
      <c r="D31">
        <v>9.256672</v>
      </c>
      <c r="E31">
        <v>8.6907960000000006</v>
      </c>
      <c r="F31">
        <v>7.525633</v>
      </c>
      <c r="G31">
        <v>7.5220450000000003</v>
      </c>
      <c r="H31">
        <v>7.9879569999999998</v>
      </c>
      <c r="I31">
        <v>8.8111490000000003</v>
      </c>
      <c r="J31">
        <v>9.6746660000000002</v>
      </c>
      <c r="K31">
        <v>10.244216</v>
      </c>
      <c r="L31">
        <v>10.942599</v>
      </c>
      <c r="M31">
        <v>11.003432999999999</v>
      </c>
      <c r="N31">
        <v>11.708577</v>
      </c>
      <c r="O31">
        <v>11.526555</v>
      </c>
      <c r="P31">
        <v>10.389041000000001</v>
      </c>
      <c r="Q31">
        <v>9.3338940000000008</v>
      </c>
      <c r="R31">
        <v>9.0599190000000007</v>
      </c>
      <c r="S31">
        <v>8.9659329999999997</v>
      </c>
      <c r="T31">
        <v>8.6039860000000008</v>
      </c>
      <c r="U31">
        <v>8.1969639999999995</v>
      </c>
      <c r="V31">
        <v>7.8997229999999998</v>
      </c>
      <c r="W31">
        <v>7.9515039999999999</v>
      </c>
      <c r="X31">
        <v>8.3956490000000006</v>
      </c>
      <c r="Y31">
        <v>9.4033829999999998</v>
      </c>
      <c r="Z31">
        <v>10.316845000000001</v>
      </c>
      <c r="AA31">
        <v>10.960884999999999</v>
      </c>
      <c r="AB31">
        <v>11.63945</v>
      </c>
      <c r="AC31">
        <v>12.402784</v>
      </c>
      <c r="AD31" s="4" cm="1">
        <f t="array" ref="AD31:AD33">(AC31:AC33-C31:C33)/C31:C33</f>
        <v>0.39993211853273558</v>
      </c>
    </row>
    <row r="32" spans="1:30" x14ac:dyDescent="0.25">
      <c r="A32" t="s">
        <v>77</v>
      </c>
      <c r="B32" t="s">
        <v>55</v>
      </c>
      <c r="C32">
        <v>2.5097900000000002</v>
      </c>
      <c r="D32">
        <v>2.7234039999999999</v>
      </c>
      <c r="E32">
        <v>2.9139349999999999</v>
      </c>
      <c r="F32">
        <v>3.0868479999999998</v>
      </c>
      <c r="G32">
        <v>3.172822</v>
      </c>
      <c r="H32">
        <v>3.262372</v>
      </c>
      <c r="I32">
        <v>3.3568630000000002</v>
      </c>
      <c r="J32">
        <v>3.4656189999999998</v>
      </c>
      <c r="K32">
        <v>3.5593279999999998</v>
      </c>
      <c r="L32">
        <v>3.6407280000000002</v>
      </c>
      <c r="M32">
        <v>3.734594</v>
      </c>
      <c r="N32">
        <v>3.8032349999999999</v>
      </c>
      <c r="O32">
        <v>3.8940239999999999</v>
      </c>
      <c r="P32">
        <v>3.9232309999999999</v>
      </c>
      <c r="Q32">
        <v>3.9474649999999998</v>
      </c>
      <c r="R32">
        <v>3.9817200000000001</v>
      </c>
      <c r="S32">
        <v>4.02264</v>
      </c>
      <c r="T32">
        <v>4.0851309999999996</v>
      </c>
      <c r="U32">
        <v>4.1598829999999998</v>
      </c>
      <c r="V32">
        <v>4.2420109999999998</v>
      </c>
      <c r="W32">
        <v>4.3316660000000002</v>
      </c>
      <c r="X32">
        <v>4.4339380000000004</v>
      </c>
      <c r="Y32">
        <v>4.5507039999999996</v>
      </c>
      <c r="Z32">
        <v>4.6732120000000004</v>
      </c>
      <c r="AA32">
        <v>4.7947519999999999</v>
      </c>
      <c r="AB32">
        <v>4.9141209999999997</v>
      </c>
      <c r="AC32">
        <v>5.0604839999999998</v>
      </c>
      <c r="AD32" s="4">
        <v>1.0162977779017366</v>
      </c>
    </row>
    <row r="33" spans="1:30" x14ac:dyDescent="0.25">
      <c r="A33" t="s">
        <v>77</v>
      </c>
      <c r="B33" t="s">
        <v>56</v>
      </c>
      <c r="C33">
        <v>13.763324000000001</v>
      </c>
      <c r="D33">
        <v>14.628485</v>
      </c>
      <c r="E33">
        <v>15.429579</v>
      </c>
      <c r="F33">
        <v>15.986440999999999</v>
      </c>
      <c r="G33">
        <v>16.427654</v>
      </c>
      <c r="H33">
        <v>16.844469</v>
      </c>
      <c r="I33">
        <v>17.294720000000002</v>
      </c>
      <c r="J33">
        <v>17.804659000000001</v>
      </c>
      <c r="K33">
        <v>18.242882000000002</v>
      </c>
      <c r="L33">
        <v>18.62923</v>
      </c>
      <c r="M33">
        <v>18.973777999999999</v>
      </c>
      <c r="N33">
        <v>19.279561999999999</v>
      </c>
      <c r="O33">
        <v>19.582948999999999</v>
      </c>
      <c r="P33">
        <v>19.864273000000001</v>
      </c>
      <c r="Q33">
        <v>20.131789999999999</v>
      </c>
      <c r="R33">
        <v>20.444672000000001</v>
      </c>
      <c r="S33">
        <v>20.810728000000001</v>
      </c>
      <c r="T33">
        <v>21.226199999999999</v>
      </c>
      <c r="U33">
        <v>21.690859</v>
      </c>
      <c r="V33">
        <v>22.186525</v>
      </c>
      <c r="W33">
        <v>22.725836000000001</v>
      </c>
      <c r="X33">
        <v>23.326242000000001</v>
      </c>
      <c r="Y33">
        <v>24.003519000000001</v>
      </c>
      <c r="Z33">
        <v>24.717473999999999</v>
      </c>
      <c r="AA33">
        <v>25.407921000000002</v>
      </c>
      <c r="AB33">
        <v>26.098448000000001</v>
      </c>
      <c r="AC33">
        <v>26.832063999999999</v>
      </c>
      <c r="AD33" s="4">
        <v>0.94953370275959481</v>
      </c>
    </row>
    <row r="34" spans="1:30" x14ac:dyDescent="0.25">
      <c r="A34" t="s">
        <v>57</v>
      </c>
      <c r="B34" t="s">
        <v>58</v>
      </c>
      <c r="C34">
        <v>5.8221930000000004</v>
      </c>
      <c r="D34">
        <v>3.7495219999999998</v>
      </c>
      <c r="E34">
        <v>4.3444310000000002</v>
      </c>
      <c r="F34">
        <v>3.6401859999999999</v>
      </c>
      <c r="G34">
        <v>2.6087180000000001</v>
      </c>
      <c r="H34">
        <v>2.415797</v>
      </c>
      <c r="I34">
        <v>2.969487</v>
      </c>
      <c r="J34">
        <v>2.261206</v>
      </c>
      <c r="K34">
        <v>2.297113</v>
      </c>
      <c r="L34">
        <v>2.129022</v>
      </c>
      <c r="M34">
        <v>2.1298439999999998</v>
      </c>
      <c r="N34">
        <v>2.1287479999999999</v>
      </c>
      <c r="O34">
        <v>2.1542870000000001</v>
      </c>
      <c r="P34">
        <v>2.1328239999999998</v>
      </c>
      <c r="Q34">
        <v>2.1260810000000001</v>
      </c>
      <c r="R34">
        <v>2.1808890000000001</v>
      </c>
      <c r="S34">
        <v>2.151322</v>
      </c>
      <c r="T34">
        <v>2.1366580000000002</v>
      </c>
      <c r="U34">
        <v>2.137645</v>
      </c>
      <c r="V34">
        <v>2.0942949999999998</v>
      </c>
      <c r="W34">
        <v>2.0762870000000002</v>
      </c>
      <c r="X34">
        <v>2.0977250000000001</v>
      </c>
      <c r="Y34">
        <v>2.1731729999999998</v>
      </c>
      <c r="Z34">
        <v>2.1962820000000001</v>
      </c>
      <c r="AA34">
        <v>2.2491430000000001</v>
      </c>
      <c r="AB34">
        <v>2.243214</v>
      </c>
      <c r="AC34">
        <v>2.2166579999999998</v>
      </c>
      <c r="AD34" s="4" cm="1">
        <f t="array" ref="AD34:AD38">(AC34:AC38-C34:C38)/C34:C38</f>
        <v>-0.61927438681610181</v>
      </c>
    </row>
    <row r="35" spans="1:30" x14ac:dyDescent="0.25">
      <c r="A35" t="s">
        <v>57</v>
      </c>
      <c r="B35" t="s">
        <v>60</v>
      </c>
      <c r="C35">
        <v>21.348043000000001</v>
      </c>
      <c r="D35">
        <v>13.748238000000001</v>
      </c>
      <c r="E35">
        <v>15.929582</v>
      </c>
      <c r="F35">
        <v>13.347346999999999</v>
      </c>
      <c r="G35">
        <v>9.5652969999999993</v>
      </c>
      <c r="H35">
        <v>8.8579209999999993</v>
      </c>
      <c r="I35">
        <v>10.888121999999999</v>
      </c>
      <c r="J35">
        <v>8.2910939999999993</v>
      </c>
      <c r="K35">
        <v>8.4227530000000002</v>
      </c>
      <c r="L35">
        <v>7.806413</v>
      </c>
      <c r="M35">
        <v>7.8094289999999997</v>
      </c>
      <c r="N35">
        <v>7.8054100000000002</v>
      </c>
      <c r="O35">
        <v>7.8990559999999999</v>
      </c>
      <c r="P35">
        <v>7.8203560000000003</v>
      </c>
      <c r="Q35">
        <v>7.7956300000000001</v>
      </c>
      <c r="R35">
        <v>7.9965950000000001</v>
      </c>
      <c r="S35">
        <v>7.8881810000000003</v>
      </c>
      <c r="T35">
        <v>7.8344139999999998</v>
      </c>
      <c r="U35">
        <v>7.838031</v>
      </c>
      <c r="V35">
        <v>7.6790789999999998</v>
      </c>
      <c r="W35">
        <v>7.6130490000000002</v>
      </c>
      <c r="X35">
        <v>7.6916570000000002</v>
      </c>
      <c r="Y35">
        <v>7.9683000000000002</v>
      </c>
      <c r="Z35">
        <v>8.0530340000000002</v>
      </c>
      <c r="AA35">
        <v>8.2468559999999993</v>
      </c>
      <c r="AB35">
        <v>8.2251159999999999</v>
      </c>
      <c r="AC35">
        <v>8.1277460000000001</v>
      </c>
      <c r="AD35" s="4">
        <v>-0.61927442248453402</v>
      </c>
    </row>
    <row r="36" spans="1:30" x14ac:dyDescent="0.25">
      <c r="A36" t="s">
        <v>57</v>
      </c>
      <c r="B36" t="s">
        <v>61</v>
      </c>
      <c r="C36">
        <v>1.1869999999999999E-3</v>
      </c>
      <c r="D36">
        <v>8.4199999999999998E-4</v>
      </c>
      <c r="E36">
        <v>1.0300000000000001E-3</v>
      </c>
      <c r="F36">
        <v>8.1099999999999998E-4</v>
      </c>
      <c r="G36">
        <v>1.4799999999999999E-4</v>
      </c>
      <c r="H36">
        <v>8.5000000000000006E-5</v>
      </c>
      <c r="I36">
        <v>3.1000000000000001E-5</v>
      </c>
      <c r="J36">
        <v>3.1999999999999999E-5</v>
      </c>
      <c r="K36">
        <v>1.2E-5</v>
      </c>
      <c r="L36">
        <v>7.9999999999999996E-6</v>
      </c>
      <c r="M36">
        <v>7.9999999999999996E-6</v>
      </c>
      <c r="N36">
        <v>7.9999999999999996E-6</v>
      </c>
      <c r="O36">
        <v>7.9999999999999996E-6</v>
      </c>
      <c r="P36">
        <v>9.0000000000000002E-6</v>
      </c>
      <c r="Q36">
        <v>1.0000000000000001E-5</v>
      </c>
      <c r="R36">
        <v>1.05E-4</v>
      </c>
      <c r="S36">
        <v>8.6000000000000003E-5</v>
      </c>
      <c r="T36">
        <v>7.6000000000000004E-5</v>
      </c>
      <c r="U36">
        <v>8.7999999999999998E-5</v>
      </c>
      <c r="V36">
        <v>7.1000000000000005E-5</v>
      </c>
      <c r="W36">
        <v>7.4999999999999993E-5</v>
      </c>
      <c r="X36">
        <v>8.5000000000000006E-5</v>
      </c>
      <c r="Y36">
        <v>8.7000000000000001E-5</v>
      </c>
      <c r="Z36">
        <v>6.6000000000000005E-5</v>
      </c>
      <c r="AA36">
        <v>5.3999999999999998E-5</v>
      </c>
      <c r="AB36">
        <v>4.3000000000000002E-5</v>
      </c>
      <c r="AC36">
        <v>4.5000000000000003E-5</v>
      </c>
      <c r="AD36" s="4">
        <v>-0.96208930075821408</v>
      </c>
    </row>
    <row r="37" spans="1:30" x14ac:dyDescent="0.25">
      <c r="A37" t="s">
        <v>57</v>
      </c>
      <c r="B37" t="s">
        <v>62</v>
      </c>
      <c r="C37">
        <v>5.8560000000000001E-3</v>
      </c>
      <c r="D37">
        <v>4.2050000000000004E-3</v>
      </c>
      <c r="E37">
        <v>4.2059999999999997E-3</v>
      </c>
      <c r="F37">
        <v>4.1279999999999997E-3</v>
      </c>
      <c r="G37">
        <v>2.4889999999999999E-3</v>
      </c>
      <c r="H37">
        <v>2.4260000000000002E-3</v>
      </c>
      <c r="I37">
        <v>3.0219999999999999E-3</v>
      </c>
      <c r="J37">
        <v>2.4719999999999998E-3</v>
      </c>
      <c r="K37">
        <v>2.114E-3</v>
      </c>
      <c r="L37">
        <v>1.9959999999999999E-3</v>
      </c>
      <c r="M37">
        <v>2.1120000000000002E-3</v>
      </c>
      <c r="N37">
        <v>2.1099999999999999E-3</v>
      </c>
      <c r="O37">
        <v>2.1580000000000002E-3</v>
      </c>
      <c r="P37">
        <v>2.2499999999999998E-3</v>
      </c>
      <c r="Q37">
        <v>2.2260000000000001E-3</v>
      </c>
      <c r="R37">
        <v>2.8869999999999998E-3</v>
      </c>
      <c r="S37">
        <v>2.712E-3</v>
      </c>
      <c r="T37">
        <v>2.6440000000000001E-3</v>
      </c>
      <c r="U37">
        <v>2.8500000000000001E-3</v>
      </c>
      <c r="V37">
        <v>2.9160000000000002E-3</v>
      </c>
      <c r="W37">
        <v>2.0439999999999998E-3</v>
      </c>
      <c r="X37">
        <v>2.1289999999999998E-3</v>
      </c>
      <c r="Y37">
        <v>2.261E-3</v>
      </c>
      <c r="Z37">
        <v>2.238E-3</v>
      </c>
      <c r="AA37">
        <v>2.209E-3</v>
      </c>
      <c r="AB37">
        <v>2.215E-3</v>
      </c>
      <c r="AC37">
        <v>2.2469999999999999E-3</v>
      </c>
      <c r="AD37" s="4">
        <v>-0.61629098360655743</v>
      </c>
    </row>
    <row r="38" spans="1:30" x14ac:dyDescent="0.25">
      <c r="A38" t="s">
        <v>57</v>
      </c>
      <c r="B38" t="s">
        <v>63</v>
      </c>
      <c r="C38">
        <v>3.3799999999999998E-4</v>
      </c>
      <c r="D38">
        <v>3.1500000000000001E-4</v>
      </c>
      <c r="E38">
        <v>3.2600000000000001E-4</v>
      </c>
      <c r="F38">
        <v>3.1199999999999999E-4</v>
      </c>
      <c r="G38">
        <v>2.14E-4</v>
      </c>
      <c r="H38">
        <v>2.1000000000000001E-4</v>
      </c>
      <c r="I38">
        <v>2.0799999999999999E-4</v>
      </c>
      <c r="J38">
        <v>8.2999999999999998E-5</v>
      </c>
      <c r="K38">
        <v>8.2999999999999998E-5</v>
      </c>
      <c r="L38">
        <v>7.7000000000000001E-5</v>
      </c>
      <c r="M38">
        <v>7.7999999999999999E-5</v>
      </c>
      <c r="N38">
        <v>8.2000000000000001E-5</v>
      </c>
      <c r="O38">
        <v>8.1000000000000004E-5</v>
      </c>
      <c r="P38">
        <v>7.7999999999999999E-5</v>
      </c>
      <c r="Q38">
        <v>7.7999999999999999E-5</v>
      </c>
      <c r="R38">
        <v>8.0000000000000007E-5</v>
      </c>
      <c r="S38">
        <v>7.7000000000000001E-5</v>
      </c>
      <c r="T38">
        <v>7.7000000000000001E-5</v>
      </c>
      <c r="U38">
        <v>7.8999999999999996E-5</v>
      </c>
      <c r="V38">
        <v>7.7000000000000001E-5</v>
      </c>
      <c r="W38">
        <v>2.9E-5</v>
      </c>
      <c r="X38">
        <v>3.0000000000000001E-5</v>
      </c>
      <c r="Y38">
        <v>3.0000000000000001E-5</v>
      </c>
      <c r="Z38">
        <v>2.8E-5</v>
      </c>
      <c r="AA38">
        <v>2.6999999999999999E-5</v>
      </c>
      <c r="AB38">
        <v>2.5999999999999998E-5</v>
      </c>
      <c r="AC38">
        <v>2.5999999999999998E-5</v>
      </c>
      <c r="AD38" s="4">
        <v>-0.92307692307692313</v>
      </c>
    </row>
    <row r="39" spans="1:30" x14ac:dyDescent="0.25">
      <c r="A39" t="s">
        <v>70</v>
      </c>
      <c r="B39" t="s">
        <v>66</v>
      </c>
      <c r="C39" cm="1">
        <f t="array" ref="C39:C42">907185*C34:C37*10^6/(C17*10^9)</f>
        <v>123.68121775125712</v>
      </c>
      <c r="D39" cm="1">
        <f t="array" ref="D39:D42">907185*D34:D37*10^6/(D17*10^9)</f>
        <v>114.43574700264351</v>
      </c>
      <c r="E39" cm="1">
        <f t="array" ref="E39:E42">907185*E34:E37*10^6/(E17*10^9)</f>
        <v>96.432289937119151</v>
      </c>
      <c r="F39" cm="1">
        <f t="array" ref="F39:F42">907185*F34:F37*10^6/(F17*10^9)</f>
        <v>83.947730435966776</v>
      </c>
      <c r="G39" cm="1">
        <f t="array" ref="G39:G42">907185*G34:G37*10^6/(G17*10^9)</f>
        <v>69.786091377945368</v>
      </c>
      <c r="H39" cm="1">
        <f t="array" ref="H39:H42">907185*H34:H37*10^6/(H17*10^9)</f>
        <v>62.027752939708044</v>
      </c>
      <c r="I39" cm="1">
        <f t="array" ref="I39:I42">907185*I34:I37*10^6/(I17*10^9)</f>
        <v>62.443037514466418</v>
      </c>
      <c r="J39" cm="1">
        <f t="array" ref="J39:J42">907185*J34:J37*10^6/(J17*10^9)</f>
        <v>49.759833431490605</v>
      </c>
      <c r="K39" cm="1">
        <f t="array" ref="K39:K42">907185*K34:K37*10^6/(K17*10^9)</f>
        <v>46.826564772483799</v>
      </c>
      <c r="L39" cm="1">
        <f t="array" ref="L39:L42">907185*L34:L37*10^6/(L17*10^9)</f>
        <v>41.926042771962386</v>
      </c>
      <c r="M39" cm="1">
        <f t="array" ref="M39:M42">907185*M34:M37*10^6/(M17*10^9)</f>
        <v>39.211231545534105</v>
      </c>
      <c r="N39" cm="1">
        <f t="array" ref="N39:N42">907185*N34:N37*10^6/(N17*10^9)</f>
        <v>34.444164379700283</v>
      </c>
      <c r="O39" cm="1">
        <f t="array" ref="O39:O42">907185*O34:O37*10^6/(O17*10^9)</f>
        <v>33.979120666478941</v>
      </c>
      <c r="P39" cm="1">
        <f t="array" ref="P39:P42">907185*P34:P37*10^6/(P17*10^9)</f>
        <v>33.833265223912782</v>
      </c>
      <c r="Q39" cm="1">
        <f t="array" ref="Q39:Q42">907185*Q34:Q37*10^6/(Q17*10^9)</f>
        <v>33.843695564103385</v>
      </c>
      <c r="R39" cm="1">
        <f t="array" ref="R39:R42">907185*R34:R37*10^6/(R17*10^9)</f>
        <v>34.614946664174795</v>
      </c>
      <c r="S39" cm="1">
        <f t="array" ref="S39:S42">907185*S34:S37*10^6/(S17*10^9)</f>
        <v>34.367044224931419</v>
      </c>
      <c r="T39" cm="1">
        <f t="array" ref="T39:T42">907185*T34:T37*10^6/(T17*10^9)</f>
        <v>34.327980690378915</v>
      </c>
      <c r="U39" cm="1">
        <f t="array" ref="U39:U42">907185*U34:U37*10^6/(U17*10^9)</f>
        <v>34.424076341592574</v>
      </c>
      <c r="V39" cm="1">
        <f t="array" ref="V39:V42">907185*V34:V37*10^6/(V17*10^9)</f>
        <v>34.324831175524459</v>
      </c>
      <c r="W39" cm="1">
        <f t="array" ref="W39:W42">907185*W34:W37*10^6/(W17*10^9)</f>
        <v>33.594250076562716</v>
      </c>
      <c r="X39" cm="1">
        <f t="array" ref="X39:X42">907185*X34:X37*10^6/(X17*10^9)</f>
        <v>33.85715745580368</v>
      </c>
      <c r="Y39" cm="1">
        <f t="array" ref="Y39:Y42">907185*Y34:Y37*10^6/(Y17*10^9)</f>
        <v>34.733329201416531</v>
      </c>
      <c r="Z39" cm="1">
        <f t="array" ref="Z39:Z42">907185*Z34:Z37*10^6/(Z17*10^9)</f>
        <v>34.974959578580361</v>
      </c>
      <c r="AA39" cm="1">
        <f t="array" ref="AA39:AA42">907185*AA34:AA37*10^6/(AA17*10^9)</f>
        <v>35.540743564288299</v>
      </c>
      <c r="AB39" cm="1">
        <f t="array" ref="AB39:AB42">907185*AB34:AB37*10^6/(AB17*10^9)</f>
        <v>35.283018032844353</v>
      </c>
      <c r="AC39" cm="1">
        <f t="array" ref="AC39:AC42">907185*AC34:AC37*10^6/(AC17*10^9)</f>
        <v>34.616239284843367</v>
      </c>
      <c r="AD39" s="4" cm="1">
        <f t="array" ref="AD39:AD43">(AC39:AC43-C39:C43)/C39:C43</f>
        <v>-0.72011725050716902</v>
      </c>
    </row>
    <row r="40" spans="1:30" x14ac:dyDescent="0.25">
      <c r="A40" t="s">
        <v>70</v>
      </c>
      <c r="B40" t="s">
        <v>67</v>
      </c>
      <c r="C40">
        <v>453.49784090740388</v>
      </c>
      <c r="D40">
        <v>419.59745415552425</v>
      </c>
      <c r="E40">
        <v>353.58510009736932</v>
      </c>
      <c r="F40">
        <v>307.80830649623664</v>
      </c>
      <c r="G40">
        <v>255.88227263321926</v>
      </c>
      <c r="H40">
        <v>227.4350598777346</v>
      </c>
      <c r="I40">
        <v>228.95786730438189</v>
      </c>
      <c r="J40">
        <v>182.45283994683859</v>
      </c>
      <c r="K40">
        <v>171.69751288557953</v>
      </c>
      <c r="L40">
        <v>153.7288038045653</v>
      </c>
      <c r="M40">
        <v>143.77453407733563</v>
      </c>
      <c r="N40">
        <v>126.29528017922105</v>
      </c>
      <c r="O40">
        <v>124.59016694399328</v>
      </c>
      <c r="P40">
        <v>124.05532697185409</v>
      </c>
      <c r="Q40">
        <v>124.09354509559668</v>
      </c>
      <c r="R40">
        <v>126.92150284586096</v>
      </c>
      <c r="S40">
        <v>126.01250081636493</v>
      </c>
      <c r="T40">
        <v>125.86928395299303</v>
      </c>
      <c r="U40">
        <v>126.22160251668035</v>
      </c>
      <c r="V40">
        <v>125.857670604435</v>
      </c>
      <c r="W40">
        <v>123.17886301418142</v>
      </c>
      <c r="X40">
        <v>124.14288915135901</v>
      </c>
      <c r="Y40">
        <v>127.35552442242165</v>
      </c>
      <c r="Z40">
        <v>128.24151845479466</v>
      </c>
      <c r="AA40">
        <v>130.31603339921577</v>
      </c>
      <c r="AB40">
        <v>129.37103466287061</v>
      </c>
      <c r="AC40">
        <v>126.92621071109237</v>
      </c>
      <c r="AD40" s="4">
        <v>-0.72011727672809711</v>
      </c>
    </row>
    <row r="41" spans="1:30" x14ac:dyDescent="0.25">
      <c r="A41" t="s">
        <v>70</v>
      </c>
      <c r="B41" t="s">
        <v>68</v>
      </c>
      <c r="C41">
        <v>2.5215516811404604E-2</v>
      </c>
      <c r="D41">
        <v>2.5697915354604084E-2</v>
      </c>
      <c r="E41">
        <v>2.2862662253177169E-2</v>
      </c>
      <c r="F41">
        <v>1.8702783149973395E-2</v>
      </c>
      <c r="G41">
        <v>3.9591636673400156E-3</v>
      </c>
      <c r="H41">
        <v>2.182451174446853E-3</v>
      </c>
      <c r="I41">
        <v>6.5187494100781018E-4</v>
      </c>
      <c r="J41">
        <v>7.041882384036214E-4</v>
      </c>
      <c r="K41">
        <v>2.44619562585648E-4</v>
      </c>
      <c r="L41">
        <v>1.575410409923895E-4</v>
      </c>
      <c r="M41">
        <v>1.472830180822036E-4</v>
      </c>
      <c r="N41">
        <v>1.2944383977699675E-4</v>
      </c>
      <c r="O41">
        <v>1.2618233565529175E-4</v>
      </c>
      <c r="P41">
        <v>1.4276817356482065E-4</v>
      </c>
      <c r="Q41">
        <v>1.5918347214477431E-4</v>
      </c>
      <c r="R41">
        <v>1.6665540519202736E-3</v>
      </c>
      <c r="S41">
        <v>1.3738370189790754E-3</v>
      </c>
      <c r="T41">
        <v>1.2210314109552382E-3</v>
      </c>
      <c r="U41">
        <v>1.4171289985288231E-3</v>
      </c>
      <c r="V41">
        <v>1.1636674935776657E-3</v>
      </c>
      <c r="W41">
        <v>1.2134973420062846E-3</v>
      </c>
      <c r="X41">
        <v>1.371894973718344E-3</v>
      </c>
      <c r="Y41">
        <v>1.3905011890554678E-3</v>
      </c>
      <c r="Z41">
        <v>1.0510250196406037E-3</v>
      </c>
      <c r="AA41">
        <v>8.533028591208153E-4</v>
      </c>
      <c r="AB41">
        <v>6.7633751189690654E-4</v>
      </c>
      <c r="AC41">
        <v>7.0273843227866095E-4</v>
      </c>
      <c r="AD41" s="4">
        <v>-0.97213071468910672</v>
      </c>
    </row>
    <row r="42" spans="1:30" x14ac:dyDescent="0.25">
      <c r="A42" t="s">
        <v>70</v>
      </c>
      <c r="B42" t="s">
        <v>69</v>
      </c>
      <c r="C42">
        <v>0.12439938201144513</v>
      </c>
      <c r="D42">
        <v>0.12833697632554655</v>
      </c>
      <c r="E42">
        <v>9.3359570327051611E-2</v>
      </c>
      <c r="F42">
        <v>9.5197396847213525E-2</v>
      </c>
      <c r="G42">
        <v>6.6583502486549331E-2</v>
      </c>
      <c r="H42">
        <v>6.2289724108330197E-2</v>
      </c>
      <c r="I42">
        <v>6.3547292636309746E-2</v>
      </c>
      <c r="J42">
        <v>5.4398541416679762E-2</v>
      </c>
      <c r="K42">
        <v>4.3093812942171655E-2</v>
      </c>
      <c r="L42">
        <v>3.9306489727601181E-2</v>
      </c>
      <c r="M42">
        <v>3.888271677370176E-2</v>
      </c>
      <c r="N42">
        <v>3.4140812741182892E-2</v>
      </c>
      <c r="O42">
        <v>3.4037685043014958E-2</v>
      </c>
      <c r="P42">
        <v>3.5692043391205158E-2</v>
      </c>
      <c r="Q42">
        <v>3.5434240899426754E-2</v>
      </c>
      <c r="R42">
        <v>4.5822300456131712E-2</v>
      </c>
      <c r="S42">
        <v>4.3323790645014564E-2</v>
      </c>
      <c r="T42">
        <v>4.2479040139021707E-2</v>
      </c>
      <c r="U42">
        <v>4.5895655065990297E-2</v>
      </c>
      <c r="V42">
        <v>4.7792315651724974E-2</v>
      </c>
      <c r="W42">
        <v>3.3071847560811288E-2</v>
      </c>
      <c r="X42">
        <v>3.4361934106427697E-2</v>
      </c>
      <c r="Y42">
        <v>3.6137048143154167E-2</v>
      </c>
      <c r="Z42">
        <v>3.5639302938722285E-2</v>
      </c>
      <c r="AA42">
        <v>3.4906407699960763E-2</v>
      </c>
      <c r="AB42">
        <v>3.4839246252363905E-2</v>
      </c>
      <c r="AC42">
        <v>3.5090072385114468E-2</v>
      </c>
      <c r="AD42" s="4">
        <v>-0.71792406185839353</v>
      </c>
    </row>
    <row r="43" spans="1:30" x14ac:dyDescent="0.25">
      <c r="A43" t="s">
        <v>70</v>
      </c>
      <c r="B43" t="s">
        <v>65</v>
      </c>
      <c r="C43">
        <f>907185*C38/(C17*10^9)</f>
        <v>7.1801555874092295E-9</v>
      </c>
      <c r="D43">
        <f>907185*D38/(D17*10^9)</f>
        <v>9.6138281908554496E-9</v>
      </c>
      <c r="E43">
        <f>907185*E38/(E17*10^9)</f>
        <v>7.2361435869279189E-9</v>
      </c>
      <c r="F43">
        <f>907185*F38/(F17*10^9)</f>
        <v>7.1951520872893952E-9</v>
      </c>
      <c r="G43">
        <f>907185*G38/(G17*10^9)</f>
        <v>5.7247366541267797E-9</v>
      </c>
      <c r="H43">
        <f>907185*H38/(H17*10^9)</f>
        <v>5.3919381956922251E-9</v>
      </c>
      <c r="I43">
        <f>907185*I38/(I17*10^9)</f>
        <v>4.3738705719233709E-9</v>
      </c>
      <c r="J43">
        <f>907185*J38/(J17*10^9)</f>
        <v>1.826488243359393E-9</v>
      </c>
      <c r="K43">
        <f>907185*K38/(K17*10^9)</f>
        <v>1.6919519745507317E-9</v>
      </c>
      <c r="L43">
        <f>907185*L38/(L17*10^9)</f>
        <v>1.5163325195517491E-9</v>
      </c>
      <c r="M43">
        <f>907185*M38/(M17*10^9)</f>
        <v>1.4360094263014853E-9</v>
      </c>
      <c r="N43">
        <f>907185*N38/(N17*10^9)</f>
        <v>1.3267993577142169E-9</v>
      </c>
      <c r="O43">
        <f>907185*O38/(O17*10^9)</f>
        <v>1.2775961485098292E-9</v>
      </c>
      <c r="P43">
        <f>907185*P38/(P17*10^9)</f>
        <v>1.2373241708951124E-9</v>
      </c>
      <c r="Q43">
        <f>907185*Q38/(Q17*10^9)</f>
        <v>1.2416310827292395E-9</v>
      </c>
      <c r="R43">
        <f>907185*R38/(R17*10^9)</f>
        <v>1.2697554681297325E-9</v>
      </c>
      <c r="S43">
        <f>907185*S38/(S17*10^9)</f>
        <v>1.2300633774580094E-9</v>
      </c>
      <c r="T43">
        <f>907185*T38/(T17*10^9)</f>
        <v>1.237097613730965E-9</v>
      </c>
      <c r="U43">
        <f>907185*U38/(U17*10^9)</f>
        <v>1.2721953509520117E-9</v>
      </c>
      <c r="V43">
        <f>907185*V38/(V17*10^9)</f>
        <v>1.2620055916264824E-9</v>
      </c>
      <c r="W43">
        <f>907185*W38/(W17*10^9)</f>
        <v>4.692189722424301E-10</v>
      </c>
      <c r="X43">
        <f>907185*X38/(X17*10^9)</f>
        <v>4.8419822601823906E-10</v>
      </c>
      <c r="Y43">
        <f>907185*Y38/(Y17*10^9)</f>
        <v>4.794831686398165E-10</v>
      </c>
      <c r="Z43">
        <f>907185*Z38/(Z17*10^9)</f>
        <v>4.4588940227177117E-10</v>
      </c>
      <c r="AA43">
        <f>907185*AA38/(AA17*10^9)</f>
        <v>4.2665142956040767E-10</v>
      </c>
      <c r="AB43">
        <f>907185*AB38/(AB17*10^9)</f>
        <v>4.0894826300743186E-10</v>
      </c>
      <c r="AC43">
        <f>907185*AC38/(AC17*10^9)</f>
        <v>4.0602664976100406E-10</v>
      </c>
      <c r="AD43" s="4">
        <v>-0.94345155271105929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43"/>
  <sheetViews>
    <sheetView tabSelected="1" zoomScale="70" zoomScaleNormal="70" workbookViewId="0">
      <selection activeCell="B16" sqref="B16:B17"/>
    </sheetView>
  </sheetViews>
  <sheetFormatPr defaultRowHeight="15" x14ac:dyDescent="0.25"/>
  <cols>
    <col min="2" max="2" width="44.7109375" bestFit="1" customWidth="1"/>
    <col min="3" max="3" width="16.140625" bestFit="1" customWidth="1"/>
    <col min="4" max="30" width="12.7109375" bestFit="1" customWidth="1"/>
    <col min="31" max="31" width="19.42578125" bestFit="1" customWidth="1"/>
  </cols>
  <sheetData>
    <row r="1" spans="1:31" s="3" customFormat="1" ht="15.75" thickBot="1" x14ac:dyDescent="0.3">
      <c r="A1" s="3" t="s">
        <v>72</v>
      </c>
      <c r="B1" s="1" t="s">
        <v>73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</row>
    <row r="2" spans="1:31" ht="15.75" thickTop="1" x14ac:dyDescent="0.25">
      <c r="A2" t="s">
        <v>29</v>
      </c>
      <c r="B2" t="s">
        <v>30</v>
      </c>
      <c r="C2" t="s">
        <v>31</v>
      </c>
      <c r="D2">
        <v>1.767803</v>
      </c>
      <c r="E2">
        <v>2.0990639999999998</v>
      </c>
      <c r="F2">
        <v>5.5229059999999999</v>
      </c>
      <c r="G2">
        <v>6.8468030000000004</v>
      </c>
      <c r="H2">
        <v>1.2088099999999999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4" cm="1">
        <f t="array" ref="AE2:AE17">(AD2:AD17-D2:D17)/D2:D17</f>
        <v>-1</v>
      </c>
    </row>
    <row r="3" spans="1:31" x14ac:dyDescent="0.25">
      <c r="A3" t="s">
        <v>29</v>
      </c>
      <c r="B3" t="s">
        <v>32</v>
      </c>
      <c r="C3" t="s">
        <v>31</v>
      </c>
      <c r="D3">
        <v>1.0876E-2</v>
      </c>
      <c r="E3">
        <v>1.2207000000000001E-2</v>
      </c>
      <c r="F3">
        <v>2.4739000000000001E-2</v>
      </c>
      <c r="G3">
        <v>3.0055999999999999E-2</v>
      </c>
      <c r="H3">
        <v>7.4130000000000003E-3</v>
      </c>
      <c r="I3">
        <v>2.5590000000000001E-3</v>
      </c>
      <c r="J3">
        <v>2.5590000000000001E-3</v>
      </c>
      <c r="K3">
        <v>1.245E-3</v>
      </c>
      <c r="L3">
        <v>1.245E-3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 s="4">
        <v>-1</v>
      </c>
    </row>
    <row r="4" spans="1:31" x14ac:dyDescent="0.25">
      <c r="A4" t="s">
        <v>29</v>
      </c>
      <c r="B4" t="s">
        <v>33</v>
      </c>
      <c r="C4" t="s">
        <v>31</v>
      </c>
      <c r="D4">
        <v>31.513721</v>
      </c>
      <c r="E4">
        <v>21.232433</v>
      </c>
      <c r="F4">
        <v>19.446121000000002</v>
      </c>
      <c r="G4">
        <v>20.410736</v>
      </c>
      <c r="H4">
        <v>17.861227</v>
      </c>
      <c r="I4">
        <v>15.479571999999999</v>
      </c>
      <c r="J4">
        <v>16.016584000000002</v>
      </c>
      <c r="K4">
        <v>13.872722</v>
      </c>
      <c r="L4">
        <v>14.801411999999999</v>
      </c>
      <c r="M4">
        <v>14.45776</v>
      </c>
      <c r="N4">
        <v>12.145068999999999</v>
      </c>
      <c r="O4">
        <v>11.185002000000001</v>
      </c>
      <c r="P4">
        <v>9.5870250000000006</v>
      </c>
      <c r="Q4">
        <v>9.002815</v>
      </c>
      <c r="R4">
        <v>8.2926590000000004</v>
      </c>
      <c r="S4">
        <v>8.0279389999999999</v>
      </c>
      <c r="T4">
        <v>7.7390569999999999</v>
      </c>
      <c r="U4">
        <v>7.3065379999999998</v>
      </c>
      <c r="V4">
        <v>6.2152089999999998</v>
      </c>
      <c r="W4">
        <v>5.9032749999999998</v>
      </c>
      <c r="X4">
        <v>6.4601660000000001</v>
      </c>
      <c r="Y4">
        <v>5.8195880000000004</v>
      </c>
      <c r="Z4">
        <v>6.4411649999999998</v>
      </c>
      <c r="AA4">
        <v>6.570875</v>
      </c>
      <c r="AB4">
        <v>7.5932959999999996</v>
      </c>
      <c r="AC4">
        <v>9.9069400000000005</v>
      </c>
      <c r="AD4">
        <v>10.194226</v>
      </c>
      <c r="AE4" s="4">
        <v>-0.67651468387373237</v>
      </c>
    </row>
    <row r="5" spans="1:31" x14ac:dyDescent="0.25">
      <c r="A5" t="s">
        <v>29</v>
      </c>
      <c r="B5" t="s">
        <v>34</v>
      </c>
      <c r="C5" t="s">
        <v>31</v>
      </c>
      <c r="D5">
        <v>89.070824000000002</v>
      </c>
      <c r="E5">
        <v>90.452567999999999</v>
      </c>
      <c r="F5">
        <v>90.246178</v>
      </c>
      <c r="G5">
        <v>90.040306000000001</v>
      </c>
      <c r="H5">
        <v>90.040801999999999</v>
      </c>
      <c r="I5">
        <v>90.041786000000002</v>
      </c>
      <c r="J5">
        <v>90.040824999999998</v>
      </c>
      <c r="K5">
        <v>90.039803000000006</v>
      </c>
      <c r="L5">
        <v>90.039803000000006</v>
      </c>
      <c r="M5">
        <v>90.039803000000006</v>
      </c>
      <c r="N5">
        <v>90.039803000000006</v>
      </c>
      <c r="O5">
        <v>90.039803000000006</v>
      </c>
      <c r="P5">
        <v>90.039803000000006</v>
      </c>
      <c r="Q5">
        <v>90.039803000000006</v>
      </c>
      <c r="R5">
        <v>86.718147000000002</v>
      </c>
      <c r="S5">
        <v>82.562408000000005</v>
      </c>
      <c r="T5">
        <v>83.544837999999999</v>
      </c>
      <c r="U5">
        <v>80.650268999999994</v>
      </c>
      <c r="V5">
        <v>72.204689000000002</v>
      </c>
      <c r="W5">
        <v>71.102065999999994</v>
      </c>
      <c r="X5">
        <v>74.655242999999999</v>
      </c>
      <c r="Y5">
        <v>71.393021000000005</v>
      </c>
      <c r="Z5">
        <v>74.270279000000002</v>
      </c>
      <c r="AA5">
        <v>75.653778000000003</v>
      </c>
      <c r="AB5">
        <v>78.292679000000007</v>
      </c>
      <c r="AC5">
        <v>80.430046000000004</v>
      </c>
      <c r="AD5">
        <v>83.734001000000006</v>
      </c>
      <c r="AE5" s="4">
        <v>-5.9916623203126483E-2</v>
      </c>
    </row>
    <row r="6" spans="1:31" x14ac:dyDescent="0.25">
      <c r="A6" t="s">
        <v>29</v>
      </c>
      <c r="B6" t="s">
        <v>35</v>
      </c>
      <c r="C6" t="s">
        <v>31</v>
      </c>
      <c r="D6">
        <v>-2.0691000000000001E-2</v>
      </c>
      <c r="E6">
        <v>-1.0442E-2</v>
      </c>
      <c r="F6">
        <v>-1.3242E-2</v>
      </c>
      <c r="G6">
        <v>-1.1244000000000001E-2</v>
      </c>
      <c r="H6">
        <v>-1.3535E-2</v>
      </c>
      <c r="I6">
        <v>-2.0143999999999999E-2</v>
      </c>
      <c r="J6">
        <v>-2.4222E-2</v>
      </c>
      <c r="K6">
        <v>-2.4853E-2</v>
      </c>
      <c r="L6">
        <v>-2.4833000000000001E-2</v>
      </c>
      <c r="M6">
        <v>-2.4892999999999998E-2</v>
      </c>
      <c r="N6">
        <v>-2.5111000000000001E-2</v>
      </c>
      <c r="O6">
        <v>-2.5083999999999999E-2</v>
      </c>
      <c r="P6">
        <v>-2.4513E-2</v>
      </c>
      <c r="Q6">
        <v>-2.6155999999999999E-2</v>
      </c>
      <c r="R6">
        <v>-2.7616999999999999E-2</v>
      </c>
      <c r="S6">
        <v>-0.104044</v>
      </c>
      <c r="T6">
        <v>-0.44911000000000001</v>
      </c>
      <c r="U6">
        <v>-0.53115800000000002</v>
      </c>
      <c r="V6">
        <v>-0.52516700000000005</v>
      </c>
      <c r="W6">
        <v>-0.52602000000000004</v>
      </c>
      <c r="X6">
        <v>-0.55081800000000003</v>
      </c>
      <c r="Y6">
        <v>-0.54507399999999995</v>
      </c>
      <c r="Z6">
        <v>-0.54542100000000004</v>
      </c>
      <c r="AA6">
        <v>-0.53437500000000004</v>
      </c>
      <c r="AB6">
        <v>-0.54325699999999999</v>
      </c>
      <c r="AC6">
        <v>-0.53306500000000001</v>
      </c>
      <c r="AD6">
        <v>-0.53101200000000004</v>
      </c>
      <c r="AE6" s="4">
        <v>24.663911845730027</v>
      </c>
    </row>
    <row r="7" spans="1:31" x14ac:dyDescent="0.25">
      <c r="A7" t="s">
        <v>29</v>
      </c>
      <c r="B7" t="s">
        <v>36</v>
      </c>
      <c r="C7" t="s">
        <v>31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s="4" t="e">
        <v>#DIV/0!</v>
      </c>
    </row>
    <row r="8" spans="1:31" x14ac:dyDescent="0.25">
      <c r="A8" t="s">
        <v>29</v>
      </c>
      <c r="B8" t="s">
        <v>37</v>
      </c>
      <c r="C8" t="s">
        <v>31</v>
      </c>
      <c r="D8">
        <v>4.6459E-2</v>
      </c>
      <c r="E8">
        <v>5.0444000000000003E-2</v>
      </c>
      <c r="F8">
        <v>5.2450999999999998E-2</v>
      </c>
      <c r="G8">
        <v>5.4399999999999997E-2</v>
      </c>
      <c r="H8">
        <v>5.4398000000000002E-2</v>
      </c>
      <c r="I8">
        <v>5.4400999999999998E-2</v>
      </c>
      <c r="J8">
        <v>5.4399000000000003E-2</v>
      </c>
      <c r="K8">
        <v>5.4419000000000002E-2</v>
      </c>
      <c r="L8">
        <v>5.4421999999999998E-2</v>
      </c>
      <c r="M8">
        <v>5.4419000000000002E-2</v>
      </c>
      <c r="N8">
        <v>5.4441999999999997E-2</v>
      </c>
      <c r="O8">
        <v>5.4429999999999999E-2</v>
      </c>
      <c r="P8">
        <v>5.4342000000000001E-2</v>
      </c>
      <c r="Q8">
        <v>5.4204000000000002E-2</v>
      </c>
      <c r="R8">
        <v>5.3918000000000001E-2</v>
      </c>
      <c r="S8">
        <v>5.2860999999999998E-2</v>
      </c>
      <c r="T8">
        <v>5.3733999999999997E-2</v>
      </c>
      <c r="U8">
        <v>5.4084E-2</v>
      </c>
      <c r="V8">
        <v>5.3516000000000001E-2</v>
      </c>
      <c r="W8">
        <v>5.3527999999999999E-2</v>
      </c>
      <c r="X8">
        <v>5.3526999999999998E-2</v>
      </c>
      <c r="Y8">
        <v>5.3698999999999997E-2</v>
      </c>
      <c r="Z8">
        <v>5.3741999999999998E-2</v>
      </c>
      <c r="AA8">
        <v>5.3769999999999998E-2</v>
      </c>
      <c r="AB8">
        <v>5.3849000000000001E-2</v>
      </c>
      <c r="AC8">
        <v>5.3880999999999998E-2</v>
      </c>
      <c r="AD8">
        <v>5.3976000000000003E-2</v>
      </c>
      <c r="AE8" s="4">
        <v>0.16179857508771181</v>
      </c>
    </row>
    <row r="9" spans="1:31" x14ac:dyDescent="0.25">
      <c r="A9" t="s">
        <v>29</v>
      </c>
      <c r="B9" t="s">
        <v>38</v>
      </c>
      <c r="C9" t="s">
        <v>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s="4" t="e">
        <v>#DIV/0!</v>
      </c>
    </row>
    <row r="10" spans="1:31" x14ac:dyDescent="0.25">
      <c r="A10" t="s">
        <v>29</v>
      </c>
      <c r="B10" t="s">
        <v>39</v>
      </c>
      <c r="C10" t="s">
        <v>31</v>
      </c>
      <c r="D10">
        <v>0.201457</v>
      </c>
      <c r="E10">
        <v>0.205377</v>
      </c>
      <c r="F10">
        <v>0.209283</v>
      </c>
      <c r="G10">
        <v>0.21218699999999999</v>
      </c>
      <c r="H10">
        <v>0.21559300000000001</v>
      </c>
      <c r="I10">
        <v>0.21936</v>
      </c>
      <c r="J10">
        <v>0.22323299999999999</v>
      </c>
      <c r="K10">
        <v>0.233545</v>
      </c>
      <c r="L10">
        <v>0.237401</v>
      </c>
      <c r="M10">
        <v>0.241118</v>
      </c>
      <c r="N10">
        <v>0.244533</v>
      </c>
      <c r="O10">
        <v>0.25425300000000001</v>
      </c>
      <c r="P10">
        <v>0.25804899999999997</v>
      </c>
      <c r="Q10">
        <v>0.262073</v>
      </c>
      <c r="R10">
        <v>0.26610899999999998</v>
      </c>
      <c r="S10">
        <v>0.26888899999999999</v>
      </c>
      <c r="T10">
        <v>0.27176800000000001</v>
      </c>
      <c r="U10">
        <v>0.27462500000000001</v>
      </c>
      <c r="V10">
        <v>0.230156</v>
      </c>
      <c r="W10">
        <v>0.20935300000000001</v>
      </c>
      <c r="X10">
        <v>0.23346700000000001</v>
      </c>
      <c r="Y10">
        <v>0.234598</v>
      </c>
      <c r="Z10">
        <v>0.23572000000000001</v>
      </c>
      <c r="AA10">
        <v>0.236844</v>
      </c>
      <c r="AB10">
        <v>0.23798900000000001</v>
      </c>
      <c r="AC10">
        <v>0.27705600000000002</v>
      </c>
      <c r="AD10">
        <v>0.28215000000000001</v>
      </c>
      <c r="AE10" s="4">
        <v>0.40054701499575601</v>
      </c>
    </row>
    <row r="11" spans="1:31" x14ac:dyDescent="0.25">
      <c r="A11" t="s">
        <v>29</v>
      </c>
      <c r="B11" t="s">
        <v>40</v>
      </c>
      <c r="C11" t="s">
        <v>31</v>
      </c>
      <c r="D11">
        <v>9.1990000000000006E-3</v>
      </c>
      <c r="E11">
        <v>9.2899999999999996E-3</v>
      </c>
      <c r="F11">
        <v>8.8039999999999993E-3</v>
      </c>
      <c r="G11">
        <v>8.7159999999999998E-3</v>
      </c>
      <c r="H11">
        <v>8.7159999999999998E-3</v>
      </c>
      <c r="I11">
        <v>8.8039999999999993E-3</v>
      </c>
      <c r="J11">
        <v>8.8039999999999993E-3</v>
      </c>
      <c r="K11">
        <v>8.8039999999999993E-3</v>
      </c>
      <c r="L11">
        <v>8.8039999999999993E-3</v>
      </c>
      <c r="M11">
        <v>8.8039999999999993E-3</v>
      </c>
      <c r="N11">
        <v>8.8039999999999993E-3</v>
      </c>
      <c r="O11">
        <v>8.8039999999999993E-3</v>
      </c>
      <c r="P11">
        <v>8.8039999999999993E-3</v>
      </c>
      <c r="Q11">
        <v>8.7159999999999998E-3</v>
      </c>
      <c r="R11">
        <v>8.7159999999999998E-3</v>
      </c>
      <c r="S11">
        <v>8.7159999999999998E-3</v>
      </c>
      <c r="T11">
        <v>8.7159999999999998E-3</v>
      </c>
      <c r="U11">
        <v>8.7159999999999998E-3</v>
      </c>
      <c r="V11">
        <v>8.7159999999999998E-3</v>
      </c>
      <c r="W11">
        <v>8.7159999999999998E-3</v>
      </c>
      <c r="X11">
        <v>8.7159999999999998E-3</v>
      </c>
      <c r="Y11">
        <v>8.7159999999999998E-3</v>
      </c>
      <c r="Z11">
        <v>8.7159999999999998E-3</v>
      </c>
      <c r="AA11">
        <v>8.7159999999999998E-3</v>
      </c>
      <c r="AB11">
        <v>8.7159999999999998E-3</v>
      </c>
      <c r="AC11">
        <v>8.7159999999999998E-3</v>
      </c>
      <c r="AD11">
        <v>8.7159999999999998E-3</v>
      </c>
      <c r="AE11" s="4">
        <v>-5.2505707142080742E-2</v>
      </c>
    </row>
    <row r="12" spans="1:31" x14ac:dyDescent="0.25">
      <c r="A12" t="s">
        <v>29</v>
      </c>
      <c r="B12" t="s">
        <v>41</v>
      </c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s="4" t="e">
        <v>#DIV/0!</v>
      </c>
    </row>
    <row r="13" spans="1:31" x14ac:dyDescent="0.25">
      <c r="A13" t="s">
        <v>29</v>
      </c>
      <c r="B13" t="s">
        <v>42</v>
      </c>
      <c r="C13" t="s">
        <v>31</v>
      </c>
      <c r="D13">
        <v>0.39937899999999998</v>
      </c>
      <c r="E13">
        <v>0.53364599999999995</v>
      </c>
      <c r="F13">
        <v>0.70761600000000002</v>
      </c>
      <c r="G13">
        <v>0.76425100000000001</v>
      </c>
      <c r="H13">
        <v>0.76429499999999995</v>
      </c>
      <c r="I13">
        <v>0.76406300000000005</v>
      </c>
      <c r="J13">
        <v>0.76347799999999999</v>
      </c>
      <c r="K13">
        <v>0.76413500000000001</v>
      </c>
      <c r="L13">
        <v>0.76349100000000003</v>
      </c>
      <c r="M13">
        <v>0.76423300000000005</v>
      </c>
      <c r="N13">
        <v>0.762687</v>
      </c>
      <c r="O13">
        <v>0.76281299999999996</v>
      </c>
      <c r="P13">
        <v>0.62096399999999996</v>
      </c>
      <c r="Q13">
        <v>0.74787599999999999</v>
      </c>
      <c r="R13">
        <v>4.0649110000000004</v>
      </c>
      <c r="S13">
        <v>15.308425</v>
      </c>
      <c r="T13">
        <v>17.140324</v>
      </c>
      <c r="U13">
        <v>17.144814</v>
      </c>
      <c r="V13">
        <v>20.639727000000001</v>
      </c>
      <c r="W13">
        <v>21.475334</v>
      </c>
      <c r="X13">
        <v>21.516724</v>
      </c>
      <c r="Y13">
        <v>21.521903999999999</v>
      </c>
      <c r="Z13">
        <v>21.515664999999998</v>
      </c>
      <c r="AA13">
        <v>21.499617000000001</v>
      </c>
      <c r="AB13">
        <v>21.486682999999999</v>
      </c>
      <c r="AC13">
        <v>21.489996000000001</v>
      </c>
      <c r="AD13">
        <v>21.467096000000002</v>
      </c>
      <c r="AE13" s="4">
        <v>52.751188720488564</v>
      </c>
    </row>
    <row r="14" spans="1:31" x14ac:dyDescent="0.25">
      <c r="A14" t="s">
        <v>29</v>
      </c>
      <c r="B14" t="s">
        <v>43</v>
      </c>
      <c r="C14" t="s">
        <v>31</v>
      </c>
      <c r="D14">
        <v>14.525887000000001</v>
      </c>
      <c r="E14">
        <v>14.410952999999999</v>
      </c>
      <c r="F14">
        <v>15.962977</v>
      </c>
      <c r="G14">
        <v>20.190351</v>
      </c>
      <c r="H14">
        <v>21.033301999999999</v>
      </c>
      <c r="I14">
        <v>21.031967000000002</v>
      </c>
      <c r="J14">
        <v>21.037354000000001</v>
      </c>
      <c r="K14">
        <v>21.031862</v>
      </c>
      <c r="L14">
        <v>21.035591</v>
      </c>
      <c r="M14">
        <v>21.031701999999999</v>
      </c>
      <c r="N14">
        <v>21.041498000000001</v>
      </c>
      <c r="O14">
        <v>18.435265999999999</v>
      </c>
      <c r="P14">
        <v>29.210992999999998</v>
      </c>
      <c r="Q14">
        <v>43.989474999999999</v>
      </c>
      <c r="R14">
        <v>46.167557000000002</v>
      </c>
      <c r="S14">
        <v>50.684151</v>
      </c>
      <c r="T14">
        <v>50.963527999999997</v>
      </c>
      <c r="U14">
        <v>50.972121999999999</v>
      </c>
      <c r="V14">
        <v>49.192501</v>
      </c>
      <c r="W14">
        <v>49.603862999999997</v>
      </c>
      <c r="X14">
        <v>47.705551</v>
      </c>
      <c r="Y14">
        <v>48.83934</v>
      </c>
      <c r="Z14">
        <v>48.047561999999999</v>
      </c>
      <c r="AA14">
        <v>47.657702999999998</v>
      </c>
      <c r="AB14">
        <v>46.032691999999997</v>
      </c>
      <c r="AC14">
        <v>46.104733000000003</v>
      </c>
      <c r="AD14">
        <v>44.472118000000002</v>
      </c>
      <c r="AE14" s="4">
        <v>2.0615767560356208</v>
      </c>
    </row>
    <row r="15" spans="1:31" x14ac:dyDescent="0.25">
      <c r="A15" t="s">
        <v>29</v>
      </c>
      <c r="B15" t="s">
        <v>44</v>
      </c>
      <c r="C15" t="s">
        <v>31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s="4" t="e">
        <v>#DIV/0!</v>
      </c>
    </row>
    <row r="16" spans="1:31" x14ac:dyDescent="0.25">
      <c r="A16" t="s">
        <v>29</v>
      </c>
      <c r="B16" s="5" t="s">
        <v>45</v>
      </c>
      <c r="C16" t="s">
        <v>31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s="4" t="e">
        <v>#DIV/0!</v>
      </c>
    </row>
    <row r="17" spans="1:31" x14ac:dyDescent="0.25">
      <c r="A17" t="s">
        <v>29</v>
      </c>
      <c r="B17" s="5" t="s">
        <v>46</v>
      </c>
      <c r="C17" t="s">
        <v>31</v>
      </c>
      <c r="D17">
        <v>137.524902</v>
      </c>
      <c r="E17">
        <v>128.995544</v>
      </c>
      <c r="F17">
        <v>132.16783100000001</v>
      </c>
      <c r="G17">
        <v>138.54657</v>
      </c>
      <c r="H17">
        <v>131.18102999999999</v>
      </c>
      <c r="I17">
        <v>127.582375</v>
      </c>
      <c r="J17">
        <v>128.12301600000001</v>
      </c>
      <c r="K17">
        <v>125.98168200000001</v>
      </c>
      <c r="L17">
        <v>126.91733600000001</v>
      </c>
      <c r="M17">
        <v>126.572937</v>
      </c>
      <c r="N17">
        <v>124.27172899999999</v>
      </c>
      <c r="O17">
        <v>120.71528600000001</v>
      </c>
      <c r="P17">
        <v>129.75546299999999</v>
      </c>
      <c r="Q17">
        <v>144.078812</v>
      </c>
      <c r="R17">
        <v>145.54440299999999</v>
      </c>
      <c r="S17">
        <v>156.80934099999999</v>
      </c>
      <c r="T17">
        <v>159.27285800000001</v>
      </c>
      <c r="U17">
        <v>155.88000500000001</v>
      </c>
      <c r="V17">
        <v>148.01934800000001</v>
      </c>
      <c r="W17">
        <v>147.83010899999999</v>
      </c>
      <c r="X17">
        <v>150.082581</v>
      </c>
      <c r="Y17">
        <v>147.32579000000001</v>
      </c>
      <c r="Z17">
        <v>150.027435</v>
      </c>
      <c r="AA17">
        <v>151.14692700000001</v>
      </c>
      <c r="AB17">
        <v>153.16262800000001</v>
      </c>
      <c r="AC17">
        <v>157.73831200000001</v>
      </c>
      <c r="AD17">
        <v>159.681274</v>
      </c>
      <c r="AE17" s="4">
        <v>0.16110807335823446</v>
      </c>
    </row>
    <row r="18" spans="1:31" x14ac:dyDescent="0.25">
      <c r="A18" t="s">
        <v>74</v>
      </c>
      <c r="B18" t="s">
        <v>47</v>
      </c>
      <c r="C18" t="s">
        <v>48</v>
      </c>
      <c r="D18">
        <v>12.925193</v>
      </c>
      <c r="E18">
        <v>12.910335</v>
      </c>
      <c r="F18">
        <v>12.744615</v>
      </c>
      <c r="G18">
        <v>12.418987</v>
      </c>
      <c r="H18">
        <v>12.534882</v>
      </c>
      <c r="I18">
        <v>12.836937000000001</v>
      </c>
      <c r="J18">
        <v>13.577650999999999</v>
      </c>
      <c r="K18">
        <v>14.677801000000001</v>
      </c>
      <c r="L18">
        <v>15.230084</v>
      </c>
      <c r="M18">
        <v>15.427522</v>
      </c>
      <c r="N18">
        <v>15.182134</v>
      </c>
      <c r="O18">
        <v>14.687028</v>
      </c>
      <c r="P18">
        <v>14.798342999999999</v>
      </c>
      <c r="Q18">
        <v>14.036959</v>
      </c>
      <c r="R18">
        <v>13.701593000000001</v>
      </c>
      <c r="S18">
        <v>12.281459</v>
      </c>
      <c r="T18">
        <v>12.303917999999999</v>
      </c>
      <c r="U18">
        <v>12.203969000000001</v>
      </c>
      <c r="V18">
        <v>12.234344</v>
      </c>
      <c r="W18">
        <v>11.885631999999999</v>
      </c>
      <c r="X18">
        <v>11.811591</v>
      </c>
      <c r="Y18">
        <v>11.989872</v>
      </c>
      <c r="Z18">
        <v>12.151059999999999</v>
      </c>
      <c r="AA18">
        <v>12.388161999999999</v>
      </c>
      <c r="AB18">
        <v>12.678236999999999</v>
      </c>
      <c r="AC18">
        <v>13.126438</v>
      </c>
      <c r="AD18">
        <v>13.546837</v>
      </c>
      <c r="AE18" s="4" cm="1">
        <f t="array" ref="AE18:AE22">(AD18:AD22-D18:D22)/D18:D22</f>
        <v>4.8095529405247556E-2</v>
      </c>
    </row>
    <row r="19" spans="1:31" x14ac:dyDescent="0.25">
      <c r="A19" t="s">
        <v>74</v>
      </c>
      <c r="B19" t="s">
        <v>49</v>
      </c>
      <c r="C19" t="s">
        <v>48</v>
      </c>
      <c r="D19">
        <v>11.113459000000001</v>
      </c>
      <c r="E19">
        <v>10.850142</v>
      </c>
      <c r="F19">
        <v>10.798876</v>
      </c>
      <c r="G19">
        <v>10.487185999999999</v>
      </c>
      <c r="H19">
        <v>10.631095999999999</v>
      </c>
      <c r="I19">
        <v>10.925796999999999</v>
      </c>
      <c r="J19">
        <v>11.665671</v>
      </c>
      <c r="K19">
        <v>12.845281999999999</v>
      </c>
      <c r="L19">
        <v>13.287315</v>
      </c>
      <c r="M19">
        <v>13.377789</v>
      </c>
      <c r="N19">
        <v>13.093513</v>
      </c>
      <c r="O19">
        <v>12.454267</v>
      </c>
      <c r="P19">
        <v>12.588333</v>
      </c>
      <c r="Q19">
        <v>11.837424</v>
      </c>
      <c r="R19">
        <v>11.779438000000001</v>
      </c>
      <c r="S19">
        <v>10.258525000000001</v>
      </c>
      <c r="T19">
        <v>10.302142</v>
      </c>
      <c r="U19">
        <v>10.207395999999999</v>
      </c>
      <c r="V19">
        <v>10.297196</v>
      </c>
      <c r="W19">
        <v>9.9619400000000002</v>
      </c>
      <c r="X19">
        <v>9.8846860000000003</v>
      </c>
      <c r="Y19">
        <v>10.078461000000001</v>
      </c>
      <c r="Z19">
        <v>10.264965999999999</v>
      </c>
      <c r="AA19">
        <v>10.523505</v>
      </c>
      <c r="AB19">
        <v>10.800071000000001</v>
      </c>
      <c r="AC19">
        <v>11.212349</v>
      </c>
      <c r="AD19">
        <v>11.596252</v>
      </c>
      <c r="AE19" s="4">
        <v>4.3442190230782253E-2</v>
      </c>
    </row>
    <row r="20" spans="1:31" x14ac:dyDescent="0.25">
      <c r="A20" t="s">
        <v>74</v>
      </c>
      <c r="B20" t="s">
        <v>50</v>
      </c>
      <c r="C20" t="s">
        <v>48</v>
      </c>
      <c r="D20">
        <v>9.1199809999999992</v>
      </c>
      <c r="E20">
        <v>9.0131460000000008</v>
      </c>
      <c r="F20">
        <v>8.8401929999999993</v>
      </c>
      <c r="G20">
        <v>8.5152819999999991</v>
      </c>
      <c r="H20">
        <v>8.6286749999999994</v>
      </c>
      <c r="I20">
        <v>8.9244160000000008</v>
      </c>
      <c r="J20">
        <v>9.6316939999999995</v>
      </c>
      <c r="K20">
        <v>10.615100999999999</v>
      </c>
      <c r="L20">
        <v>11.067014</v>
      </c>
      <c r="M20">
        <v>11.198138999999999</v>
      </c>
      <c r="N20">
        <v>10.930925</v>
      </c>
      <c r="O20">
        <v>10.409057000000001</v>
      </c>
      <c r="P20">
        <v>10.434872</v>
      </c>
      <c r="Q20">
        <v>9.7384439999999994</v>
      </c>
      <c r="R20">
        <v>9.4457710000000006</v>
      </c>
      <c r="S20">
        <v>8.23353</v>
      </c>
      <c r="T20">
        <v>8.2807960000000005</v>
      </c>
      <c r="U20">
        <v>8.2165700000000008</v>
      </c>
      <c r="V20">
        <v>8.2392760000000003</v>
      </c>
      <c r="W20">
        <v>7.9354100000000001</v>
      </c>
      <c r="X20">
        <v>7.8882380000000003</v>
      </c>
      <c r="Y20">
        <v>8.0599489999999996</v>
      </c>
      <c r="Z20">
        <v>8.2485009999999992</v>
      </c>
      <c r="AA20">
        <v>8.4575800000000001</v>
      </c>
      <c r="AB20">
        <v>8.6889509999999994</v>
      </c>
      <c r="AC20">
        <v>9.0856680000000001</v>
      </c>
      <c r="AD20">
        <v>9.4375940000000007</v>
      </c>
      <c r="AE20" s="4">
        <v>3.4826059396395839E-2</v>
      </c>
    </row>
    <row r="21" spans="1:31" x14ac:dyDescent="0.25">
      <c r="A21" t="s">
        <v>74</v>
      </c>
      <c r="B21" t="s">
        <v>51</v>
      </c>
      <c r="C21" t="s">
        <v>48</v>
      </c>
      <c r="D21">
        <v>10.488761999999999</v>
      </c>
      <c r="E21">
        <v>10.356176</v>
      </c>
      <c r="F21">
        <v>10.235873</v>
      </c>
      <c r="G21">
        <v>9.9159959999999998</v>
      </c>
      <c r="H21">
        <v>10.045579</v>
      </c>
      <c r="I21">
        <v>10.320971</v>
      </c>
      <c r="J21">
        <v>11.05991</v>
      </c>
      <c r="K21">
        <v>12.120210999999999</v>
      </c>
      <c r="L21">
        <v>12.655322</v>
      </c>
      <c r="M21">
        <v>12.846693</v>
      </c>
      <c r="N21">
        <v>12.635407000000001</v>
      </c>
      <c r="O21">
        <v>12.200514999999999</v>
      </c>
      <c r="P21">
        <v>12.281406</v>
      </c>
      <c r="Q21">
        <v>11.589691</v>
      </c>
      <c r="R21">
        <v>11.281554</v>
      </c>
      <c r="S21">
        <v>9.961767</v>
      </c>
      <c r="T21">
        <v>10.022447</v>
      </c>
      <c r="U21">
        <v>9.9647760000000005</v>
      </c>
      <c r="V21">
        <v>10.021940000000001</v>
      </c>
      <c r="W21">
        <v>9.7208140000000007</v>
      </c>
      <c r="X21">
        <v>9.6620109999999997</v>
      </c>
      <c r="Y21">
        <v>9.8412600000000001</v>
      </c>
      <c r="Z21">
        <v>9.9491879999999995</v>
      </c>
      <c r="AA21">
        <v>10.128135</v>
      </c>
      <c r="AB21">
        <v>10.428032</v>
      </c>
      <c r="AC21">
        <v>10.853085</v>
      </c>
      <c r="AD21">
        <v>11.220465000000001</v>
      </c>
      <c r="AE21" s="4">
        <v>6.9760663841929235E-2</v>
      </c>
    </row>
    <row r="22" spans="1:31" x14ac:dyDescent="0.25">
      <c r="A22" t="s">
        <v>74</v>
      </c>
      <c r="B22" t="s">
        <v>52</v>
      </c>
      <c r="C22" t="s">
        <v>48</v>
      </c>
      <c r="D22">
        <v>11.061493</v>
      </c>
      <c r="E22">
        <v>10.941903999999999</v>
      </c>
      <c r="F22">
        <v>10.842891</v>
      </c>
      <c r="G22">
        <v>10.526984000000001</v>
      </c>
      <c r="H22">
        <v>10.651612999999999</v>
      </c>
      <c r="I22">
        <v>10.944921000000001</v>
      </c>
      <c r="J22">
        <v>11.663729999999999</v>
      </c>
      <c r="K22">
        <v>12.746131</v>
      </c>
      <c r="L22">
        <v>13.212137</v>
      </c>
      <c r="M22">
        <v>13.340180999999999</v>
      </c>
      <c r="N22">
        <v>13.060714000000001</v>
      </c>
      <c r="O22">
        <v>12.496756</v>
      </c>
      <c r="P22">
        <v>12.571581</v>
      </c>
      <c r="Q22">
        <v>11.836829</v>
      </c>
      <c r="R22">
        <v>11.624627</v>
      </c>
      <c r="S22">
        <v>10.239121000000001</v>
      </c>
      <c r="T22">
        <v>10.287865</v>
      </c>
      <c r="U22">
        <v>10.209572</v>
      </c>
      <c r="V22">
        <v>10.266304999999999</v>
      </c>
      <c r="W22">
        <v>9.9466269999999994</v>
      </c>
      <c r="X22">
        <v>9.8881440000000005</v>
      </c>
      <c r="Y22">
        <v>10.077256999999999</v>
      </c>
      <c r="Z22">
        <v>10.272629</v>
      </c>
      <c r="AA22">
        <v>10.513484</v>
      </c>
      <c r="AB22">
        <v>10.783931000000001</v>
      </c>
      <c r="AC22">
        <v>11.204408000000001</v>
      </c>
      <c r="AD22">
        <v>11.590837000000001</v>
      </c>
      <c r="AE22" s="4">
        <v>4.7854661210742527E-2</v>
      </c>
    </row>
    <row r="23" spans="1:31" x14ac:dyDescent="0.25">
      <c r="A23" t="s">
        <v>75</v>
      </c>
      <c r="B23" t="s">
        <v>47</v>
      </c>
      <c r="C23" t="s">
        <v>53</v>
      </c>
      <c r="D23">
        <v>12.925193</v>
      </c>
      <c r="E23">
        <v>13.206568000000001</v>
      </c>
      <c r="F23">
        <v>13.270645999999999</v>
      </c>
      <c r="G23">
        <v>13.154145</v>
      </c>
      <c r="H23">
        <v>13.509835000000001</v>
      </c>
      <c r="I23">
        <v>14.04157</v>
      </c>
      <c r="J23">
        <v>15.085474</v>
      </c>
      <c r="K23">
        <v>16.592894000000001</v>
      </c>
      <c r="L23">
        <v>17.519093000000002</v>
      </c>
      <c r="M23">
        <v>18.057604000000001</v>
      </c>
      <c r="N23">
        <v>18.081223000000001</v>
      </c>
      <c r="O23">
        <v>17.794352</v>
      </c>
      <c r="P23">
        <v>18.236822</v>
      </c>
      <c r="Q23">
        <v>17.608298999999999</v>
      </c>
      <c r="R23">
        <v>17.508203999999999</v>
      </c>
      <c r="S23">
        <v>15.999981999999999</v>
      </c>
      <c r="T23">
        <v>16.363115000000001</v>
      </c>
      <c r="U23">
        <v>16.587692000000001</v>
      </c>
      <c r="V23">
        <v>17.008890000000001</v>
      </c>
      <c r="W23">
        <v>16.913115999999999</v>
      </c>
      <c r="X23">
        <v>17.215132000000001</v>
      </c>
      <c r="Y23">
        <v>17.901892</v>
      </c>
      <c r="Z23">
        <v>18.586846999999999</v>
      </c>
      <c r="AA23">
        <v>19.411491000000002</v>
      </c>
      <c r="AB23">
        <v>20.342541000000001</v>
      </c>
      <c r="AC23">
        <v>21.561295000000001</v>
      </c>
      <c r="AD23">
        <v>22.768173000000001</v>
      </c>
      <c r="AE23" s="4" cm="1">
        <f t="array" ref="AE23:AE27">(AD23:AD27-D23:D27)/D23:D27</f>
        <v>0.76153446993015894</v>
      </c>
    </row>
    <row r="24" spans="1:31" x14ac:dyDescent="0.25">
      <c r="A24" t="s">
        <v>75</v>
      </c>
      <c r="B24" t="s">
        <v>49</v>
      </c>
      <c r="C24" t="s">
        <v>53</v>
      </c>
      <c r="D24">
        <v>11.113459000000001</v>
      </c>
      <c r="E24">
        <v>11.099102999999999</v>
      </c>
      <c r="F24">
        <v>11.244597000000001</v>
      </c>
      <c r="G24">
        <v>11.107989</v>
      </c>
      <c r="H24">
        <v>11.457974999999999</v>
      </c>
      <c r="I24">
        <v>11.951086999999999</v>
      </c>
      <c r="J24">
        <v>12.961164999999999</v>
      </c>
      <c r="K24">
        <v>14.521276</v>
      </c>
      <c r="L24">
        <v>15.284333999999999</v>
      </c>
      <c r="M24">
        <v>15.658433</v>
      </c>
      <c r="N24">
        <v>15.593771</v>
      </c>
      <c r="O24">
        <v>15.089207</v>
      </c>
      <c r="P24">
        <v>15.513304</v>
      </c>
      <c r="Q24">
        <v>14.849152</v>
      </c>
      <c r="R24">
        <v>15.052032000000001</v>
      </c>
      <c r="S24">
        <v>13.364553000000001</v>
      </c>
      <c r="T24">
        <v>13.700932</v>
      </c>
      <c r="U24">
        <v>13.873939999999999</v>
      </c>
      <c r="V24">
        <v>14.315756</v>
      </c>
      <c r="W24">
        <v>14.175725999999999</v>
      </c>
      <c r="X24">
        <v>14.406712000000001</v>
      </c>
      <c r="Y24">
        <v>15.047993</v>
      </c>
      <c r="Z24">
        <v>15.701786</v>
      </c>
      <c r="AA24">
        <v>16.489687</v>
      </c>
      <c r="AB24">
        <v>17.328977999999999</v>
      </c>
      <c r="AC24">
        <v>18.41724</v>
      </c>
      <c r="AD24">
        <v>19.489826000000001</v>
      </c>
      <c r="AE24" s="4">
        <v>0.7537137627447944</v>
      </c>
    </row>
    <row r="25" spans="1:31" x14ac:dyDescent="0.25">
      <c r="A25" t="s">
        <v>75</v>
      </c>
      <c r="B25" t="s">
        <v>50</v>
      </c>
      <c r="C25" t="s">
        <v>53</v>
      </c>
      <c r="D25">
        <v>9.1199809999999992</v>
      </c>
      <c r="E25">
        <v>9.2199570000000008</v>
      </c>
      <c r="F25">
        <v>9.2050699999999992</v>
      </c>
      <c r="G25">
        <v>9.0193549999999991</v>
      </c>
      <c r="H25">
        <v>9.2998069999999995</v>
      </c>
      <c r="I25">
        <v>9.7618930000000006</v>
      </c>
      <c r="J25">
        <v>10.701311</v>
      </c>
      <c r="K25">
        <v>12.000112</v>
      </c>
      <c r="L25">
        <v>12.730332000000001</v>
      </c>
      <c r="M25">
        <v>13.107196999999999</v>
      </c>
      <c r="N25">
        <v>13.018228000000001</v>
      </c>
      <c r="O25">
        <v>12.611293999999999</v>
      </c>
      <c r="P25">
        <v>12.859474000000001</v>
      </c>
      <c r="Q25">
        <v>12.216139999999999</v>
      </c>
      <c r="R25">
        <v>12.070019</v>
      </c>
      <c r="S25">
        <v>10.72644</v>
      </c>
      <c r="T25">
        <v>11.012721000000001</v>
      </c>
      <c r="U25">
        <v>11.167999</v>
      </c>
      <c r="V25">
        <v>11.454717</v>
      </c>
      <c r="W25">
        <v>11.291995999999999</v>
      </c>
      <c r="X25">
        <v>11.496931999999999</v>
      </c>
      <c r="Y25">
        <v>12.034184</v>
      </c>
      <c r="Z25">
        <v>12.617305</v>
      </c>
      <c r="AA25">
        <v>13.252509</v>
      </c>
      <c r="AB25">
        <v>13.941632999999999</v>
      </c>
      <c r="AC25">
        <v>14.923984000000001</v>
      </c>
      <c r="AD25">
        <v>15.861769000000001</v>
      </c>
      <c r="AE25" s="4">
        <v>0.73923268041896162</v>
      </c>
    </row>
    <row r="26" spans="1:31" x14ac:dyDescent="0.25">
      <c r="A26" t="s">
        <v>75</v>
      </c>
      <c r="B26" t="s">
        <v>51</v>
      </c>
      <c r="C26" t="s">
        <v>53</v>
      </c>
      <c r="D26">
        <v>10.488761999999999</v>
      </c>
      <c r="E26">
        <v>10.593802999999999</v>
      </c>
      <c r="F26">
        <v>10.658357000000001</v>
      </c>
      <c r="G26">
        <v>10.502986</v>
      </c>
      <c r="H26">
        <v>10.826917</v>
      </c>
      <c r="I26">
        <v>11.289502000000001</v>
      </c>
      <c r="J26">
        <v>12.288133999999999</v>
      </c>
      <c r="K26">
        <v>13.701601</v>
      </c>
      <c r="L26">
        <v>14.557356</v>
      </c>
      <c r="M26">
        <v>15.036796000000001</v>
      </c>
      <c r="N26">
        <v>15.048188</v>
      </c>
      <c r="O26">
        <v>14.781769000000001</v>
      </c>
      <c r="P26">
        <v>15.135059999999999</v>
      </c>
      <c r="Q26">
        <v>14.538387999999999</v>
      </c>
      <c r="R26">
        <v>14.415825</v>
      </c>
      <c r="S26">
        <v>12.977944000000001</v>
      </c>
      <c r="T26">
        <v>13.328961</v>
      </c>
      <c r="U26">
        <v>13.544169</v>
      </c>
      <c r="V26">
        <v>13.933078999999999</v>
      </c>
      <c r="W26">
        <v>13.832606</v>
      </c>
      <c r="X26">
        <v>14.082167999999999</v>
      </c>
      <c r="Y26">
        <v>14.693832</v>
      </c>
      <c r="Z26">
        <v>15.218759</v>
      </c>
      <c r="AA26">
        <v>15.870165999999999</v>
      </c>
      <c r="AB26">
        <v>16.732033000000001</v>
      </c>
      <c r="AC26">
        <v>17.827116</v>
      </c>
      <c r="AD26">
        <v>18.858238</v>
      </c>
      <c r="AE26" s="4">
        <v>0.79794698363829797</v>
      </c>
    </row>
    <row r="27" spans="1:31" x14ac:dyDescent="0.25">
      <c r="A27" t="s">
        <v>75</v>
      </c>
      <c r="B27" t="s">
        <v>52</v>
      </c>
      <c r="C27" t="s">
        <v>53</v>
      </c>
      <c r="D27">
        <v>11.061493</v>
      </c>
      <c r="E27">
        <v>11.192970000000001</v>
      </c>
      <c r="F27">
        <v>11.290429</v>
      </c>
      <c r="G27">
        <v>11.150143999999999</v>
      </c>
      <c r="H27">
        <v>11.480086999999999</v>
      </c>
      <c r="I27">
        <v>11.972004999999999</v>
      </c>
      <c r="J27">
        <v>12.959009</v>
      </c>
      <c r="K27">
        <v>14.409189</v>
      </c>
      <c r="L27">
        <v>15.197858</v>
      </c>
      <c r="M27">
        <v>15.614414</v>
      </c>
      <c r="N27">
        <v>15.554708</v>
      </c>
      <c r="O27">
        <v>15.140686000000001</v>
      </c>
      <c r="P27">
        <v>15.492660000000001</v>
      </c>
      <c r="Q27">
        <v>14.848405</v>
      </c>
      <c r="R27">
        <v>14.854210999999999</v>
      </c>
      <c r="S27">
        <v>13.339274</v>
      </c>
      <c r="T27">
        <v>13.681944</v>
      </c>
      <c r="U27">
        <v>13.876897</v>
      </c>
      <c r="V27">
        <v>14.272809000000001</v>
      </c>
      <c r="W27">
        <v>14.153934</v>
      </c>
      <c r="X27">
        <v>14.41175</v>
      </c>
      <c r="Y27">
        <v>15.046196</v>
      </c>
      <c r="Z27">
        <v>15.713509</v>
      </c>
      <c r="AA27">
        <v>16.473986</v>
      </c>
      <c r="AB27">
        <v>17.303080000000001</v>
      </c>
      <c r="AC27">
        <v>18.404194</v>
      </c>
      <c r="AD27">
        <v>19.480723999999999</v>
      </c>
      <c r="AE27" s="4">
        <v>0.76112971368331539</v>
      </c>
    </row>
    <row r="28" spans="1:31" x14ac:dyDescent="0.25">
      <c r="A28" t="s">
        <v>76</v>
      </c>
      <c r="B28" t="s">
        <v>54</v>
      </c>
      <c r="C28" t="s">
        <v>48</v>
      </c>
      <c r="D28">
        <v>5.9730569999999998</v>
      </c>
      <c r="E28">
        <v>5.8540999999999999</v>
      </c>
      <c r="F28">
        <v>5.6928340000000004</v>
      </c>
      <c r="G28">
        <v>5.3372739999999999</v>
      </c>
      <c r="H28">
        <v>5.4255500000000003</v>
      </c>
      <c r="I28">
        <v>5.68452</v>
      </c>
      <c r="J28">
        <v>6.3719109999999999</v>
      </c>
      <c r="K28">
        <v>7.4295660000000003</v>
      </c>
      <c r="L28">
        <v>7.8802060000000003</v>
      </c>
      <c r="M28">
        <v>8.0079849999999997</v>
      </c>
      <c r="N28">
        <v>7.7369149999999998</v>
      </c>
      <c r="O28">
        <v>7.1726260000000002</v>
      </c>
      <c r="P28">
        <v>7.2456620000000003</v>
      </c>
      <c r="Q28">
        <v>6.4979579999999997</v>
      </c>
      <c r="R28">
        <v>6.259239</v>
      </c>
      <c r="S28">
        <v>4.8652430000000004</v>
      </c>
      <c r="T28">
        <v>4.8979790000000003</v>
      </c>
      <c r="U28">
        <v>4.828449</v>
      </c>
      <c r="V28">
        <v>4.9005159999999997</v>
      </c>
      <c r="W28">
        <v>4.5835759999999999</v>
      </c>
      <c r="X28">
        <v>4.5357099999999999</v>
      </c>
      <c r="Y28">
        <v>4.7258079999999998</v>
      </c>
      <c r="Z28">
        <v>4.9044040000000004</v>
      </c>
      <c r="AA28">
        <v>5.1293280000000001</v>
      </c>
      <c r="AB28">
        <v>5.388274</v>
      </c>
      <c r="AC28">
        <v>5.7944800000000001</v>
      </c>
      <c r="AD28">
        <v>6.1629240000000003</v>
      </c>
      <c r="AE28" s="4" cm="1">
        <f t="array" ref="AE28:AE30">(AD28:AD30-D28:D30)/D28:D30</f>
        <v>3.1787240603932031E-2</v>
      </c>
    </row>
    <row r="29" spans="1:31" x14ac:dyDescent="0.25">
      <c r="A29" t="s">
        <v>76</v>
      </c>
      <c r="B29" t="s">
        <v>55</v>
      </c>
      <c r="C29" t="s">
        <v>48</v>
      </c>
      <c r="D29">
        <v>1.3684799999999999</v>
      </c>
      <c r="E29">
        <v>1.369383</v>
      </c>
      <c r="F29">
        <v>1.3917870000000001</v>
      </c>
      <c r="G29">
        <v>1.403788</v>
      </c>
      <c r="H29">
        <v>1.4185639999999999</v>
      </c>
      <c r="I29">
        <v>1.42482</v>
      </c>
      <c r="J29">
        <v>1.4290689999999999</v>
      </c>
      <c r="K29">
        <v>1.429969</v>
      </c>
      <c r="L29">
        <v>1.431608</v>
      </c>
      <c r="M29">
        <v>1.4329609999999999</v>
      </c>
      <c r="N29">
        <v>1.43414</v>
      </c>
      <c r="O29">
        <v>1.4478960000000001</v>
      </c>
      <c r="P29">
        <v>1.4713130000000001</v>
      </c>
      <c r="Q29">
        <v>1.5109459999999999</v>
      </c>
      <c r="R29">
        <v>1.5588470000000001</v>
      </c>
      <c r="S29">
        <v>1.582643</v>
      </c>
      <c r="T29">
        <v>1.608724</v>
      </c>
      <c r="U29">
        <v>1.606684</v>
      </c>
      <c r="V29">
        <v>1.598233</v>
      </c>
      <c r="W29">
        <v>1.598044</v>
      </c>
      <c r="X29">
        <v>1.5874200000000001</v>
      </c>
      <c r="Y29">
        <v>1.5812269999999999</v>
      </c>
      <c r="Z29">
        <v>1.5788340000000001</v>
      </c>
      <c r="AA29">
        <v>1.577507</v>
      </c>
      <c r="AB29">
        <v>1.574621</v>
      </c>
      <c r="AC29">
        <v>1.573917</v>
      </c>
      <c r="AD29">
        <v>1.5780749999999999</v>
      </c>
      <c r="AE29" s="4">
        <v>0.15315897930550684</v>
      </c>
    </row>
    <row r="30" spans="1:31" x14ac:dyDescent="0.25">
      <c r="A30" t="s">
        <v>76</v>
      </c>
      <c r="B30" t="s">
        <v>56</v>
      </c>
      <c r="C30" t="s">
        <v>48</v>
      </c>
      <c r="D30">
        <v>3.7199559999999998</v>
      </c>
      <c r="E30">
        <v>3.7184210000000002</v>
      </c>
      <c r="F30">
        <v>3.75827</v>
      </c>
      <c r="G30">
        <v>3.7859219999999998</v>
      </c>
      <c r="H30">
        <v>3.8074970000000001</v>
      </c>
      <c r="I30">
        <v>3.8355800000000002</v>
      </c>
      <c r="J30">
        <v>3.8627500000000001</v>
      </c>
      <c r="K30">
        <v>3.8865970000000001</v>
      </c>
      <c r="L30">
        <v>3.9003239999999999</v>
      </c>
      <c r="M30">
        <v>3.8992360000000001</v>
      </c>
      <c r="N30">
        <v>3.8896600000000001</v>
      </c>
      <c r="O30">
        <v>3.8762340000000002</v>
      </c>
      <c r="P30">
        <v>3.854606</v>
      </c>
      <c r="Q30">
        <v>3.827925</v>
      </c>
      <c r="R30">
        <v>3.806543</v>
      </c>
      <c r="S30">
        <v>3.7912349999999999</v>
      </c>
      <c r="T30">
        <v>3.781161</v>
      </c>
      <c r="U30">
        <v>3.774438</v>
      </c>
      <c r="V30">
        <v>3.767557</v>
      </c>
      <c r="W30">
        <v>3.7650070000000002</v>
      </c>
      <c r="X30">
        <v>3.7650139999999999</v>
      </c>
      <c r="Y30">
        <v>3.7702230000000001</v>
      </c>
      <c r="Z30">
        <v>3.7893910000000002</v>
      </c>
      <c r="AA30">
        <v>3.8066499999999999</v>
      </c>
      <c r="AB30">
        <v>3.8210359999999999</v>
      </c>
      <c r="AC30">
        <v>3.8360110000000001</v>
      </c>
      <c r="AD30">
        <v>3.8498380000000001</v>
      </c>
      <c r="AE30" s="4">
        <v>3.4914929101312026E-2</v>
      </c>
    </row>
    <row r="31" spans="1:31" x14ac:dyDescent="0.25">
      <c r="A31" t="s">
        <v>77</v>
      </c>
      <c r="B31" t="s">
        <v>54</v>
      </c>
      <c r="C31" t="s">
        <v>53</v>
      </c>
      <c r="D31">
        <v>5.9730569999999998</v>
      </c>
      <c r="E31">
        <v>5.9884240000000002</v>
      </c>
      <c r="F31">
        <v>5.9278040000000001</v>
      </c>
      <c r="G31">
        <v>5.6532210000000003</v>
      </c>
      <c r="H31">
        <v>5.8475460000000004</v>
      </c>
      <c r="I31">
        <v>6.217962</v>
      </c>
      <c r="J31">
        <v>7.0795240000000002</v>
      </c>
      <c r="K31">
        <v>8.3989419999999999</v>
      </c>
      <c r="L31">
        <v>9.0645629999999997</v>
      </c>
      <c r="M31">
        <v>9.3731860000000005</v>
      </c>
      <c r="N31">
        <v>9.2143090000000001</v>
      </c>
      <c r="O31">
        <v>8.6901340000000005</v>
      </c>
      <c r="P31">
        <v>8.929233</v>
      </c>
      <c r="Q31">
        <v>8.1511949999999995</v>
      </c>
      <c r="R31">
        <v>7.9981960000000001</v>
      </c>
      <c r="S31">
        <v>6.3383180000000001</v>
      </c>
      <c r="T31">
        <v>6.5138759999999998</v>
      </c>
      <c r="U31">
        <v>6.5628500000000001</v>
      </c>
      <c r="V31">
        <v>6.8129790000000003</v>
      </c>
      <c r="W31">
        <v>6.5223760000000004</v>
      </c>
      <c r="X31">
        <v>6.610697</v>
      </c>
      <c r="Y31">
        <v>7.0560299999999998</v>
      </c>
      <c r="Z31">
        <v>7.5020119999999997</v>
      </c>
      <c r="AA31">
        <v>8.0373420000000007</v>
      </c>
      <c r="AB31">
        <v>8.6456169999999997</v>
      </c>
      <c r="AC31">
        <v>9.5179270000000002</v>
      </c>
      <c r="AD31">
        <v>10.358027999999999</v>
      </c>
      <c r="AE31" s="4" cm="1">
        <f t="array" ref="AE31:AE33">(AD31:AD33-D31:D33)/D31:D33</f>
        <v>0.73412508871085602</v>
      </c>
    </row>
    <row r="32" spans="1:31" x14ac:dyDescent="0.25">
      <c r="A32" t="s">
        <v>77</v>
      </c>
      <c r="B32" t="s">
        <v>55</v>
      </c>
      <c r="C32" t="s">
        <v>53</v>
      </c>
      <c r="D32">
        <v>1.3684799999999999</v>
      </c>
      <c r="E32">
        <v>1.4008039999999999</v>
      </c>
      <c r="F32">
        <v>1.449233</v>
      </c>
      <c r="G32">
        <v>1.4868870000000001</v>
      </c>
      <c r="H32">
        <v>1.528899</v>
      </c>
      <c r="I32">
        <v>1.558527</v>
      </c>
      <c r="J32">
        <v>1.5877699999999999</v>
      </c>
      <c r="K32">
        <v>1.6165449999999999</v>
      </c>
      <c r="L32">
        <v>1.6467719999999999</v>
      </c>
      <c r="M32">
        <v>1.677252</v>
      </c>
      <c r="N32">
        <v>1.7079949999999999</v>
      </c>
      <c r="O32">
        <v>1.7542260000000001</v>
      </c>
      <c r="P32">
        <v>1.8131809999999999</v>
      </c>
      <c r="Q32">
        <v>1.895367</v>
      </c>
      <c r="R32">
        <v>1.9919290000000001</v>
      </c>
      <c r="S32">
        <v>2.0618280000000002</v>
      </c>
      <c r="T32">
        <v>2.139459</v>
      </c>
      <c r="U32">
        <v>2.1838129999999998</v>
      </c>
      <c r="V32">
        <v>2.221956</v>
      </c>
      <c r="W32">
        <v>2.2739980000000002</v>
      </c>
      <c r="X32">
        <v>2.3136299999999999</v>
      </c>
      <c r="Y32">
        <v>2.3609049999999998</v>
      </c>
      <c r="Z32">
        <v>2.4150610000000001</v>
      </c>
      <c r="AA32">
        <v>2.471857</v>
      </c>
      <c r="AB32">
        <v>2.5265179999999998</v>
      </c>
      <c r="AC32">
        <v>2.5852919999999999</v>
      </c>
      <c r="AD32">
        <v>2.652272</v>
      </c>
      <c r="AE32" s="4">
        <v>0.93811528118788734</v>
      </c>
    </row>
    <row r="33" spans="1:31" x14ac:dyDescent="0.25">
      <c r="A33" t="s">
        <v>77</v>
      </c>
      <c r="B33" t="s">
        <v>56</v>
      </c>
      <c r="C33" t="s">
        <v>53</v>
      </c>
      <c r="D33">
        <v>3.7199559999999998</v>
      </c>
      <c r="E33">
        <v>3.803741</v>
      </c>
      <c r="F33">
        <v>3.913392</v>
      </c>
      <c r="G33">
        <v>4.0100350000000002</v>
      </c>
      <c r="H33">
        <v>4.1036419999999998</v>
      </c>
      <c r="I33">
        <v>4.1955150000000003</v>
      </c>
      <c r="J33">
        <v>4.2917149999999999</v>
      </c>
      <c r="K33">
        <v>4.3937030000000004</v>
      </c>
      <c r="L33">
        <v>4.4865240000000002</v>
      </c>
      <c r="M33">
        <v>4.5639770000000004</v>
      </c>
      <c r="N33">
        <v>4.6324050000000003</v>
      </c>
      <c r="O33">
        <v>4.696326</v>
      </c>
      <c r="P33">
        <v>4.7502449999999996</v>
      </c>
      <c r="Q33">
        <v>4.8018419999999997</v>
      </c>
      <c r="R33">
        <v>4.8640860000000004</v>
      </c>
      <c r="S33">
        <v>4.9391280000000002</v>
      </c>
      <c r="T33">
        <v>5.0286080000000002</v>
      </c>
      <c r="U33">
        <v>5.1302329999999996</v>
      </c>
      <c r="V33">
        <v>5.2378749999999998</v>
      </c>
      <c r="W33">
        <v>5.3575609999999996</v>
      </c>
      <c r="X33">
        <v>5.4874239999999999</v>
      </c>
      <c r="Y33">
        <v>5.6292609999999996</v>
      </c>
      <c r="Z33">
        <v>5.7964349999999998</v>
      </c>
      <c r="AA33">
        <v>5.9647870000000003</v>
      </c>
      <c r="AB33">
        <v>6.1309459999999998</v>
      </c>
      <c r="AC33">
        <v>6.3009750000000002</v>
      </c>
      <c r="AD33">
        <v>6.4704240000000004</v>
      </c>
      <c r="AE33" s="4">
        <v>0.73938186365645209</v>
      </c>
    </row>
    <row r="34" spans="1:31" x14ac:dyDescent="0.25">
      <c r="A34" t="s">
        <v>57</v>
      </c>
      <c r="B34" t="s">
        <v>58</v>
      </c>
      <c r="C34" t="s">
        <v>59</v>
      </c>
      <c r="D34">
        <v>4.3899569999999999</v>
      </c>
      <c r="E34">
        <v>3.3320059999999998</v>
      </c>
      <c r="F34">
        <v>4.278397</v>
      </c>
      <c r="G34">
        <v>4.8214800000000002</v>
      </c>
      <c r="H34">
        <v>2.5452409999999999</v>
      </c>
      <c r="I34">
        <v>1.8281750000000001</v>
      </c>
      <c r="J34">
        <v>1.8945620000000001</v>
      </c>
      <c r="K34">
        <v>1.644827</v>
      </c>
      <c r="L34">
        <v>1.760559</v>
      </c>
      <c r="M34">
        <v>1.7240439999999999</v>
      </c>
      <c r="N34">
        <v>1.4713609999999999</v>
      </c>
      <c r="O34">
        <v>1.3633949999999999</v>
      </c>
      <c r="P34">
        <v>1.2080550000000001</v>
      </c>
      <c r="Q34">
        <v>1.2150209999999999</v>
      </c>
      <c r="R34">
        <v>1.1713100000000001</v>
      </c>
      <c r="S34">
        <v>1.1510370000000001</v>
      </c>
      <c r="T34">
        <v>1.095796</v>
      </c>
      <c r="U34">
        <v>1.0391889999999999</v>
      </c>
      <c r="V34">
        <v>0.91876899999999995</v>
      </c>
      <c r="W34">
        <v>0.864402</v>
      </c>
      <c r="X34">
        <v>0.92769800000000002</v>
      </c>
      <c r="Y34">
        <v>0.84372199999999997</v>
      </c>
      <c r="Z34">
        <v>0.91971700000000001</v>
      </c>
      <c r="AA34">
        <v>0.93647000000000002</v>
      </c>
      <c r="AB34">
        <v>1.07124</v>
      </c>
      <c r="AC34">
        <v>1.3510009999999999</v>
      </c>
      <c r="AD34">
        <v>1.3886449999999999</v>
      </c>
      <c r="AE34" s="4" cm="1">
        <f t="array" ref="AE34:AE38">(AD34:AD38-D34:D38)/D34:D38</f>
        <v>-0.68367685606032136</v>
      </c>
    </row>
    <row r="35" spans="1:31" x14ac:dyDescent="0.25">
      <c r="A35" t="s">
        <v>57</v>
      </c>
      <c r="B35" t="s">
        <v>60</v>
      </c>
      <c r="C35" t="s">
        <v>59</v>
      </c>
      <c r="D35">
        <v>16.096506000000002</v>
      </c>
      <c r="E35">
        <v>12.217357</v>
      </c>
      <c r="F35">
        <v>15.687455</v>
      </c>
      <c r="G35">
        <v>17.678761999999999</v>
      </c>
      <c r="H35">
        <v>9.3325519999999997</v>
      </c>
      <c r="I35">
        <v>6.703309</v>
      </c>
      <c r="J35">
        <v>6.946726</v>
      </c>
      <c r="K35">
        <v>6.0310300000000003</v>
      </c>
      <c r="L35">
        <v>6.4553820000000002</v>
      </c>
      <c r="M35">
        <v>6.3214949999999996</v>
      </c>
      <c r="N35">
        <v>5.3949920000000002</v>
      </c>
      <c r="O35">
        <v>4.9991149999999998</v>
      </c>
      <c r="P35">
        <v>4.4295369999999998</v>
      </c>
      <c r="Q35">
        <v>4.4550809999999998</v>
      </c>
      <c r="R35">
        <v>4.2948050000000002</v>
      </c>
      <c r="S35">
        <v>4.2204689999999996</v>
      </c>
      <c r="T35">
        <v>4.0179179999999999</v>
      </c>
      <c r="U35">
        <v>3.8103590000000001</v>
      </c>
      <c r="V35">
        <v>3.3688189999999998</v>
      </c>
      <c r="W35">
        <v>3.169476</v>
      </c>
      <c r="X35">
        <v>3.4015590000000002</v>
      </c>
      <c r="Y35">
        <v>3.093648</v>
      </c>
      <c r="Z35">
        <v>3.3722949999999998</v>
      </c>
      <c r="AA35">
        <v>3.4337240000000002</v>
      </c>
      <c r="AB35">
        <v>3.9278810000000002</v>
      </c>
      <c r="AC35">
        <v>4.9536709999999999</v>
      </c>
      <c r="AD35">
        <v>5.0916980000000001</v>
      </c>
      <c r="AE35" s="4">
        <v>-0.68367681781375411</v>
      </c>
    </row>
    <row r="36" spans="1:31" x14ac:dyDescent="0.25">
      <c r="A36" t="s">
        <v>57</v>
      </c>
      <c r="B36" t="s">
        <v>61</v>
      </c>
      <c r="C36" t="s">
        <v>59</v>
      </c>
      <c r="D36">
        <v>1.9369999999999999E-3</v>
      </c>
      <c r="E36">
        <v>1.9629999999999999E-3</v>
      </c>
      <c r="F36">
        <v>5.3639999999999998E-3</v>
      </c>
      <c r="G36">
        <v>5.6870000000000002E-3</v>
      </c>
      <c r="H36">
        <v>9.8400000000000007E-4</v>
      </c>
      <c r="I36">
        <v>4.8000000000000001E-5</v>
      </c>
      <c r="J36">
        <v>1.8E-5</v>
      </c>
      <c r="K36">
        <v>2.0000000000000002E-5</v>
      </c>
      <c r="L36">
        <v>6.9999999999999999E-6</v>
      </c>
      <c r="M36">
        <v>7.9999999999999996E-6</v>
      </c>
      <c r="N36">
        <v>7.9999999999999996E-6</v>
      </c>
      <c r="O36">
        <v>9.0000000000000002E-6</v>
      </c>
      <c r="P36">
        <v>9.0000000000000002E-6</v>
      </c>
      <c r="Q36">
        <v>1.0000000000000001E-5</v>
      </c>
      <c r="R36">
        <v>1.1E-5</v>
      </c>
      <c r="S36">
        <v>1.22E-4</v>
      </c>
      <c r="T36">
        <v>1.2400000000000001E-4</v>
      </c>
      <c r="U36">
        <v>1.25E-4</v>
      </c>
      <c r="V36">
        <v>1.05E-4</v>
      </c>
      <c r="W36">
        <v>9.6000000000000002E-5</v>
      </c>
      <c r="X36">
        <v>1.0900000000000001E-4</v>
      </c>
      <c r="Y36">
        <v>1.0900000000000001E-4</v>
      </c>
      <c r="Z36">
        <v>1.1E-4</v>
      </c>
      <c r="AA36">
        <v>1.1E-4</v>
      </c>
      <c r="AB36">
        <v>1.1E-4</v>
      </c>
      <c r="AC36">
        <v>1.1E-4</v>
      </c>
      <c r="AD36">
        <v>9.8999999999999994E-5</v>
      </c>
      <c r="AE36" s="4">
        <v>-0.94889003613835832</v>
      </c>
    </row>
    <row r="37" spans="1:31" x14ac:dyDescent="0.25">
      <c r="A37" t="s">
        <v>57</v>
      </c>
      <c r="B37" t="s">
        <v>62</v>
      </c>
      <c r="C37" t="s">
        <v>59</v>
      </c>
      <c r="D37">
        <v>5.9459999999999999E-3</v>
      </c>
      <c r="E37">
        <v>6.0569999999999999E-3</v>
      </c>
      <c r="F37">
        <v>1.1394E-2</v>
      </c>
      <c r="G37">
        <v>1.5476999999999999E-2</v>
      </c>
      <c r="H37">
        <v>3.8600000000000001E-3</v>
      </c>
      <c r="I37">
        <v>1.0759999999999999E-3</v>
      </c>
      <c r="J37">
        <v>1.343E-3</v>
      </c>
      <c r="K37">
        <v>9.4899999999999997E-4</v>
      </c>
      <c r="L37">
        <v>8.7399999999999999E-4</v>
      </c>
      <c r="M37">
        <v>8.25E-4</v>
      </c>
      <c r="N37">
        <v>7.6400000000000003E-4</v>
      </c>
      <c r="O37">
        <v>7.0200000000000004E-4</v>
      </c>
      <c r="P37">
        <v>7.2000000000000005E-4</v>
      </c>
      <c r="Q37">
        <v>1.0660000000000001E-3</v>
      </c>
      <c r="R37">
        <v>1.242E-3</v>
      </c>
      <c r="S37">
        <v>1.586E-3</v>
      </c>
      <c r="T37">
        <v>1.428E-3</v>
      </c>
      <c r="U37">
        <v>1.3699999999999999E-3</v>
      </c>
      <c r="V37">
        <v>1.348E-3</v>
      </c>
      <c r="W37">
        <v>1.2279999999999999E-3</v>
      </c>
      <c r="X37">
        <v>1.3259999999999999E-3</v>
      </c>
      <c r="Y37">
        <v>1.2359999999999999E-3</v>
      </c>
      <c r="Z37">
        <v>1.343E-3</v>
      </c>
      <c r="AA37">
        <v>1.356E-3</v>
      </c>
      <c r="AB37">
        <v>1.534E-3</v>
      </c>
      <c r="AC37">
        <v>1.792E-3</v>
      </c>
      <c r="AD37">
        <v>1.8580000000000001E-3</v>
      </c>
      <c r="AE37" s="4">
        <v>-0.68752102253615877</v>
      </c>
    </row>
    <row r="38" spans="1:31" x14ac:dyDescent="0.25">
      <c r="A38" t="s">
        <v>57</v>
      </c>
      <c r="B38" t="s">
        <v>63</v>
      </c>
      <c r="C38" t="s">
        <v>64</v>
      </c>
      <c r="D38">
        <v>8.201E-3</v>
      </c>
      <c r="E38">
        <v>9.6810000000000004E-3</v>
      </c>
      <c r="F38">
        <v>2.4161999999999999E-2</v>
      </c>
      <c r="G38">
        <v>2.9780999999999998E-2</v>
      </c>
      <c r="H38">
        <v>5.2839999999999996E-3</v>
      </c>
      <c r="I38">
        <v>1.9999999999999999E-6</v>
      </c>
      <c r="J38">
        <v>1.9999999999999999E-6</v>
      </c>
      <c r="K38">
        <v>9.9999999999999995E-7</v>
      </c>
      <c r="L38">
        <v>9.9999999999999995E-7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s="4">
        <v>-1</v>
      </c>
    </row>
    <row r="39" spans="1:31" x14ac:dyDescent="0.25">
      <c r="A39" t="s">
        <v>70</v>
      </c>
      <c r="B39" t="s">
        <v>66</v>
      </c>
      <c r="C39" t="s">
        <v>71</v>
      </c>
      <c r="D39" cm="1">
        <f t="array" ref="D39:D42">907185*D34:D37*10^6/(D17*10^9)</f>
        <v>28.958414680746326</v>
      </c>
      <c r="E39" cm="1">
        <f t="array" ref="E39:E42">907185*E34:E37*10^6/(E17*10^9)</f>
        <v>23.432947909502982</v>
      </c>
      <c r="F39" cm="1">
        <f t="array" ref="F39:F42">907185*F34:F37*10^6/(F17*10^9)</f>
        <v>29.366431703377202</v>
      </c>
      <c r="G39" cm="1">
        <f t="array" ref="G39:G42">907185*G34:G37*10^6/(G17*10^9)</f>
        <v>31.570426707784971</v>
      </c>
      <c r="H39" cm="1">
        <f t="array" ref="H39:H42">907185*H34:H37*10^6/(H17*10^9)</f>
        <v>17.601664330467599</v>
      </c>
      <c r="I39" cm="1">
        <f t="array" ref="I39:I42">907185*I34:I37*10^6/(I17*10^9)</f>
        <v>12.999389119186722</v>
      </c>
      <c r="J39" cm="1">
        <f t="array" ref="J39:J42">907185*J34:J37*10^6/(J17*10^9)</f>
        <v>13.414593892872459</v>
      </c>
      <c r="K39" cm="1">
        <f t="array" ref="K39:K42">907185*K34:K37*10^6/(K17*10^9)</f>
        <v>11.844280520044176</v>
      </c>
      <c r="L39" cm="1">
        <f t="array" ref="L39:L42">907185*L34:L37*10^6/(L17*10^9)</f>
        <v>12.584196664945756</v>
      </c>
      <c r="M39" cm="1">
        <f t="array" ref="M39:M42">907185*M34:M37*10^6/(M17*10^9)</f>
        <v>12.356724061321259</v>
      </c>
      <c r="N39" cm="1">
        <f t="array" ref="N39:N42">907185*N34:N37*10^6/(N17*10^9)</f>
        <v>10.740951618891534</v>
      </c>
      <c r="O39" cm="1">
        <f t="array" ref="O39:O42">907185*O34:O37*10^6/(O17*10^9)</f>
        <v>10.246022140683989</v>
      </c>
      <c r="P39" cm="1">
        <f t="array" ref="P39:P42">907185*P34:P37*10^6/(P17*10^9)</f>
        <v>8.4461135572765844</v>
      </c>
      <c r="Q39" cm="1">
        <f t="array" ref="Q39:Q42">907185*Q34:Q37*10^6/(Q17*10^9)</f>
        <v>7.6503186734007773</v>
      </c>
      <c r="R39" cm="1">
        <f t="array" ref="R39:R42">907185*R34:R37*10^6/(R17*10^9)</f>
        <v>7.3008294406896574</v>
      </c>
      <c r="S39" cm="1">
        <f t="array" ref="S39:S42">907185*S34:S37*10^6/(S17*10^9)</f>
        <v>6.6590644038546145</v>
      </c>
      <c r="T39" cm="1">
        <f t="array" ref="T39:T42">907185*T34:T37*10^6/(T17*10^9)</f>
        <v>6.2414256059874305</v>
      </c>
      <c r="U39" cm="1">
        <f t="array" ref="U39:U42">907185*U34:U37*10^6/(U17*10^9)</f>
        <v>6.047835788592641</v>
      </c>
      <c r="V39" cm="1">
        <f t="array" ref="V39:V42">907185*V34:V37*10^6/(V17*10^9)</f>
        <v>5.6309763995514963</v>
      </c>
      <c r="W39" cm="1">
        <f t="array" ref="W39:W42">907185*W34:W37*10^6/(W17*10^9)</f>
        <v>5.3045521895001784</v>
      </c>
      <c r="X39" cm="1">
        <f t="array" ref="X39:X42">907185*X34:X37*10^6/(X17*10^9)</f>
        <v>5.6075375604714583</v>
      </c>
      <c r="Y39" cm="1">
        <f t="array" ref="Y39:Y42">907185*Y34:Y37*10^6/(Y17*10^9)</f>
        <v>5.1953696808277767</v>
      </c>
      <c r="Z39" cm="1">
        <f t="array" ref="Z39:Z42">907185*Z34:Z37*10^6/(Z17*10^9)</f>
        <v>5.5613392753465387</v>
      </c>
      <c r="AA39" cm="1">
        <f t="array" ref="AA39:AA42">907185*AA34:AA37*10^6/(AA17*10^9)</f>
        <v>5.6207000288533822</v>
      </c>
      <c r="AB39" cm="1">
        <f t="array" ref="AB39:AB42">907185*AB34:AB37*10^6/(AB17*10^9)</f>
        <v>6.3449737843359539</v>
      </c>
      <c r="AC39" cm="1">
        <f t="array" ref="AC39:AC42">907185*AC34:AC37*10^6/(AC17*10^9)</f>
        <v>7.7698805486456584</v>
      </c>
      <c r="AD39" cm="1">
        <f t="array" ref="AD39:AD42">907185*AD34:AD37*10^6/(AD17*10^9)</f>
        <v>7.8892025518596505</v>
      </c>
      <c r="AE39" s="4" cm="1">
        <f t="array" ref="AE39:AE43">(AD39:AD43-D39:D43)/D39:D43</f>
        <v>-0.72756787141718193</v>
      </c>
    </row>
    <row r="40" spans="1:31" x14ac:dyDescent="0.25">
      <c r="A40" t="s">
        <v>70</v>
      </c>
      <c r="B40" t="s">
        <v>67</v>
      </c>
      <c r="C40" t="s">
        <v>71</v>
      </c>
      <c r="D40">
        <v>106.18083403985993</v>
      </c>
      <c r="E40">
        <v>85.920820722652252</v>
      </c>
      <c r="F40">
        <v>107.67691166979202</v>
      </c>
      <c r="G40">
        <v>115.75824435761923</v>
      </c>
      <c r="H40">
        <v>64.539447404247397</v>
      </c>
      <c r="I40">
        <v>47.664431510739632</v>
      </c>
      <c r="J40">
        <v>49.186834833095091</v>
      </c>
      <c r="K40">
        <v>43.429011771330373</v>
      </c>
      <c r="L40">
        <v>46.14204729029295</v>
      </c>
      <c r="M40">
        <v>45.307990613941428</v>
      </c>
      <c r="N40">
        <v>39.383501435954109</v>
      </c>
      <c r="O40">
        <v>37.568747849174628</v>
      </c>
      <c r="P40">
        <v>30.969097026342546</v>
      </c>
      <c r="Q40">
        <v>28.05119365493519</v>
      </c>
      <c r="R40">
        <v>26.769718337605877</v>
      </c>
      <c r="S40">
        <v>24.416569480800256</v>
      </c>
      <c r="T40">
        <v>22.885223424759538</v>
      </c>
      <c r="U40">
        <v>22.175394011663009</v>
      </c>
      <c r="V40">
        <v>20.646909379137377</v>
      </c>
      <c r="W40">
        <v>19.450036968179464</v>
      </c>
      <c r="X40">
        <v>20.560969040204604</v>
      </c>
      <c r="Y40">
        <v>19.049692934821529</v>
      </c>
      <c r="Z40">
        <v>20.391573311741279</v>
      </c>
      <c r="AA40">
        <v>20.609237440467446</v>
      </c>
      <c r="AB40">
        <v>23.264909798916481</v>
      </c>
      <c r="AC40">
        <v>28.489565845835855</v>
      </c>
      <c r="AD40">
        <v>28.927074129744231</v>
      </c>
      <c r="AE40" s="4">
        <v>-0.72756783847746853</v>
      </c>
    </row>
    <row r="41" spans="1:31" x14ac:dyDescent="0.25">
      <c r="A41" t="s">
        <v>70</v>
      </c>
      <c r="B41" t="s">
        <v>68</v>
      </c>
      <c r="C41" t="s">
        <v>71</v>
      </c>
      <c r="D41">
        <v>1.2777448443482621E-2</v>
      </c>
      <c r="E41">
        <v>1.380516023871336E-2</v>
      </c>
      <c r="F41">
        <v>3.6817887553893501E-2</v>
      </c>
      <c r="G41">
        <v>3.7237739591821001E-2</v>
      </c>
      <c r="H41">
        <v>6.8048714055683216E-3</v>
      </c>
      <c r="I41">
        <v>3.4130795887754871E-4</v>
      </c>
      <c r="J41">
        <v>1.2745040282223765E-4</v>
      </c>
      <c r="K41">
        <v>1.4401855660253849E-4</v>
      </c>
      <c r="L41">
        <v>5.0034890426631709E-5</v>
      </c>
      <c r="M41">
        <v>5.7338323436391451E-5</v>
      </c>
      <c r="N41">
        <v>5.8400088728145074E-5</v>
      </c>
      <c r="O41">
        <v>6.7635717650538468E-5</v>
      </c>
      <c r="P41">
        <v>6.2923477834609548E-5</v>
      </c>
      <c r="Q41">
        <v>6.2964497514041143E-5</v>
      </c>
      <c r="R41">
        <v>6.8563509103129161E-5</v>
      </c>
      <c r="S41">
        <v>7.0580342532017911E-4</v>
      </c>
      <c r="T41">
        <v>7.0627815318037438E-4</v>
      </c>
      <c r="U41">
        <v>7.2747062716606921E-4</v>
      </c>
      <c r="V41">
        <v>6.4352685163834118E-4</v>
      </c>
      <c r="W41">
        <v>5.8912058300653763E-4</v>
      </c>
      <c r="X41">
        <v>6.5885837211181761E-4</v>
      </c>
      <c r="Y41">
        <v>6.7118706779037125E-4</v>
      </c>
      <c r="Z41">
        <v>6.6514734455068165E-4</v>
      </c>
      <c r="AA41">
        <v>6.6022083267362752E-4</v>
      </c>
      <c r="AB41">
        <v>6.5153197815331291E-4</v>
      </c>
      <c r="AC41">
        <v>6.3263229290801593E-4</v>
      </c>
      <c r="AD41">
        <v>5.6244112255767701E-4</v>
      </c>
      <c r="AE41" s="4">
        <v>-0.95598173414312926</v>
      </c>
    </row>
    <row r="42" spans="1:31" x14ac:dyDescent="0.25">
      <c r="A42" t="s">
        <v>70</v>
      </c>
      <c r="B42" t="s">
        <v>69</v>
      </c>
      <c r="C42" t="s">
        <v>71</v>
      </c>
      <c r="D42">
        <v>3.9222874777980206E-2</v>
      </c>
      <c r="E42">
        <v>4.2596971760512907E-2</v>
      </c>
      <c r="F42">
        <v>7.8207123562465064E-2</v>
      </c>
      <c r="G42">
        <v>0.10134139188721886</v>
      </c>
      <c r="H42">
        <v>2.6693906123469224E-2</v>
      </c>
      <c r="I42">
        <v>7.6509867448383831E-3</v>
      </c>
      <c r="J42">
        <v>9.5092161661258431E-3</v>
      </c>
      <c r="K42">
        <v>6.8336805107904498E-3</v>
      </c>
      <c r="L42">
        <v>6.2472134618394449E-3</v>
      </c>
      <c r="M42">
        <v>5.9130146043778692E-3</v>
      </c>
      <c r="N42">
        <v>5.5772084735378549E-3</v>
      </c>
      <c r="O42">
        <v>5.2755859767420008E-3</v>
      </c>
      <c r="P42">
        <v>5.0338782267687655E-3</v>
      </c>
      <c r="Q42">
        <v>6.712015434996786E-3</v>
      </c>
      <c r="R42">
        <v>7.7414434823714932E-3</v>
      </c>
      <c r="S42">
        <v>9.1754445291623282E-3</v>
      </c>
      <c r="T42">
        <v>8.1335903446901163E-3</v>
      </c>
      <c r="U42">
        <v>7.9730780737401162E-3</v>
      </c>
      <c r="V42">
        <v>8.2616590096046098E-3</v>
      </c>
      <c r="W42">
        <v>7.5358341242919603E-3</v>
      </c>
      <c r="X42">
        <v>8.0151027653235785E-3</v>
      </c>
      <c r="Y42">
        <v>7.6108918879715494E-3</v>
      </c>
      <c r="Z42">
        <v>8.1208443975596869E-3</v>
      </c>
      <c r="AA42">
        <v>8.1387222645948991E-3</v>
      </c>
      <c r="AB42">
        <v>9.0859095862471095E-3</v>
      </c>
      <c r="AC42">
        <v>1.0306155171737859E-2</v>
      </c>
      <c r="AD42">
        <v>1.0555713189011755E-2</v>
      </c>
      <c r="AE42" s="4">
        <v>-0.73087864546487158</v>
      </c>
    </row>
    <row r="43" spans="1:31" x14ac:dyDescent="0.25">
      <c r="A43" t="s">
        <v>70</v>
      </c>
      <c r="B43" t="s">
        <v>65</v>
      </c>
      <c r="C43" t="s">
        <v>71</v>
      </c>
      <c r="D43">
        <f>907185*D38/(D17*10^9)</f>
        <v>5.409801480898347E-8</v>
      </c>
      <c r="E43">
        <f>907185*E38/(E17*10^9)</f>
        <v>6.8083421431983739E-8</v>
      </c>
      <c r="F43">
        <f>907185*F38/(F17*10^9)</f>
        <v>1.6584522727016681E-7</v>
      </c>
      <c r="G43">
        <f>907185*G38/(G17*10^9)</f>
        <v>1.9500213166590841E-7</v>
      </c>
      <c r="H43">
        <f>907185*H38/(H17*10^9)</f>
        <v>3.6541606206324187E-8</v>
      </c>
      <c r="I43">
        <f>907185*I38/(I17*10^9)</f>
        <v>1.4221164953231196E-11</v>
      </c>
      <c r="J43">
        <f>907185*J38/(J17*10^9)</f>
        <v>1.4161155869137516E-11</v>
      </c>
      <c r="K43">
        <f>907185*K38/(K17*10^9)</f>
        <v>7.200927830126922E-12</v>
      </c>
      <c r="L43">
        <f>907185*L38/(L17*10^9)</f>
        <v>7.1478414895188151E-12</v>
      </c>
      <c r="M43">
        <f>907185*M38/(M17*10^9)</f>
        <v>0</v>
      </c>
      <c r="N43">
        <f>907185*N38/(N17*10^9)</f>
        <v>0</v>
      </c>
      <c r="O43">
        <f>907185*O38/(O17*10^9)</f>
        <v>0</v>
      </c>
      <c r="P43">
        <f>907185*P38/(P17*10^9)</f>
        <v>0</v>
      </c>
      <c r="Q43">
        <f>907185*Q38/(Q17*10^9)</f>
        <v>0</v>
      </c>
      <c r="R43">
        <f>907185*R38/(R17*10^9)</f>
        <v>0</v>
      </c>
      <c r="S43">
        <f>907185*S38/(S17*10^9)</f>
        <v>0</v>
      </c>
      <c r="T43">
        <f>907185*T38/(T17*10^9)</f>
        <v>0</v>
      </c>
      <c r="U43">
        <f>907185*U38/(U17*10^9)</f>
        <v>0</v>
      </c>
      <c r="V43">
        <f>907185*V38/(V17*10^9)</f>
        <v>0</v>
      </c>
      <c r="W43">
        <f>907185*W38/(W17*10^9)</f>
        <v>0</v>
      </c>
      <c r="X43">
        <f>907185*X38/(X17*10^9)</f>
        <v>0</v>
      </c>
      <c r="Y43">
        <f>907185*Y38/(Y17*10^9)</f>
        <v>0</v>
      </c>
      <c r="Z43">
        <f>907185*Z38/(Z17*10^9)</f>
        <v>0</v>
      </c>
      <c r="AA43">
        <f>907185*AA38/(AA17*10^9)</f>
        <v>0</v>
      </c>
      <c r="AB43">
        <f>907185*AB38/(AB17*10^9)</f>
        <v>0</v>
      </c>
      <c r="AC43">
        <f>907185*AC38/(AC17*10^9)</f>
        <v>0</v>
      </c>
      <c r="AD43">
        <f>907185*AD38/(AD17*10^9)</f>
        <v>0</v>
      </c>
      <c r="AE43" s="4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43"/>
  <sheetViews>
    <sheetView tabSelected="1" topLeftCell="A9" zoomScale="70" zoomScaleNormal="70" workbookViewId="0">
      <selection activeCell="B16" sqref="B16:B17"/>
    </sheetView>
  </sheetViews>
  <sheetFormatPr defaultRowHeight="15" x14ac:dyDescent="0.25"/>
  <cols>
    <col min="1" max="1" width="44.7109375" bestFit="1" customWidth="1"/>
    <col min="2" max="2" width="16.140625" bestFit="1" customWidth="1"/>
    <col min="3" max="29" width="12.7109375" bestFit="1" customWidth="1"/>
    <col min="30" max="30" width="19.42578125" bestFit="1" customWidth="1"/>
  </cols>
  <sheetData>
    <row r="1" spans="1:30" s="3" customFormat="1" ht="15.75" thickBot="1" x14ac:dyDescent="0.3">
      <c r="A1" s="3" t="s">
        <v>72</v>
      </c>
      <c r="B1" s="1" t="s">
        <v>73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</row>
    <row r="2" spans="1:30" ht="15.75" thickTop="1" x14ac:dyDescent="0.25">
      <c r="A2" t="s">
        <v>29</v>
      </c>
      <c r="B2" t="s">
        <v>30</v>
      </c>
      <c r="C2">
        <v>7.270308</v>
      </c>
      <c r="D2">
        <v>7.5962589999999999</v>
      </c>
      <c r="E2">
        <v>12.221721000000001</v>
      </c>
      <c r="F2">
        <v>10.518943</v>
      </c>
      <c r="G2">
        <v>11.370706999999999</v>
      </c>
      <c r="H2">
        <v>11.875697000000001</v>
      </c>
      <c r="I2">
        <v>10.203925999999999</v>
      </c>
      <c r="J2">
        <v>10.257294999999999</v>
      </c>
      <c r="K2">
        <v>0.84151799999999999</v>
      </c>
      <c r="L2">
        <v>0.81361399999999995</v>
      </c>
      <c r="M2">
        <v>0.34796300000000002</v>
      </c>
      <c r="N2">
        <v>0.69440299999999999</v>
      </c>
      <c r="O2">
        <v>0.35173900000000002</v>
      </c>
      <c r="P2">
        <v>0.30705500000000002</v>
      </c>
      <c r="Q2">
        <v>0.135632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 s="4" cm="1">
        <f t="array" ref="AD2:AD17">(AC2:AC17-C2:C17)/C2:C17</f>
        <v>-1</v>
      </c>
    </row>
    <row r="3" spans="1:30" x14ac:dyDescent="0.25">
      <c r="A3" t="s">
        <v>29</v>
      </c>
      <c r="B3" t="s">
        <v>32</v>
      </c>
      <c r="C3">
        <v>0.203241</v>
      </c>
      <c r="D3">
        <v>0.20310300000000001</v>
      </c>
      <c r="E3">
        <v>0.19678000000000001</v>
      </c>
      <c r="F3">
        <v>0.158806</v>
      </c>
      <c r="G3">
        <v>0.16306499999999999</v>
      </c>
      <c r="H3">
        <v>0.143985</v>
      </c>
      <c r="I3">
        <v>0.117422</v>
      </c>
      <c r="J3">
        <v>0.116758</v>
      </c>
      <c r="K3">
        <v>7.5536000000000006E-2</v>
      </c>
      <c r="L3">
        <v>7.5454999999999994E-2</v>
      </c>
      <c r="M3">
        <v>7.5454999999999994E-2</v>
      </c>
      <c r="N3">
        <v>0</v>
      </c>
      <c r="O3">
        <v>0</v>
      </c>
      <c r="P3">
        <v>5.0100000000000003E-4</v>
      </c>
      <c r="Q3">
        <v>0</v>
      </c>
      <c r="R3">
        <v>7.5100000000000004E-4</v>
      </c>
      <c r="S3">
        <v>1.426E-3</v>
      </c>
      <c r="T3">
        <v>4.1269999999999996E-3</v>
      </c>
      <c r="U3">
        <v>1.853E-3</v>
      </c>
      <c r="V3">
        <v>1.47E-3</v>
      </c>
      <c r="W3">
        <v>1.506E-3</v>
      </c>
      <c r="X3">
        <v>1.542E-3</v>
      </c>
      <c r="Y3">
        <v>1.58E-3</v>
      </c>
      <c r="Z3">
        <v>1.5759999999999999E-3</v>
      </c>
      <c r="AA3">
        <v>6.9700000000000003E-4</v>
      </c>
      <c r="AB3">
        <v>8.8699999999999998E-4</v>
      </c>
      <c r="AC3">
        <v>0</v>
      </c>
      <c r="AD3" s="4">
        <v>-1</v>
      </c>
    </row>
    <row r="4" spans="1:30" x14ac:dyDescent="0.25">
      <c r="A4" t="s">
        <v>29</v>
      </c>
      <c r="B4" t="s">
        <v>33</v>
      </c>
      <c r="C4">
        <v>54.134335</v>
      </c>
      <c r="D4">
        <v>59.126877</v>
      </c>
      <c r="E4">
        <v>45.232700000000001</v>
      </c>
      <c r="F4">
        <v>39.425136999999999</v>
      </c>
      <c r="G4">
        <v>38.182811999999998</v>
      </c>
      <c r="H4">
        <v>42.536220999999998</v>
      </c>
      <c r="I4">
        <v>40.382103000000001</v>
      </c>
      <c r="J4">
        <v>32.122711000000002</v>
      </c>
      <c r="K4">
        <v>32.460887999999997</v>
      </c>
      <c r="L4">
        <v>26.003972999999998</v>
      </c>
      <c r="M4">
        <v>18.356978999999999</v>
      </c>
      <c r="N4">
        <v>28.876754999999999</v>
      </c>
      <c r="O4">
        <v>19.610409000000001</v>
      </c>
      <c r="P4">
        <v>13.412836</v>
      </c>
      <c r="Q4">
        <v>11.657450000000001</v>
      </c>
      <c r="R4">
        <v>13.578661</v>
      </c>
      <c r="S4">
        <v>13.062427</v>
      </c>
      <c r="T4">
        <v>12.733822</v>
      </c>
      <c r="U4">
        <v>12.867429</v>
      </c>
      <c r="V4">
        <v>12.9123</v>
      </c>
      <c r="W4">
        <v>12.078619</v>
      </c>
      <c r="X4">
        <v>12.267248</v>
      </c>
      <c r="Y4">
        <v>12.036757</v>
      </c>
      <c r="Z4">
        <v>12.362887000000001</v>
      </c>
      <c r="AA4">
        <v>12.346576000000001</v>
      </c>
      <c r="AB4">
        <v>12.330363999999999</v>
      </c>
      <c r="AC4">
        <v>15.500349999999999</v>
      </c>
      <c r="AD4" s="4">
        <v>-0.71366878340705586</v>
      </c>
    </row>
    <row r="5" spans="1:30" x14ac:dyDescent="0.25">
      <c r="A5" t="s">
        <v>29</v>
      </c>
      <c r="B5" t="s">
        <v>34</v>
      </c>
      <c r="C5">
        <v>28.872747</v>
      </c>
      <c r="D5">
        <v>29.320332000000001</v>
      </c>
      <c r="E5">
        <v>29.253589999999999</v>
      </c>
      <c r="F5">
        <v>29.186851999999998</v>
      </c>
      <c r="G5">
        <v>29.186851999999998</v>
      </c>
      <c r="H5">
        <v>29.186851999999998</v>
      </c>
      <c r="I5">
        <v>29.187328000000001</v>
      </c>
      <c r="J5">
        <v>29.186851999999998</v>
      </c>
      <c r="K5">
        <v>29.186851999999998</v>
      </c>
      <c r="L5">
        <v>29.186851999999998</v>
      </c>
      <c r="M5">
        <v>29.186851999999998</v>
      </c>
      <c r="N5">
        <v>29.186851999999998</v>
      </c>
      <c r="O5">
        <v>29.186851999999998</v>
      </c>
      <c r="P5">
        <v>29.186851999999998</v>
      </c>
      <c r="Q5">
        <v>29.186851999999998</v>
      </c>
      <c r="R5">
        <v>29.186851999999998</v>
      </c>
      <c r="S5">
        <v>27.152317</v>
      </c>
      <c r="T5">
        <v>26.936060000000001</v>
      </c>
      <c r="U5">
        <v>26.811785</v>
      </c>
      <c r="V5">
        <v>25.055761</v>
      </c>
      <c r="W5">
        <v>24.189091000000001</v>
      </c>
      <c r="X5">
        <v>24.075035</v>
      </c>
      <c r="Y5">
        <v>24.298504000000001</v>
      </c>
      <c r="Z5">
        <v>24.596724999999999</v>
      </c>
      <c r="AA5">
        <v>24.735061999999999</v>
      </c>
      <c r="AB5">
        <v>25.165194</v>
      </c>
      <c r="AC5">
        <v>25.247416000000001</v>
      </c>
      <c r="AD5" s="4">
        <v>-0.12556238587204741</v>
      </c>
    </row>
    <row r="6" spans="1:30" x14ac:dyDescent="0.25">
      <c r="A6" t="s">
        <v>29</v>
      </c>
      <c r="B6" t="s">
        <v>35</v>
      </c>
      <c r="C6">
        <v>-0.40129999999999999</v>
      </c>
      <c r="D6">
        <v>-0.73051699999999997</v>
      </c>
      <c r="E6">
        <v>-0.52551499999999995</v>
      </c>
      <c r="F6">
        <v>-0.53352699999999997</v>
      </c>
      <c r="G6">
        <v>-0.56450199999999995</v>
      </c>
      <c r="H6">
        <v>-0.65792700000000004</v>
      </c>
      <c r="I6">
        <v>-0.84421199999999996</v>
      </c>
      <c r="J6">
        <v>-0.92015499999999995</v>
      </c>
      <c r="K6">
        <v>-0.99385299999999999</v>
      </c>
      <c r="L6">
        <v>-1.067634</v>
      </c>
      <c r="M6">
        <v>-1.44784</v>
      </c>
      <c r="N6">
        <v>-1.8243879999999999</v>
      </c>
      <c r="O6">
        <v>-2.145251</v>
      </c>
      <c r="P6">
        <v>-2.5585650000000002</v>
      </c>
      <c r="Q6">
        <v>-2.8329740000000001</v>
      </c>
      <c r="R6">
        <v>-2.9329890000000001</v>
      </c>
      <c r="S6">
        <v>-3.1157119999999998</v>
      </c>
      <c r="T6">
        <v>-3.096689</v>
      </c>
      <c r="U6">
        <v>-3.0245229999999999</v>
      </c>
      <c r="V6">
        <v>-3.1821359999999999</v>
      </c>
      <c r="W6">
        <v>-3.0817809999999999</v>
      </c>
      <c r="X6">
        <v>-3.1490480000000001</v>
      </c>
      <c r="Y6">
        <v>-3.1027870000000002</v>
      </c>
      <c r="Z6">
        <v>-3.2027600000000001</v>
      </c>
      <c r="AA6">
        <v>-3.3772700000000002</v>
      </c>
      <c r="AB6">
        <v>-3.4573119999999999</v>
      </c>
      <c r="AC6">
        <v>-3.7133759999999998</v>
      </c>
      <c r="AD6" s="4">
        <v>8.2533665586842755</v>
      </c>
    </row>
    <row r="7" spans="1:30" x14ac:dyDescent="0.25">
      <c r="A7" t="s">
        <v>29</v>
      </c>
      <c r="B7" t="s">
        <v>36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3.3080000000000002E-3</v>
      </c>
      <c r="T7">
        <v>4.2119999999999996E-3</v>
      </c>
      <c r="U7">
        <v>4.2459999999999998E-3</v>
      </c>
      <c r="V7">
        <v>4.3E-3</v>
      </c>
      <c r="W7">
        <v>0</v>
      </c>
      <c r="X7">
        <v>0</v>
      </c>
      <c r="Y7">
        <v>0</v>
      </c>
      <c r="Z7">
        <v>3.5079999999999998E-3</v>
      </c>
      <c r="AA7">
        <v>0</v>
      </c>
      <c r="AB7">
        <v>0</v>
      </c>
      <c r="AC7">
        <v>0</v>
      </c>
      <c r="AD7" s="4" t="e">
        <v>#DIV/0!</v>
      </c>
    </row>
    <row r="8" spans="1:30" x14ac:dyDescent="0.25">
      <c r="A8" t="s">
        <v>29</v>
      </c>
      <c r="B8" t="s">
        <v>37</v>
      </c>
      <c r="C8">
        <v>1.138843</v>
      </c>
      <c r="D8">
        <v>1.235155</v>
      </c>
      <c r="E8">
        <v>1.2835810000000001</v>
      </c>
      <c r="F8">
        <v>1.330497</v>
      </c>
      <c r="G8">
        <v>1.327191</v>
      </c>
      <c r="H8">
        <v>1.32857</v>
      </c>
      <c r="I8">
        <v>1.331769</v>
      </c>
      <c r="J8">
        <v>1.3329009999999999</v>
      </c>
      <c r="K8">
        <v>1.332962</v>
      </c>
      <c r="L8">
        <v>1.293329</v>
      </c>
      <c r="M8">
        <v>1.216772</v>
      </c>
      <c r="N8">
        <v>1.1894309999999999</v>
      </c>
      <c r="O8">
        <v>1.2039660000000001</v>
      </c>
      <c r="P8">
        <v>1.2344250000000001</v>
      </c>
      <c r="Q8">
        <v>1.2194</v>
      </c>
      <c r="R8">
        <v>1.232445</v>
      </c>
      <c r="S8">
        <v>1.2078469999999999</v>
      </c>
      <c r="T8">
        <v>1.2076530000000001</v>
      </c>
      <c r="U8">
        <v>1.1993910000000001</v>
      </c>
      <c r="V8">
        <v>1.1959439999999999</v>
      </c>
      <c r="W8">
        <v>1.1983170000000001</v>
      </c>
      <c r="X8">
        <v>1.2116039999999999</v>
      </c>
      <c r="Y8">
        <v>1.2135800000000001</v>
      </c>
      <c r="Z8">
        <v>1.213679</v>
      </c>
      <c r="AA8">
        <v>1.213106</v>
      </c>
      <c r="AB8">
        <v>1.2114609999999999</v>
      </c>
      <c r="AC8">
        <v>1.2205239999999999</v>
      </c>
      <c r="AD8" s="4">
        <v>7.172279234275479E-2</v>
      </c>
    </row>
    <row r="9" spans="1:30" x14ac:dyDescent="0.25">
      <c r="A9" t="s">
        <v>29</v>
      </c>
      <c r="B9" t="s">
        <v>38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 s="4" t="e">
        <v>#DIV/0!</v>
      </c>
    </row>
    <row r="10" spans="1:30" x14ac:dyDescent="0.25">
      <c r="A10" t="s">
        <v>29</v>
      </c>
      <c r="B10" t="s">
        <v>39</v>
      </c>
      <c r="C10">
        <v>3.8131999999999999E-2</v>
      </c>
      <c r="D10">
        <v>6.3572000000000004E-2</v>
      </c>
      <c r="E10">
        <v>5.4571000000000001E-2</v>
      </c>
      <c r="F10">
        <v>6.0664999999999997E-2</v>
      </c>
      <c r="G10">
        <v>6.9176000000000001E-2</v>
      </c>
      <c r="H10">
        <v>0.141457</v>
      </c>
      <c r="I10">
        <v>0.1608</v>
      </c>
      <c r="J10">
        <v>0.16948199999999999</v>
      </c>
      <c r="K10">
        <v>0.182916</v>
      </c>
      <c r="L10">
        <v>0.19708700000000001</v>
      </c>
      <c r="M10">
        <v>0.203876</v>
      </c>
      <c r="N10">
        <v>0.21148400000000001</v>
      </c>
      <c r="O10">
        <v>0.219448</v>
      </c>
      <c r="P10">
        <v>0.22789100000000001</v>
      </c>
      <c r="Q10">
        <v>0.21931200000000001</v>
      </c>
      <c r="R10">
        <v>0.22514700000000001</v>
      </c>
      <c r="S10">
        <v>0.21329400000000001</v>
      </c>
      <c r="T10">
        <v>0.10881200000000001</v>
      </c>
      <c r="U10">
        <v>0.114827</v>
      </c>
      <c r="V10">
        <v>5.7016999999999998E-2</v>
      </c>
      <c r="W10">
        <v>0.10707999999999999</v>
      </c>
      <c r="X10">
        <v>9.6481999999999998E-2</v>
      </c>
      <c r="Y10">
        <v>0.113162</v>
      </c>
      <c r="Z10">
        <v>0.11619500000000001</v>
      </c>
      <c r="AA10">
        <v>0.119286</v>
      </c>
      <c r="AB10">
        <v>0.17430300000000001</v>
      </c>
      <c r="AC10">
        <v>0.23408699999999999</v>
      </c>
      <c r="AD10" s="4">
        <v>5.138859750340921</v>
      </c>
    </row>
    <row r="11" spans="1:30" x14ac:dyDescent="0.25">
      <c r="A11" t="s">
        <v>29</v>
      </c>
      <c r="B11" t="s">
        <v>40</v>
      </c>
      <c r="C11">
        <v>1.1494180000000001</v>
      </c>
      <c r="D11">
        <v>1.1498139999999999</v>
      </c>
      <c r="E11">
        <v>1.1405860000000001</v>
      </c>
      <c r="F11">
        <v>1.1405860000000001</v>
      </c>
      <c r="G11">
        <v>0.55729799999999996</v>
      </c>
      <c r="H11">
        <v>0.25670999999999999</v>
      </c>
      <c r="I11">
        <v>0.25930300000000001</v>
      </c>
      <c r="J11">
        <v>0.25930300000000001</v>
      </c>
      <c r="K11">
        <v>0.25930300000000001</v>
      </c>
      <c r="L11">
        <v>0.25930300000000001</v>
      </c>
      <c r="M11">
        <v>0.25930300000000001</v>
      </c>
      <c r="N11">
        <v>0.25930300000000001</v>
      </c>
      <c r="O11">
        <v>0.25930300000000001</v>
      </c>
      <c r="P11">
        <v>0.25930300000000001</v>
      </c>
      <c r="Q11">
        <v>0.25930300000000001</v>
      </c>
      <c r="R11">
        <v>0.25670999999999999</v>
      </c>
      <c r="S11">
        <v>0.25670999999999999</v>
      </c>
      <c r="T11">
        <v>0.25670999999999999</v>
      </c>
      <c r="U11">
        <v>0.25670999999999999</v>
      </c>
      <c r="V11">
        <v>0.25670999999999999</v>
      </c>
      <c r="W11">
        <v>0.25670999999999999</v>
      </c>
      <c r="X11">
        <v>0.25670999999999999</v>
      </c>
      <c r="Y11">
        <v>0.25670999999999999</v>
      </c>
      <c r="Z11">
        <v>0.25670999999999999</v>
      </c>
      <c r="AA11">
        <v>0.25670999999999999</v>
      </c>
      <c r="AB11">
        <v>0.25670999999999999</v>
      </c>
      <c r="AC11">
        <v>0.25670999999999999</v>
      </c>
      <c r="AD11" s="4">
        <v>-0.77666088403000477</v>
      </c>
    </row>
    <row r="12" spans="1:30" x14ac:dyDescent="0.25">
      <c r="A12" t="s">
        <v>29</v>
      </c>
      <c r="B12" t="s">
        <v>41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 s="4" t="e">
        <v>#DIV/0!</v>
      </c>
    </row>
    <row r="13" spans="1:30" x14ac:dyDescent="0.25">
      <c r="A13" t="s">
        <v>29</v>
      </c>
      <c r="B13" t="s">
        <v>42</v>
      </c>
      <c r="C13">
        <v>9.3889910000000008</v>
      </c>
      <c r="D13">
        <v>10.836074999999999</v>
      </c>
      <c r="E13">
        <v>14.404415999999999</v>
      </c>
      <c r="F13">
        <v>15.095976</v>
      </c>
      <c r="G13">
        <v>15.052524</v>
      </c>
      <c r="H13">
        <v>15.078398999999999</v>
      </c>
      <c r="I13">
        <v>24.732444999999998</v>
      </c>
      <c r="J13">
        <v>39.621929000000002</v>
      </c>
      <c r="K13">
        <v>54.931365999999997</v>
      </c>
      <c r="L13">
        <v>69.392951999999994</v>
      </c>
      <c r="M13">
        <v>84.917220999999998</v>
      </c>
      <c r="N13">
        <v>94.367026999999993</v>
      </c>
      <c r="O13">
        <v>95.597076000000001</v>
      </c>
      <c r="P13">
        <v>96.172989000000001</v>
      </c>
      <c r="Q13">
        <v>93.468520999999996</v>
      </c>
      <c r="R13">
        <v>92.300590999999997</v>
      </c>
      <c r="S13">
        <v>91.868988000000002</v>
      </c>
      <c r="T13">
        <v>91.916533999999999</v>
      </c>
      <c r="U13">
        <v>91.834609999999998</v>
      </c>
      <c r="V13">
        <v>93.031516999999994</v>
      </c>
      <c r="W13">
        <v>93.122032000000004</v>
      </c>
      <c r="X13">
        <v>93.620582999999996</v>
      </c>
      <c r="Y13">
        <v>93.777313000000007</v>
      </c>
      <c r="Z13">
        <v>94.381591999999998</v>
      </c>
      <c r="AA13">
        <v>95.379799000000006</v>
      </c>
      <c r="AB13">
        <v>95.852256999999994</v>
      </c>
      <c r="AC13">
        <v>96.778091000000003</v>
      </c>
      <c r="AD13" s="4">
        <v>9.3076135657175509</v>
      </c>
    </row>
    <row r="14" spans="1:30" x14ac:dyDescent="0.25">
      <c r="A14" t="s">
        <v>29</v>
      </c>
      <c r="B14" t="s">
        <v>43</v>
      </c>
      <c r="C14">
        <v>1.5413319999999999</v>
      </c>
      <c r="D14">
        <v>1.860252</v>
      </c>
      <c r="E14">
        <v>1.9235739999999999</v>
      </c>
      <c r="F14">
        <v>1.987263</v>
      </c>
      <c r="G14">
        <v>1.9875130000000001</v>
      </c>
      <c r="H14">
        <v>1.986537</v>
      </c>
      <c r="I14">
        <v>1.987033</v>
      </c>
      <c r="J14">
        <v>1.986861</v>
      </c>
      <c r="K14">
        <v>1.986324</v>
      </c>
      <c r="L14">
        <v>1.9326179999999999</v>
      </c>
      <c r="M14">
        <v>1.778789</v>
      </c>
      <c r="N14">
        <v>1.5237849999999999</v>
      </c>
      <c r="O14">
        <v>1.5754349999999999</v>
      </c>
      <c r="P14">
        <v>1.927314</v>
      </c>
      <c r="Q14">
        <v>1.887106</v>
      </c>
      <c r="R14">
        <v>1.8433710000000001</v>
      </c>
      <c r="S14">
        <v>1.7529110000000001</v>
      </c>
      <c r="T14">
        <v>1.831752</v>
      </c>
      <c r="U14">
        <v>1.835526</v>
      </c>
      <c r="V14">
        <v>1.850724</v>
      </c>
      <c r="W14">
        <v>1.8453090000000001</v>
      </c>
      <c r="X14">
        <v>1.840498</v>
      </c>
      <c r="Y14">
        <v>1.8666720000000001</v>
      </c>
      <c r="Z14">
        <v>1.8688720000000001</v>
      </c>
      <c r="AA14">
        <v>1.8660509999999999</v>
      </c>
      <c r="AB14">
        <v>1.9044430000000001</v>
      </c>
      <c r="AC14">
        <v>1.9303699999999999</v>
      </c>
      <c r="AD14" s="4">
        <v>0.2524037650551601</v>
      </c>
    </row>
    <row r="15" spans="1:30" x14ac:dyDescent="0.25">
      <c r="A15" t="s">
        <v>29</v>
      </c>
      <c r="B15" t="s">
        <v>44</v>
      </c>
      <c r="C15">
        <v>4.7553999999999999E-2</v>
      </c>
      <c r="D15">
        <v>1.5376190000000001</v>
      </c>
      <c r="E15">
        <v>3.5559759999999998</v>
      </c>
      <c r="F15">
        <v>5.7135740000000004</v>
      </c>
      <c r="G15">
        <v>7.7527590000000002</v>
      </c>
      <c r="H15">
        <v>9.7918269999999996</v>
      </c>
      <c r="I15">
        <v>11.827112</v>
      </c>
      <c r="J15">
        <v>13.872738999999999</v>
      </c>
      <c r="K15">
        <v>15.901246</v>
      </c>
      <c r="L15">
        <v>17.540448999999999</v>
      </c>
      <c r="M15">
        <v>17.475688999999999</v>
      </c>
      <c r="N15">
        <v>15.137608999999999</v>
      </c>
      <c r="O15">
        <v>15.571616000000001</v>
      </c>
      <c r="P15">
        <v>18.213073999999999</v>
      </c>
      <c r="Q15">
        <v>17.480931999999999</v>
      </c>
      <c r="R15">
        <v>16.877745000000001</v>
      </c>
      <c r="S15">
        <v>15.944216000000001</v>
      </c>
      <c r="T15">
        <v>15.880248</v>
      </c>
      <c r="U15">
        <v>15.687003000000001</v>
      </c>
      <c r="V15">
        <v>15.761316000000001</v>
      </c>
      <c r="W15">
        <v>15.803660000000001</v>
      </c>
      <c r="X15">
        <v>15.879574</v>
      </c>
      <c r="Y15">
        <v>15.976614</v>
      </c>
      <c r="Z15">
        <v>16.035976000000002</v>
      </c>
      <c r="AA15">
        <v>16.115786</v>
      </c>
      <c r="AB15">
        <v>16.361509000000002</v>
      </c>
      <c r="AC15">
        <v>16.849867</v>
      </c>
      <c r="AD15" s="4">
        <v>353.33122345123434</v>
      </c>
    </row>
    <row r="16" spans="1:30" x14ac:dyDescent="0.25">
      <c r="A16" t="s">
        <v>29</v>
      </c>
      <c r="B16" s="5" t="s">
        <v>45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4.6049999999999997E-3</v>
      </c>
      <c r="L16">
        <v>4.6049999999999997E-3</v>
      </c>
      <c r="M16">
        <v>4.6049999999999997E-3</v>
      </c>
      <c r="N16">
        <v>4.6049999999999997E-3</v>
      </c>
      <c r="O16">
        <v>4.6049999999999997E-3</v>
      </c>
      <c r="P16">
        <v>4.6049999999999997E-3</v>
      </c>
      <c r="Q16">
        <v>4.6049999999999997E-3</v>
      </c>
      <c r="R16">
        <v>4.6049999999999997E-3</v>
      </c>
      <c r="S16">
        <v>4.6049999999999997E-3</v>
      </c>
      <c r="T16">
        <v>4.6049999999999997E-3</v>
      </c>
      <c r="U16">
        <v>4.6049999999999997E-3</v>
      </c>
      <c r="V16">
        <v>4.6049999999999997E-3</v>
      </c>
      <c r="W16">
        <v>4.6049999999999997E-3</v>
      </c>
      <c r="X16">
        <v>4.6049999999999997E-3</v>
      </c>
      <c r="Y16">
        <v>4.6049999999999997E-3</v>
      </c>
      <c r="Z16">
        <v>4.6049999999999997E-3</v>
      </c>
      <c r="AA16">
        <v>4.6049999999999997E-3</v>
      </c>
      <c r="AB16">
        <v>4.6049999999999997E-3</v>
      </c>
      <c r="AC16">
        <v>4.6049999999999997E-3</v>
      </c>
      <c r="AD16" s="4" t="e">
        <v>#DIV/0!</v>
      </c>
    </row>
    <row r="17" spans="1:30" x14ac:dyDescent="0.25">
      <c r="A17" t="s">
        <v>29</v>
      </c>
      <c r="B17" s="5" t="s">
        <v>46</v>
      </c>
      <c r="C17">
        <v>103.38359800000001</v>
      </c>
      <c r="D17">
        <v>112.19853999999999</v>
      </c>
      <c r="E17">
        <v>108.741974</v>
      </c>
      <c r="F17">
        <v>104.08477000000001</v>
      </c>
      <c r="G17">
        <v>105.085396</v>
      </c>
      <c r="H17">
        <v>111.66832700000001</v>
      </c>
      <c r="I17">
        <v>119.345024</v>
      </c>
      <c r="J17">
        <v>128.00666799999999</v>
      </c>
      <c r="K17">
        <v>136.16966199999999</v>
      </c>
      <c r="L17">
        <v>145.632599</v>
      </c>
      <c r="M17">
        <v>152.37565599999999</v>
      </c>
      <c r="N17">
        <v>169.62687700000001</v>
      </c>
      <c r="O17">
        <v>161.43519599999999</v>
      </c>
      <c r="P17">
        <v>158.38827499999999</v>
      </c>
      <c r="Q17">
        <v>152.68614199999999</v>
      </c>
      <c r="R17">
        <v>152.573883</v>
      </c>
      <c r="S17">
        <v>148.35235599999999</v>
      </c>
      <c r="T17">
        <v>147.78784200000001</v>
      </c>
      <c r="U17">
        <v>147.59345999999999</v>
      </c>
      <c r="V17">
        <v>146.949524</v>
      </c>
      <c r="W17">
        <v>145.52514600000001</v>
      </c>
      <c r="X17">
        <v>146.10484299999999</v>
      </c>
      <c r="Y17">
        <v>146.44271900000001</v>
      </c>
      <c r="Z17">
        <v>147.63958700000001</v>
      </c>
      <c r="AA17">
        <v>148.660416</v>
      </c>
      <c r="AB17">
        <v>149.80441300000001</v>
      </c>
      <c r="AC17">
        <v>154.30864</v>
      </c>
      <c r="AD17" s="4">
        <v>0.4925833786516115</v>
      </c>
    </row>
    <row r="18" spans="1:30" x14ac:dyDescent="0.25">
      <c r="A18" t="s">
        <v>74</v>
      </c>
      <c r="B18" t="s">
        <v>47</v>
      </c>
      <c r="C18">
        <v>15.368074</v>
      </c>
      <c r="D18">
        <v>14.78143</v>
      </c>
      <c r="E18">
        <v>14.246181</v>
      </c>
      <c r="F18">
        <v>14.140972</v>
      </c>
      <c r="G18">
        <v>14.313128000000001</v>
      </c>
      <c r="H18">
        <v>14.582789999999999</v>
      </c>
      <c r="I18">
        <v>15.101774000000001</v>
      </c>
      <c r="J18">
        <v>15.51351</v>
      </c>
      <c r="K18">
        <v>15.754726</v>
      </c>
      <c r="L18">
        <v>15.802747</v>
      </c>
      <c r="M18">
        <v>15.932753999999999</v>
      </c>
      <c r="N18">
        <v>16.316109000000001</v>
      </c>
      <c r="O18">
        <v>16.766622999999999</v>
      </c>
      <c r="P18">
        <v>16.212043999999999</v>
      </c>
      <c r="Q18">
        <v>15.881629</v>
      </c>
      <c r="R18">
        <v>15.952007999999999</v>
      </c>
      <c r="S18">
        <v>15.668637</v>
      </c>
      <c r="T18">
        <v>15.659630999999999</v>
      </c>
      <c r="U18">
        <v>15.662205</v>
      </c>
      <c r="V18">
        <v>15.617274999999999</v>
      </c>
      <c r="W18">
        <v>15.668226000000001</v>
      </c>
      <c r="X18">
        <v>15.917698</v>
      </c>
      <c r="Y18">
        <v>16.065799999999999</v>
      </c>
      <c r="Z18">
        <v>16.119602</v>
      </c>
      <c r="AA18">
        <v>16.209220999999999</v>
      </c>
      <c r="AB18">
        <v>16.228428000000001</v>
      </c>
      <c r="AC18">
        <v>16.350753999999998</v>
      </c>
      <c r="AD18" s="4" cm="1">
        <f t="array" ref="AD18:AD22">(AC18:AC22-C18:C22)/C18:C22</f>
        <v>6.3942950821293448E-2</v>
      </c>
    </row>
    <row r="19" spans="1:30" x14ac:dyDescent="0.25">
      <c r="A19" t="s">
        <v>74</v>
      </c>
      <c r="B19" t="s">
        <v>49</v>
      </c>
      <c r="C19">
        <v>9.6695499999999992</v>
      </c>
      <c r="D19">
        <v>9.2527640000000009</v>
      </c>
      <c r="E19">
        <v>8.9501609999999996</v>
      </c>
      <c r="F19">
        <v>8.8717500000000005</v>
      </c>
      <c r="G19">
        <v>8.8987440000000007</v>
      </c>
      <c r="H19">
        <v>8.9587210000000006</v>
      </c>
      <c r="I19">
        <v>9.1832180000000001</v>
      </c>
      <c r="J19">
        <v>9.3621359999999996</v>
      </c>
      <c r="K19">
        <v>9.4256620000000009</v>
      </c>
      <c r="L19">
        <v>9.4032099999999996</v>
      </c>
      <c r="M19">
        <v>9.3839170000000003</v>
      </c>
      <c r="N19">
        <v>9.6342219999999994</v>
      </c>
      <c r="O19">
        <v>9.7515280000000004</v>
      </c>
      <c r="P19">
        <v>9.3687819999999995</v>
      </c>
      <c r="Q19">
        <v>9.1588220000000007</v>
      </c>
      <c r="R19">
        <v>9.0932899999999997</v>
      </c>
      <c r="S19">
        <v>9.0306110000000004</v>
      </c>
      <c r="T19">
        <v>9.0140049999999992</v>
      </c>
      <c r="U19">
        <v>8.9494760000000007</v>
      </c>
      <c r="V19">
        <v>8.9275479999999998</v>
      </c>
      <c r="W19">
        <v>9.0374949999999998</v>
      </c>
      <c r="X19">
        <v>9.2215950000000007</v>
      </c>
      <c r="Y19">
        <v>9.3293560000000006</v>
      </c>
      <c r="Z19">
        <v>9.3352579999999996</v>
      </c>
      <c r="AA19">
        <v>9.3226490000000002</v>
      </c>
      <c r="AB19">
        <v>9.3656170000000003</v>
      </c>
      <c r="AC19">
        <v>9.4252579999999995</v>
      </c>
      <c r="AD19" s="4">
        <v>-2.5264050550439239E-2</v>
      </c>
    </row>
    <row r="20" spans="1:30" x14ac:dyDescent="0.25">
      <c r="A20" t="s">
        <v>74</v>
      </c>
      <c r="B20" t="s">
        <v>50</v>
      </c>
      <c r="C20">
        <v>9.5809160000000002</v>
      </c>
      <c r="D20">
        <v>9.0585079999999998</v>
      </c>
      <c r="E20">
        <v>8.6514319999999998</v>
      </c>
      <c r="F20">
        <v>8.5594380000000001</v>
      </c>
      <c r="G20">
        <v>8.4305120000000002</v>
      </c>
      <c r="H20">
        <v>8.4734750000000005</v>
      </c>
      <c r="I20">
        <v>8.7487630000000003</v>
      </c>
      <c r="J20">
        <v>8.8877459999999999</v>
      </c>
      <c r="K20">
        <v>8.9967780000000008</v>
      </c>
      <c r="L20">
        <v>9.040476</v>
      </c>
      <c r="M20">
        <v>9.2202509999999993</v>
      </c>
      <c r="N20">
        <v>10.270671999999999</v>
      </c>
      <c r="O20">
        <v>10.145258</v>
      </c>
      <c r="P20">
        <v>9.5363260000000007</v>
      </c>
      <c r="Q20">
        <v>9.3535950000000003</v>
      </c>
      <c r="R20">
        <v>9.1533569999999997</v>
      </c>
      <c r="S20">
        <v>9.5529200000000003</v>
      </c>
      <c r="T20">
        <v>9.6429080000000003</v>
      </c>
      <c r="U20">
        <v>9.4453429999999994</v>
      </c>
      <c r="V20">
        <v>9.5714290000000002</v>
      </c>
      <c r="W20">
        <v>10.122382</v>
      </c>
      <c r="X20">
        <v>10.554214</v>
      </c>
      <c r="Y20">
        <v>10.906893</v>
      </c>
      <c r="Z20">
        <v>10.905526999999999</v>
      </c>
      <c r="AA20">
        <v>10.835452999999999</v>
      </c>
      <c r="AB20">
        <v>10.871725</v>
      </c>
      <c r="AC20">
        <v>10.911414000000001</v>
      </c>
      <c r="AD20" s="4">
        <v>0.13886960286469482</v>
      </c>
    </row>
    <row r="21" spans="1:30" x14ac:dyDescent="0.25">
      <c r="A21" t="s">
        <v>74</v>
      </c>
      <c r="B21" t="s">
        <v>51</v>
      </c>
      <c r="C21">
        <v>11.871756</v>
      </c>
      <c r="D21">
        <v>11.377465000000001</v>
      </c>
      <c r="E21">
        <v>10.968605</v>
      </c>
      <c r="F21">
        <v>10.846374000000001</v>
      </c>
      <c r="G21">
        <v>10.896863</v>
      </c>
      <c r="H21">
        <v>11.004243000000001</v>
      </c>
      <c r="I21">
        <v>11.313311000000001</v>
      </c>
      <c r="J21">
        <v>11.56995</v>
      </c>
      <c r="K21">
        <v>11.660981</v>
      </c>
      <c r="L21">
        <v>11.721664000000001</v>
      </c>
      <c r="M21">
        <v>11.729183000000001</v>
      </c>
      <c r="N21">
        <v>11.968138</v>
      </c>
      <c r="O21">
        <v>12.214596999999999</v>
      </c>
      <c r="P21">
        <v>11.768737</v>
      </c>
      <c r="Q21">
        <v>11.328765000000001</v>
      </c>
      <c r="R21">
        <v>11.353092999999999</v>
      </c>
      <c r="S21">
        <v>11.183318</v>
      </c>
      <c r="T21">
        <v>11.147225000000001</v>
      </c>
      <c r="U21">
        <v>11.071051000000001</v>
      </c>
      <c r="V21">
        <v>11.014455999999999</v>
      </c>
      <c r="W21">
        <v>11.018917</v>
      </c>
      <c r="X21">
        <v>11.126802</v>
      </c>
      <c r="Y21">
        <v>11.215002999999999</v>
      </c>
      <c r="Z21">
        <v>11.209421000000001</v>
      </c>
      <c r="AA21">
        <v>11.301491</v>
      </c>
      <c r="AB21">
        <v>11.195970000000001</v>
      </c>
      <c r="AC21">
        <v>11.239139</v>
      </c>
      <c r="AD21" s="4">
        <v>-5.32875675679318E-2</v>
      </c>
    </row>
    <row r="22" spans="1:30" x14ac:dyDescent="0.25">
      <c r="A22" t="s">
        <v>74</v>
      </c>
      <c r="B22" t="s">
        <v>52</v>
      </c>
      <c r="C22">
        <v>11.804114999999999</v>
      </c>
      <c r="D22">
        <v>11.274476</v>
      </c>
      <c r="E22">
        <v>10.898156</v>
      </c>
      <c r="F22">
        <v>10.812142</v>
      </c>
      <c r="G22">
        <v>10.795106000000001</v>
      </c>
      <c r="H22">
        <v>10.833738</v>
      </c>
      <c r="I22">
        <v>11.079924</v>
      </c>
      <c r="J22">
        <v>11.252069000000001</v>
      </c>
      <c r="K22">
        <v>11.329288</v>
      </c>
      <c r="L22">
        <v>11.314014999999999</v>
      </c>
      <c r="M22">
        <v>11.348666</v>
      </c>
      <c r="N22">
        <v>11.886260999999999</v>
      </c>
      <c r="O22">
        <v>11.976492</v>
      </c>
      <c r="P22">
        <v>11.457022</v>
      </c>
      <c r="Q22">
        <v>11.215114</v>
      </c>
      <c r="R22">
        <v>11.126423000000001</v>
      </c>
      <c r="S22">
        <v>11.194312</v>
      </c>
      <c r="T22">
        <v>11.221539</v>
      </c>
      <c r="U22">
        <v>11.12501</v>
      </c>
      <c r="V22">
        <v>11.145251999999999</v>
      </c>
      <c r="W22">
        <v>11.368230000000001</v>
      </c>
      <c r="X22">
        <v>11.629177</v>
      </c>
      <c r="Y22">
        <v>11.797742</v>
      </c>
      <c r="Z22">
        <v>11.808493</v>
      </c>
      <c r="AA22">
        <v>11.807005999999999</v>
      </c>
      <c r="AB22">
        <v>11.832538</v>
      </c>
      <c r="AC22">
        <v>11.898554000000001</v>
      </c>
      <c r="AD22" s="4">
        <v>8.000515074616037E-3</v>
      </c>
    </row>
    <row r="23" spans="1:30" x14ac:dyDescent="0.25">
      <c r="A23" t="s">
        <v>75</v>
      </c>
      <c r="B23" t="s">
        <v>47</v>
      </c>
      <c r="C23">
        <v>15.368074</v>
      </c>
      <c r="D23">
        <v>15.120596000000001</v>
      </c>
      <c r="E23">
        <v>14.834187999999999</v>
      </c>
      <c r="F23">
        <v>14.978066</v>
      </c>
      <c r="G23">
        <v>15.426392</v>
      </c>
      <c r="H23">
        <v>15.951257</v>
      </c>
      <c r="I23">
        <v>16.778853999999999</v>
      </c>
      <c r="J23">
        <v>17.537642000000002</v>
      </c>
      <c r="K23">
        <v>18.122585000000001</v>
      </c>
      <c r="L23">
        <v>18.496797999999998</v>
      </c>
      <c r="M23">
        <v>18.975176000000001</v>
      </c>
      <c r="N23">
        <v>19.768097000000001</v>
      </c>
      <c r="O23">
        <v>20.662443</v>
      </c>
      <c r="P23">
        <v>20.336779</v>
      </c>
      <c r="Q23">
        <v>20.293903</v>
      </c>
      <c r="R23">
        <v>20.781883000000001</v>
      </c>
      <c r="S23">
        <v>20.837893000000001</v>
      </c>
      <c r="T23">
        <v>21.284641000000001</v>
      </c>
      <c r="U23">
        <v>21.7745</v>
      </c>
      <c r="V23">
        <v>22.223202000000001</v>
      </c>
      <c r="W23">
        <v>22.836093999999999</v>
      </c>
      <c r="X23">
        <v>23.766466000000001</v>
      </c>
      <c r="Y23">
        <v>24.575022000000001</v>
      </c>
      <c r="Z23">
        <v>25.258429</v>
      </c>
      <c r="AA23">
        <v>26.008091</v>
      </c>
      <c r="AB23">
        <v>26.656576000000001</v>
      </c>
      <c r="AC23">
        <v>27.480719000000001</v>
      </c>
      <c r="AD23" s="4" cm="1">
        <f t="array" ref="AD23:AD27">(AC23:AC27-C23:C27)/C23:C27</f>
        <v>0.7881693568107494</v>
      </c>
    </row>
    <row r="24" spans="1:30" x14ac:dyDescent="0.25">
      <c r="A24" t="s">
        <v>75</v>
      </c>
      <c r="B24" t="s">
        <v>49</v>
      </c>
      <c r="C24">
        <v>9.6695499999999992</v>
      </c>
      <c r="D24">
        <v>9.4650730000000003</v>
      </c>
      <c r="E24">
        <v>9.3195770000000007</v>
      </c>
      <c r="F24">
        <v>9.3969249999999995</v>
      </c>
      <c r="G24">
        <v>9.5908809999999995</v>
      </c>
      <c r="H24">
        <v>9.7994179999999993</v>
      </c>
      <c r="I24">
        <v>10.203032</v>
      </c>
      <c r="J24">
        <v>10.583665999999999</v>
      </c>
      <c r="K24">
        <v>10.842293</v>
      </c>
      <c r="L24">
        <v>11.006269</v>
      </c>
      <c r="M24">
        <v>11.175813</v>
      </c>
      <c r="N24">
        <v>11.672528</v>
      </c>
      <c r="O24">
        <v>12.017351</v>
      </c>
      <c r="P24">
        <v>11.752426</v>
      </c>
      <c r="Q24">
        <v>11.703348999999999</v>
      </c>
      <c r="R24">
        <v>11.846514000000001</v>
      </c>
      <c r="S24">
        <v>12.009909</v>
      </c>
      <c r="T24">
        <v>12.251877</v>
      </c>
      <c r="U24">
        <v>12.442078</v>
      </c>
      <c r="V24">
        <v>12.703798000000001</v>
      </c>
      <c r="W24">
        <v>13.171948</v>
      </c>
      <c r="X24">
        <v>13.768618999999999</v>
      </c>
      <c r="Y24">
        <v>14.270633999999999</v>
      </c>
      <c r="Z24">
        <v>14.627777999999999</v>
      </c>
      <c r="AA24">
        <v>14.958418999999999</v>
      </c>
      <c r="AB24">
        <v>15.383824000000001</v>
      </c>
      <c r="AC24">
        <v>15.841034000000001</v>
      </c>
      <c r="AD24" s="4">
        <v>0.63823900802002176</v>
      </c>
    </row>
    <row r="25" spans="1:30" x14ac:dyDescent="0.25">
      <c r="A25" t="s">
        <v>75</v>
      </c>
      <c r="B25" t="s">
        <v>50</v>
      </c>
      <c r="C25">
        <v>9.5809160000000002</v>
      </c>
      <c r="D25">
        <v>9.2663589999999996</v>
      </c>
      <c r="E25">
        <v>9.0085180000000005</v>
      </c>
      <c r="F25">
        <v>9.0661249999999995</v>
      </c>
      <c r="G25">
        <v>9.0862309999999997</v>
      </c>
      <c r="H25">
        <v>9.268637</v>
      </c>
      <c r="I25">
        <v>9.7203289999999996</v>
      </c>
      <c r="J25">
        <v>10.047378999999999</v>
      </c>
      <c r="K25">
        <v>10.348948999999999</v>
      </c>
      <c r="L25">
        <v>10.581695</v>
      </c>
      <c r="M25">
        <v>10.980893999999999</v>
      </c>
      <c r="N25">
        <v>12.443630000000001</v>
      </c>
      <c r="O25">
        <v>12.502566</v>
      </c>
      <c r="P25">
        <v>11.962599000000001</v>
      </c>
      <c r="Q25">
        <v>11.952234000000001</v>
      </c>
      <c r="R25">
        <v>11.924766999999999</v>
      </c>
      <c r="S25">
        <v>12.704533</v>
      </c>
      <c r="T25">
        <v>13.106686</v>
      </c>
      <c r="U25">
        <v>13.131460000000001</v>
      </c>
      <c r="V25">
        <v>13.620032999999999</v>
      </c>
      <c r="W25">
        <v>14.753147999999999</v>
      </c>
      <c r="X25">
        <v>15.758331999999999</v>
      </c>
      <c r="Y25">
        <v>16.683710000000001</v>
      </c>
      <c r="Z25">
        <v>17.088293</v>
      </c>
      <c r="AA25">
        <v>17.385750000000002</v>
      </c>
      <c r="AB25">
        <v>17.857735000000002</v>
      </c>
      <c r="AC25">
        <v>18.338818</v>
      </c>
      <c r="AD25" s="4">
        <v>0.91409861019551775</v>
      </c>
    </row>
    <row r="26" spans="1:30" x14ac:dyDescent="0.25">
      <c r="A26" t="s">
        <v>75</v>
      </c>
      <c r="B26" t="s">
        <v>51</v>
      </c>
      <c r="C26">
        <v>11.871756</v>
      </c>
      <c r="D26">
        <v>11.638526000000001</v>
      </c>
      <c r="E26">
        <v>11.421332</v>
      </c>
      <c r="F26">
        <v>11.488439</v>
      </c>
      <c r="G26">
        <v>11.744412000000001</v>
      </c>
      <c r="H26">
        <v>12.036894</v>
      </c>
      <c r="I26">
        <v>12.569673999999999</v>
      </c>
      <c r="J26">
        <v>13.079545</v>
      </c>
      <c r="K26">
        <v>13.41357</v>
      </c>
      <c r="L26">
        <v>13.719973</v>
      </c>
      <c r="M26">
        <v>13.968916</v>
      </c>
      <c r="N26">
        <v>14.500228</v>
      </c>
      <c r="O26">
        <v>15.052728</v>
      </c>
      <c r="P26">
        <v>14.762988</v>
      </c>
      <c r="Q26">
        <v>14.476151</v>
      </c>
      <c r="R26">
        <v>14.790528999999999</v>
      </c>
      <c r="S26">
        <v>14.872817</v>
      </c>
      <c r="T26">
        <v>15.15136</v>
      </c>
      <c r="U26">
        <v>15.391612</v>
      </c>
      <c r="V26">
        <v>15.673444</v>
      </c>
      <c r="W26">
        <v>16.059828</v>
      </c>
      <c r="X26">
        <v>16.613254999999999</v>
      </c>
      <c r="Y26">
        <v>17.155010000000001</v>
      </c>
      <c r="Z26">
        <v>17.564475999999999</v>
      </c>
      <c r="AA26">
        <v>18.133517999999999</v>
      </c>
      <c r="AB26">
        <v>18.390335</v>
      </c>
      <c r="AC26">
        <v>18.889624000000001</v>
      </c>
      <c r="AD26" s="4">
        <v>0.59113984485530213</v>
      </c>
    </row>
    <row r="27" spans="1:30" x14ac:dyDescent="0.25">
      <c r="A27" t="s">
        <v>75</v>
      </c>
      <c r="B27" t="s">
        <v>52</v>
      </c>
      <c r="C27">
        <v>11.804114999999999</v>
      </c>
      <c r="D27">
        <v>11.533175</v>
      </c>
      <c r="E27">
        <v>11.347975999999999</v>
      </c>
      <c r="F27">
        <v>11.452182000000001</v>
      </c>
      <c r="G27">
        <v>11.634741</v>
      </c>
      <c r="H27">
        <v>11.850389</v>
      </c>
      <c r="I27">
        <v>12.310370000000001</v>
      </c>
      <c r="J27">
        <v>12.720188</v>
      </c>
      <c r="K27">
        <v>13.032025000000001</v>
      </c>
      <c r="L27">
        <v>13.242827</v>
      </c>
      <c r="M27">
        <v>13.515738000000001</v>
      </c>
      <c r="N27">
        <v>14.40103</v>
      </c>
      <c r="O27">
        <v>14.759297999999999</v>
      </c>
      <c r="P27">
        <v>14.371964999999999</v>
      </c>
      <c r="Q27">
        <v>14.330925000000001</v>
      </c>
      <c r="R27">
        <v>14.495229999999999</v>
      </c>
      <c r="S27">
        <v>14.887439000000001</v>
      </c>
      <c r="T27">
        <v>15.252368000000001</v>
      </c>
      <c r="U27">
        <v>15.466631</v>
      </c>
      <c r="V27">
        <v>15.859565</v>
      </c>
      <c r="W27">
        <v>16.568943000000001</v>
      </c>
      <c r="X27">
        <v>17.363341999999999</v>
      </c>
      <c r="Y27">
        <v>18.046393999999999</v>
      </c>
      <c r="Z27">
        <v>18.503183</v>
      </c>
      <c r="AA27">
        <v>18.94463</v>
      </c>
      <c r="AB27">
        <v>19.435953000000001</v>
      </c>
      <c r="AC27">
        <v>19.997903999999998</v>
      </c>
      <c r="AD27" s="4">
        <v>0.69414682930486526</v>
      </c>
    </row>
    <row r="28" spans="1:30" x14ac:dyDescent="0.25">
      <c r="A28" t="s">
        <v>76</v>
      </c>
      <c r="B28" t="s">
        <v>54</v>
      </c>
      <c r="C28">
        <v>8.4807360000000003</v>
      </c>
      <c r="D28">
        <v>8.0606679999999997</v>
      </c>
      <c r="E28">
        <v>7.6511969999999998</v>
      </c>
      <c r="F28">
        <v>7.4758370000000003</v>
      </c>
      <c r="G28">
        <v>7.4238489999999997</v>
      </c>
      <c r="H28">
        <v>7.4492820000000002</v>
      </c>
      <c r="I28">
        <v>7.6686730000000001</v>
      </c>
      <c r="J28">
        <v>7.7646040000000003</v>
      </c>
      <c r="K28">
        <v>7.7457159999999998</v>
      </c>
      <c r="L28">
        <v>7.6181729999999996</v>
      </c>
      <c r="M28">
        <v>7.5602929999999997</v>
      </c>
      <c r="N28">
        <v>7.9371660000000004</v>
      </c>
      <c r="O28">
        <v>7.9818990000000003</v>
      </c>
      <c r="P28">
        <v>7.5118679999999998</v>
      </c>
      <c r="Q28">
        <v>7.2737670000000003</v>
      </c>
      <c r="R28">
        <v>7.2004799999999998</v>
      </c>
      <c r="S28">
        <v>7.1864939999999997</v>
      </c>
      <c r="T28">
        <v>7.1093299999999999</v>
      </c>
      <c r="U28">
        <v>7.0065</v>
      </c>
      <c r="V28">
        <v>7.0030559999999999</v>
      </c>
      <c r="W28">
        <v>7.1191240000000002</v>
      </c>
      <c r="X28">
        <v>7.278448</v>
      </c>
      <c r="Y28">
        <v>7.3703409999999998</v>
      </c>
      <c r="Z28">
        <v>7.3291269999999997</v>
      </c>
      <c r="AA28">
        <v>7.3001440000000004</v>
      </c>
      <c r="AB28">
        <v>7.2919340000000004</v>
      </c>
      <c r="AC28">
        <v>7.3204359999999999</v>
      </c>
      <c r="AD28" s="4" cm="1">
        <f t="array" ref="AD28:AD30">(AC28:AC30-C28:C30)/C28:C30</f>
        <v>-0.13681595559630677</v>
      </c>
    </row>
    <row r="29" spans="1:30" x14ac:dyDescent="0.25">
      <c r="A29" t="s">
        <v>76</v>
      </c>
      <c r="B29" t="s">
        <v>55</v>
      </c>
      <c r="C29">
        <v>1.405368</v>
      </c>
      <c r="D29">
        <v>1.383365</v>
      </c>
      <c r="E29">
        <v>1.431732</v>
      </c>
      <c r="F29">
        <v>1.4961279999999999</v>
      </c>
      <c r="G29">
        <v>1.5299119999999999</v>
      </c>
      <c r="H29">
        <v>1.5554600000000001</v>
      </c>
      <c r="I29">
        <v>1.5950390000000001</v>
      </c>
      <c r="J29">
        <v>1.6772290000000001</v>
      </c>
      <c r="K29">
        <v>1.7723279999999999</v>
      </c>
      <c r="L29">
        <v>1.873904</v>
      </c>
      <c r="M29">
        <v>1.955759</v>
      </c>
      <c r="N29">
        <v>2.0692349999999999</v>
      </c>
      <c r="O29">
        <v>2.1027179999999999</v>
      </c>
      <c r="P29">
        <v>2.06833</v>
      </c>
      <c r="Q29">
        <v>2.0602109999999998</v>
      </c>
      <c r="R29">
        <v>2.0436079999999999</v>
      </c>
      <c r="S29">
        <v>2.0793349999999999</v>
      </c>
      <c r="T29">
        <v>2.130757</v>
      </c>
      <c r="U29">
        <v>2.1247530000000001</v>
      </c>
      <c r="V29">
        <v>2.1285699999999999</v>
      </c>
      <c r="W29">
        <v>2.1809370000000001</v>
      </c>
      <c r="X29">
        <v>2.2295319999999998</v>
      </c>
      <c r="Y29">
        <v>2.2640150000000001</v>
      </c>
      <c r="Z29">
        <v>2.2852169999999998</v>
      </c>
      <c r="AA29">
        <v>2.29305</v>
      </c>
      <c r="AB29">
        <v>2.305717</v>
      </c>
      <c r="AC29">
        <v>2.3211029999999999</v>
      </c>
      <c r="AD29" s="4">
        <v>0.6515980156087231</v>
      </c>
    </row>
    <row r="30" spans="1:30" x14ac:dyDescent="0.25">
      <c r="A30" t="s">
        <v>76</v>
      </c>
      <c r="B30" t="s">
        <v>56</v>
      </c>
      <c r="C30">
        <v>1.918013</v>
      </c>
      <c r="D30">
        <v>1.830444</v>
      </c>
      <c r="E30">
        <v>1.8152269999999999</v>
      </c>
      <c r="F30">
        <v>1.8401780000000001</v>
      </c>
      <c r="G30">
        <v>1.8413440000000001</v>
      </c>
      <c r="H30">
        <v>1.828997</v>
      </c>
      <c r="I30">
        <v>1.8162130000000001</v>
      </c>
      <c r="J30">
        <v>1.810236</v>
      </c>
      <c r="K30">
        <v>1.8112459999999999</v>
      </c>
      <c r="L30">
        <v>1.8219380000000001</v>
      </c>
      <c r="M30">
        <v>1.832613</v>
      </c>
      <c r="N30">
        <v>1.879861</v>
      </c>
      <c r="O30">
        <v>1.8918740000000001</v>
      </c>
      <c r="P30">
        <v>1.876824</v>
      </c>
      <c r="Q30">
        <v>1.881135</v>
      </c>
      <c r="R30">
        <v>1.882336</v>
      </c>
      <c r="S30">
        <v>1.9284829999999999</v>
      </c>
      <c r="T30">
        <v>1.981452</v>
      </c>
      <c r="U30">
        <v>1.9937579999999999</v>
      </c>
      <c r="V30">
        <v>2.0136259999999999</v>
      </c>
      <c r="W30">
        <v>2.068168</v>
      </c>
      <c r="X30">
        <v>2.121197</v>
      </c>
      <c r="Y30">
        <v>2.163386</v>
      </c>
      <c r="Z30">
        <v>2.1941480000000002</v>
      </c>
      <c r="AA30">
        <v>2.2138110000000002</v>
      </c>
      <c r="AB30">
        <v>2.2348870000000001</v>
      </c>
      <c r="AC30">
        <v>2.257015</v>
      </c>
      <c r="AD30" s="4">
        <v>0.1767464558373692</v>
      </c>
    </row>
    <row r="31" spans="1:30" x14ac:dyDescent="0.25">
      <c r="A31" t="s">
        <v>77</v>
      </c>
      <c r="B31" t="s">
        <v>54</v>
      </c>
      <c r="C31">
        <v>8.4807360000000003</v>
      </c>
      <c r="D31">
        <v>8.2456239999999994</v>
      </c>
      <c r="E31">
        <v>7.9669990000000004</v>
      </c>
      <c r="F31">
        <v>7.9183789999999998</v>
      </c>
      <c r="G31">
        <v>8.0012699999999999</v>
      </c>
      <c r="H31">
        <v>8.1483319999999999</v>
      </c>
      <c r="I31">
        <v>8.5202930000000006</v>
      </c>
      <c r="J31">
        <v>8.7776940000000003</v>
      </c>
      <c r="K31">
        <v>8.9098590000000009</v>
      </c>
      <c r="L31">
        <v>8.9169180000000008</v>
      </c>
      <c r="M31">
        <v>9.0039610000000003</v>
      </c>
      <c r="N31">
        <v>9.6164260000000006</v>
      </c>
      <c r="O31">
        <v>9.8365390000000001</v>
      </c>
      <c r="P31">
        <v>9.4230689999999999</v>
      </c>
      <c r="Q31">
        <v>9.2945840000000004</v>
      </c>
      <c r="R31">
        <v>9.3806069999999995</v>
      </c>
      <c r="S31">
        <v>9.5573969999999999</v>
      </c>
      <c r="T31">
        <v>9.6630339999999997</v>
      </c>
      <c r="U31">
        <v>9.7408400000000004</v>
      </c>
      <c r="V31">
        <v>9.965268</v>
      </c>
      <c r="W31">
        <v>10.375965000000001</v>
      </c>
      <c r="X31">
        <v>10.867336999999999</v>
      </c>
      <c r="Y31">
        <v>11.274029000000001</v>
      </c>
      <c r="Z31">
        <v>11.484292999999999</v>
      </c>
      <c r="AA31">
        <v>11.71326</v>
      </c>
      <c r="AB31">
        <v>11.977625</v>
      </c>
      <c r="AC31">
        <v>12.303459</v>
      </c>
      <c r="AD31" s="4" cm="1">
        <f t="array" ref="AD31:AD33">(AC31:AC33-C31:C33)/C31:C33</f>
        <v>0.45075368458586612</v>
      </c>
    </row>
    <row r="32" spans="1:30" x14ac:dyDescent="0.25">
      <c r="A32" t="s">
        <v>77</v>
      </c>
      <c r="B32" t="s">
        <v>55</v>
      </c>
      <c r="C32">
        <v>1.405368</v>
      </c>
      <c r="D32">
        <v>1.4151069999999999</v>
      </c>
      <c r="E32">
        <v>1.490826</v>
      </c>
      <c r="F32">
        <v>1.5846929999999999</v>
      </c>
      <c r="G32">
        <v>1.6489069999999999</v>
      </c>
      <c r="H32">
        <v>1.7014260000000001</v>
      </c>
      <c r="I32">
        <v>1.7721709999999999</v>
      </c>
      <c r="J32">
        <v>1.896066</v>
      </c>
      <c r="K32">
        <v>2.0387</v>
      </c>
      <c r="L32">
        <v>2.1933669999999998</v>
      </c>
      <c r="M32">
        <v>2.3292190000000002</v>
      </c>
      <c r="N32">
        <v>2.5070209999999999</v>
      </c>
      <c r="O32">
        <v>2.591297</v>
      </c>
      <c r="P32">
        <v>2.5945640000000001</v>
      </c>
      <c r="Q32">
        <v>2.6325850000000002</v>
      </c>
      <c r="R32">
        <v>2.6623619999999999</v>
      </c>
      <c r="S32">
        <v>2.7653310000000002</v>
      </c>
      <c r="T32">
        <v>2.8961350000000001</v>
      </c>
      <c r="U32">
        <v>2.953954</v>
      </c>
      <c r="V32">
        <v>3.028931</v>
      </c>
      <c r="W32">
        <v>3.178668</v>
      </c>
      <c r="X32">
        <v>3.3288790000000001</v>
      </c>
      <c r="Y32">
        <v>3.4631470000000002</v>
      </c>
      <c r="Z32">
        <v>3.580794</v>
      </c>
      <c r="AA32">
        <v>3.6792549999999999</v>
      </c>
      <c r="AB32">
        <v>3.7873359999999998</v>
      </c>
      <c r="AC32">
        <v>3.9010790000000002</v>
      </c>
      <c r="AD32" s="4">
        <v>1.7758416300926163</v>
      </c>
    </row>
    <row r="33" spans="1:30" x14ac:dyDescent="0.25">
      <c r="A33" t="s">
        <v>77</v>
      </c>
      <c r="B33" t="s">
        <v>56</v>
      </c>
      <c r="C33">
        <v>1.918013</v>
      </c>
      <c r="D33">
        <v>1.872444</v>
      </c>
      <c r="E33">
        <v>1.89015</v>
      </c>
      <c r="F33">
        <v>1.9491099999999999</v>
      </c>
      <c r="G33">
        <v>1.9845619999999999</v>
      </c>
      <c r="H33">
        <v>2.000632</v>
      </c>
      <c r="I33">
        <v>2.0179070000000001</v>
      </c>
      <c r="J33">
        <v>2.0464280000000001</v>
      </c>
      <c r="K33">
        <v>2.0834670000000002</v>
      </c>
      <c r="L33">
        <v>2.1325409999999998</v>
      </c>
      <c r="M33">
        <v>2.1825580000000002</v>
      </c>
      <c r="N33">
        <v>2.2775810000000001</v>
      </c>
      <c r="O33">
        <v>2.3314620000000001</v>
      </c>
      <c r="P33">
        <v>2.3543340000000001</v>
      </c>
      <c r="Q33">
        <v>2.403756</v>
      </c>
      <c r="R33">
        <v>2.4522599999999999</v>
      </c>
      <c r="S33">
        <v>2.564711</v>
      </c>
      <c r="T33">
        <v>2.6931989999999999</v>
      </c>
      <c r="U33">
        <v>2.7718370000000001</v>
      </c>
      <c r="V33">
        <v>2.865367</v>
      </c>
      <c r="W33">
        <v>3.0143089999999999</v>
      </c>
      <c r="X33">
        <v>3.1671260000000001</v>
      </c>
      <c r="Y33">
        <v>3.3092199999999998</v>
      </c>
      <c r="Z33">
        <v>3.4380950000000001</v>
      </c>
      <c r="AA33">
        <v>3.552114</v>
      </c>
      <c r="AB33">
        <v>3.6709930000000002</v>
      </c>
      <c r="AC33">
        <v>3.7933669999999999</v>
      </c>
      <c r="AD33" s="4">
        <v>0.97775875345996088</v>
      </c>
    </row>
    <row r="34" spans="1:30" x14ac:dyDescent="0.25">
      <c r="A34" t="s">
        <v>57</v>
      </c>
      <c r="B34" t="s">
        <v>58</v>
      </c>
      <c r="C34">
        <v>8.5718730000000001</v>
      </c>
      <c r="D34">
        <v>9.2899480000000008</v>
      </c>
      <c r="E34">
        <v>8.8401209999999999</v>
      </c>
      <c r="F34">
        <v>7.705317</v>
      </c>
      <c r="G34">
        <v>7.7849440000000003</v>
      </c>
      <c r="H34">
        <v>8.4031160000000007</v>
      </c>
      <c r="I34">
        <v>7.6745020000000004</v>
      </c>
      <c r="J34">
        <v>6.7335250000000002</v>
      </c>
      <c r="K34">
        <v>4.3211149999999998</v>
      </c>
      <c r="L34">
        <v>3.5648590000000002</v>
      </c>
      <c r="M34">
        <v>2.4920819999999999</v>
      </c>
      <c r="N34">
        <v>3.8332890000000002</v>
      </c>
      <c r="O34">
        <v>2.6091899999999999</v>
      </c>
      <c r="P34">
        <v>1.849896</v>
      </c>
      <c r="Q34">
        <v>1.580759</v>
      </c>
      <c r="R34">
        <v>1.7903640000000001</v>
      </c>
      <c r="S34">
        <v>1.734661</v>
      </c>
      <c r="T34">
        <v>1.6964250000000001</v>
      </c>
      <c r="U34">
        <v>1.7160690000000001</v>
      </c>
      <c r="V34">
        <v>1.7207410000000001</v>
      </c>
      <c r="W34">
        <v>1.5754280000000001</v>
      </c>
      <c r="X34">
        <v>1.6044179999999999</v>
      </c>
      <c r="Y34">
        <v>1.5716380000000001</v>
      </c>
      <c r="Z34">
        <v>1.6181000000000001</v>
      </c>
      <c r="AA34">
        <v>1.605666</v>
      </c>
      <c r="AB34">
        <v>1.6032439999999999</v>
      </c>
      <c r="AC34">
        <v>1.989644</v>
      </c>
      <c r="AD34" s="4" cm="1">
        <f t="array" ref="AD34:AD38">(AC34:AC38-C34:C38)/C34:C38</f>
        <v>-0.76788690173081187</v>
      </c>
    </row>
    <row r="35" spans="1:30" x14ac:dyDescent="0.25">
      <c r="A35" t="s">
        <v>57</v>
      </c>
      <c r="B35" t="s">
        <v>60</v>
      </c>
      <c r="C35">
        <v>31.430202000000001</v>
      </c>
      <c r="D35">
        <v>34.063144999999999</v>
      </c>
      <c r="E35">
        <v>32.413784</v>
      </c>
      <c r="F35">
        <v>28.252831</v>
      </c>
      <c r="G35">
        <v>28.544799999999999</v>
      </c>
      <c r="H35">
        <v>30.811430000000001</v>
      </c>
      <c r="I35">
        <v>28.139842999999999</v>
      </c>
      <c r="J35">
        <v>24.689589999999999</v>
      </c>
      <c r="K35">
        <v>15.844085</v>
      </c>
      <c r="L35">
        <v>13.071151</v>
      </c>
      <c r="M35">
        <v>9.1376349999999995</v>
      </c>
      <c r="N35">
        <v>14.055398</v>
      </c>
      <c r="O35">
        <v>9.5670350000000006</v>
      </c>
      <c r="P35">
        <v>6.7829519999999999</v>
      </c>
      <c r="Q35">
        <v>5.7961130000000001</v>
      </c>
      <c r="R35">
        <v>6.564667</v>
      </c>
      <c r="S35">
        <v>6.3604240000000001</v>
      </c>
      <c r="T35">
        <v>6.220224</v>
      </c>
      <c r="U35">
        <v>6.292249</v>
      </c>
      <c r="V35">
        <v>6.3093820000000003</v>
      </c>
      <c r="W35">
        <v>5.776567</v>
      </c>
      <c r="X35">
        <v>5.8828630000000004</v>
      </c>
      <c r="Y35">
        <v>5.7626720000000002</v>
      </c>
      <c r="Z35">
        <v>5.933033</v>
      </c>
      <c r="AA35">
        <v>5.8874409999999999</v>
      </c>
      <c r="AB35">
        <v>5.8785610000000004</v>
      </c>
      <c r="AC35">
        <v>7.295363</v>
      </c>
      <c r="AD35" s="4">
        <v>-0.76788685608829366</v>
      </c>
    </row>
    <row r="36" spans="1:30" x14ac:dyDescent="0.25">
      <c r="A36" t="s">
        <v>57</v>
      </c>
      <c r="B36" t="s">
        <v>61</v>
      </c>
      <c r="C36">
        <v>6.6559999999999996E-3</v>
      </c>
      <c r="D36">
        <v>5.6759999999999996E-3</v>
      </c>
      <c r="E36">
        <v>1.0761E-2</v>
      </c>
      <c r="F36">
        <v>8.3560000000000006E-3</v>
      </c>
      <c r="G36">
        <v>8.2869999999999992E-3</v>
      </c>
      <c r="H36">
        <v>6.2440000000000004E-3</v>
      </c>
      <c r="I36">
        <v>2.0639999999999999E-3</v>
      </c>
      <c r="J36">
        <v>2.196E-3</v>
      </c>
      <c r="K36">
        <v>1.572E-3</v>
      </c>
      <c r="L36">
        <v>1.5820000000000001E-3</v>
      </c>
      <c r="M36">
        <v>7.1199999999999996E-4</v>
      </c>
      <c r="N36">
        <v>1.444E-3</v>
      </c>
      <c r="O36">
        <v>7.5299999999999998E-4</v>
      </c>
      <c r="P36">
        <v>7.0200000000000004E-4</v>
      </c>
      <c r="Q36">
        <v>3.7100000000000002E-4</v>
      </c>
      <c r="R36">
        <v>2.5799999999999998E-4</v>
      </c>
      <c r="S36">
        <v>2.5500000000000002E-4</v>
      </c>
      <c r="T36">
        <v>2.0799999999999999E-4</v>
      </c>
      <c r="U36">
        <v>2.12E-4</v>
      </c>
      <c r="V36">
        <v>1.8599999999999999E-4</v>
      </c>
      <c r="W36">
        <v>2.13E-4</v>
      </c>
      <c r="X36">
        <v>2.0799999999999999E-4</v>
      </c>
      <c r="Y36">
        <v>2.1599999999999999E-4</v>
      </c>
      <c r="Z36">
        <v>2.1699999999999999E-4</v>
      </c>
      <c r="AA36">
        <v>2.1699999999999999E-4</v>
      </c>
      <c r="AB36">
        <v>2.0900000000000001E-4</v>
      </c>
      <c r="AC36">
        <v>2.05E-4</v>
      </c>
      <c r="AD36" s="4">
        <v>-0.96920072115384615</v>
      </c>
    </row>
    <row r="37" spans="1:30" x14ac:dyDescent="0.25">
      <c r="A37" t="s">
        <v>57</v>
      </c>
      <c r="B37" t="s">
        <v>62</v>
      </c>
      <c r="C37">
        <v>9.5040000000000003E-3</v>
      </c>
      <c r="D37">
        <v>9.4859999999999996E-3</v>
      </c>
      <c r="E37">
        <v>1.1752E-2</v>
      </c>
      <c r="F37">
        <v>1.1524E-2</v>
      </c>
      <c r="G37">
        <v>1.0288E-2</v>
      </c>
      <c r="H37">
        <v>1.0258E-2</v>
      </c>
      <c r="I37">
        <v>1.051E-2</v>
      </c>
      <c r="J37">
        <v>8.0319999999999992E-3</v>
      </c>
      <c r="K37">
        <v>4.901E-3</v>
      </c>
      <c r="L37">
        <v>4.4479999999999997E-3</v>
      </c>
      <c r="M37">
        <v>3.571E-3</v>
      </c>
      <c r="N37">
        <v>4.2310000000000004E-3</v>
      </c>
      <c r="O37">
        <v>3.0799999999999998E-3</v>
      </c>
      <c r="P37">
        <v>2.614E-3</v>
      </c>
      <c r="Q37">
        <v>2.2200000000000002E-3</v>
      </c>
      <c r="R37">
        <v>2.8440000000000002E-3</v>
      </c>
      <c r="S37">
        <v>2.8189999999999999E-3</v>
      </c>
      <c r="T37">
        <v>2.8089999999999999E-3</v>
      </c>
      <c r="U37">
        <v>2.9009999999999999E-3</v>
      </c>
      <c r="V37">
        <v>2.921E-3</v>
      </c>
      <c r="W37">
        <v>2.0300000000000001E-3</v>
      </c>
      <c r="X37">
        <v>2.124E-3</v>
      </c>
      <c r="Y37">
        <v>2.1129999999999999E-3</v>
      </c>
      <c r="Z37">
        <v>2.1789999999999999E-3</v>
      </c>
      <c r="AA37">
        <v>2.088E-3</v>
      </c>
      <c r="AB37">
        <v>2.0820000000000001E-3</v>
      </c>
      <c r="AC37">
        <v>2.3E-3</v>
      </c>
      <c r="AD37" s="4">
        <v>-0.757996632996633</v>
      </c>
    </row>
    <row r="38" spans="1:30" x14ac:dyDescent="0.25">
      <c r="A38" t="s">
        <v>57</v>
      </c>
      <c r="B38" t="s">
        <v>63</v>
      </c>
      <c r="C38">
        <v>4.4318000000000003E-2</v>
      </c>
      <c r="D38">
        <v>4.4803999999999997E-2</v>
      </c>
      <c r="E38">
        <v>5.2558000000000001E-2</v>
      </c>
      <c r="F38">
        <v>4.3053000000000001E-2</v>
      </c>
      <c r="G38">
        <v>4.2134999999999999E-2</v>
      </c>
      <c r="H38">
        <v>4.3610000000000003E-2</v>
      </c>
      <c r="I38">
        <v>3.6933000000000001E-2</v>
      </c>
      <c r="J38">
        <v>3.7345999999999997E-2</v>
      </c>
      <c r="K38">
        <v>3.7030000000000001E-3</v>
      </c>
      <c r="L38">
        <v>3.6640000000000002E-3</v>
      </c>
      <c r="M38">
        <v>1.604E-3</v>
      </c>
      <c r="N38">
        <v>3.0929999999999998E-3</v>
      </c>
      <c r="O38">
        <v>1.572E-3</v>
      </c>
      <c r="P38">
        <v>1.374E-3</v>
      </c>
      <c r="Q38">
        <v>6.0700000000000001E-4</v>
      </c>
      <c r="R38">
        <v>9.9999999999999995E-7</v>
      </c>
      <c r="S38">
        <v>9.9999999999999995E-7</v>
      </c>
      <c r="T38">
        <v>3.0000000000000001E-6</v>
      </c>
      <c r="U38">
        <v>9.9999999999999995E-7</v>
      </c>
      <c r="V38">
        <v>9.9999999999999995E-7</v>
      </c>
      <c r="W38">
        <v>9.9999999999999995E-7</v>
      </c>
      <c r="X38">
        <v>9.9999999999999995E-7</v>
      </c>
      <c r="Y38">
        <v>9.9999999999999995E-7</v>
      </c>
      <c r="Z38">
        <v>9.9999999999999995E-7</v>
      </c>
      <c r="AA38">
        <v>9.9999999999999995E-7</v>
      </c>
      <c r="AB38">
        <v>9.9999999999999995E-7</v>
      </c>
      <c r="AC38">
        <v>0</v>
      </c>
      <c r="AD38" s="4">
        <v>-1</v>
      </c>
    </row>
    <row r="39" spans="1:30" x14ac:dyDescent="0.25">
      <c r="A39" t="s">
        <v>70</v>
      </c>
      <c r="B39" t="s">
        <v>66</v>
      </c>
      <c r="C39" cm="1">
        <f t="array" ref="C39:C42">907185*C34:C37*10^6/(C17*10^9)</f>
        <v>75.217682088265107</v>
      </c>
      <c r="D39" cm="1">
        <f t="array" ref="D39:D42">907185*D34:D37*10^6/(D17*10^9)</f>
        <v>75.114181310915455</v>
      </c>
      <c r="E39" cm="1">
        <f t="array" ref="E39:E42">907185*E34:E37*10^6/(E17*10^9)</f>
        <v>73.749122573266874</v>
      </c>
      <c r="F39" cm="1">
        <f t="array" ref="F39:F42">907185*F34:F37*10^6/(F17*10^9)</f>
        <v>67.158221156130722</v>
      </c>
      <c r="G39" cm="1">
        <f t="array" ref="G39:G42">907185*G34:G37*10^6/(G17*10^9)</f>
        <v>67.206145586966244</v>
      </c>
      <c r="H39" cm="1">
        <f t="array" ref="H39:H42">907185*H34:H37*10^6/(H17*10^9)</f>
        <v>68.266275615107944</v>
      </c>
      <c r="I39" cm="1">
        <f t="array" ref="I39:I42">907185*I34:I37*10^6/(I17*10^9)</f>
        <v>58.336685213369265</v>
      </c>
      <c r="J39" cm="1">
        <f t="array" ref="J39:J42">907185*J34:J37*10^6/(J17*10^9)</f>
        <v>47.720583408397147</v>
      </c>
      <c r="K39" cm="1">
        <f t="array" ref="K39:K42">907185*K34:K37*10^6/(K17*10^9)</f>
        <v>28.78798884934443</v>
      </c>
      <c r="L39" cm="1">
        <f t="array" ref="L39:L42">907185*L34:L37*10^6/(L17*10^9)</f>
        <v>22.206474608854577</v>
      </c>
      <c r="M39" cm="1">
        <f t="array" ref="M39:M42">907185*M34:M37*10^6/(M17*10^9)</f>
        <v>14.836880565554383</v>
      </c>
      <c r="N39" cm="1">
        <f t="array" ref="N39:N42">907185*N34:N37*10^6/(N17*10^9)</f>
        <v>20.500891975185041</v>
      </c>
      <c r="O39" cm="1">
        <f t="array" ref="O39:O42">907185*O34:O37*10^6/(O17*10^9)</f>
        <v>14.662341848613979</v>
      </c>
      <c r="P39" cm="1">
        <f t="array" ref="P39:P42">907185*P34:P37*10^6/(P17*10^9)</f>
        <v>10.595468021607029</v>
      </c>
      <c r="Q39" cm="1">
        <f t="array" ref="Q39:Q42">907185*Q34:Q37*10^6/(Q17*10^9)</f>
        <v>9.3920825729881887</v>
      </c>
      <c r="R39" cm="1">
        <f t="array" ref="R39:R42">907185*R34:R37*10^6/(R17*10^9)</f>
        <v>10.645277772343253</v>
      </c>
      <c r="S39" cm="1">
        <f t="array" ref="S39:S42">907185*S34:S37*10^6/(S17*10^9)</f>
        <v>10.607572954790149</v>
      </c>
      <c r="T39" cm="1">
        <f t="array" ref="T39:T42">907185*T34:T37*10^6/(T17*10^9)</f>
        <v>10.413382405468781</v>
      </c>
      <c r="U39" cm="1">
        <f t="array" ref="U39:U42">907185*U34:U37*10^6/(U17*10^9)</f>
        <v>10.54783901512303</v>
      </c>
      <c r="V39" cm="1">
        <f t="array" ref="V39:V42">907185*V34:V37*10^6/(V17*10^9)</f>
        <v>10.622902215627455</v>
      </c>
      <c r="W39" cm="1">
        <f t="array" ref="W39:W42">907185*W34:W37*10^6/(W17*10^9)</f>
        <v>9.8210150579749289</v>
      </c>
      <c r="X39" cm="1">
        <f t="array" ref="X39:X42">907185*X34:X37*10^6/(X17*10^9)</f>
        <v>9.9620513149588064</v>
      </c>
      <c r="Y39" cm="1">
        <f t="array" ref="Y39:Y42">907185*Y34:Y37*10^6/(Y17*10^9)</f>
        <v>9.7360007296095077</v>
      </c>
      <c r="Z39" cm="1">
        <f t="array" ref="Z39:Z42">907185*Z34:Z37*10^6/(Z17*10^9)</f>
        <v>9.942564039413087</v>
      </c>
      <c r="AA39" cm="1">
        <f t="array" ref="AA39:AA42">907185*AA34:AA37*10^6/(AA17*10^9)</f>
        <v>9.798412714047565</v>
      </c>
      <c r="AB39" cm="1">
        <f t="array" ref="AB39:AB42">907185*AB34:AB37*10^6/(AB17*10^9)</f>
        <v>9.7089189765057196</v>
      </c>
      <c r="AC39" cm="1">
        <f t="array" ref="AC39:AC42">907185*AC34:AC37*10^6/(AC17*10^9)</f>
        <v>11.697175168804547</v>
      </c>
      <c r="AD39" s="4" cm="1">
        <f t="array" ref="AD39:AD43">(AC39:AC43-C39:C43)/C39:C43</f>
        <v>-0.8444890238032281</v>
      </c>
    </row>
    <row r="40" spans="1:30" x14ac:dyDescent="0.25">
      <c r="A40" t="s">
        <v>70</v>
      </c>
      <c r="B40" t="s">
        <v>67</v>
      </c>
      <c r="C40">
        <v>275.79817643191336</v>
      </c>
      <c r="D40">
        <v>275.4186836729337</v>
      </c>
      <c r="E40">
        <v>270.41350783313902</v>
      </c>
      <c r="F40">
        <v>246.24682833746954</v>
      </c>
      <c r="G40">
        <v>246.42257986066875</v>
      </c>
      <c r="H40">
        <v>250.30971516704105</v>
      </c>
      <c r="I40">
        <v>213.90119685220387</v>
      </c>
      <c r="J40">
        <v>174.97546068576679</v>
      </c>
      <c r="K40">
        <v>105.55593690704029</v>
      </c>
      <c r="L40">
        <v>81.423748538162116</v>
      </c>
      <c r="M40">
        <v>54.401901360641226</v>
      </c>
      <c r="N40">
        <v>75.169963982948289</v>
      </c>
      <c r="O40">
        <v>53.761948209081993</v>
      </c>
      <c r="P40">
        <v>38.850049412559102</v>
      </c>
      <c r="Q40">
        <v>34.43761629595042</v>
      </c>
      <c r="R40">
        <v>39.032679219385145</v>
      </c>
      <c r="S40">
        <v>38.894436205920449</v>
      </c>
      <c r="T40">
        <v>38.18239601495771</v>
      </c>
      <c r="U40">
        <v>38.675385136069039</v>
      </c>
      <c r="V40">
        <v>38.950631168223453</v>
      </c>
      <c r="W40">
        <v>36.01037400020887</v>
      </c>
      <c r="X40">
        <v>36.527502860771015</v>
      </c>
      <c r="Y40">
        <v>35.698665212027372</v>
      </c>
      <c r="Z40">
        <v>36.456066096317379</v>
      </c>
      <c r="AA40">
        <v>35.927507182443243</v>
      </c>
      <c r="AB40">
        <v>35.599367561922222</v>
      </c>
      <c r="AC40">
        <v>42.889652083998669</v>
      </c>
      <c r="AD40" s="4">
        <v>-0.84448899322368476</v>
      </c>
    </row>
    <row r="41" spans="1:30" x14ac:dyDescent="0.25">
      <c r="A41" t="s">
        <v>70</v>
      </c>
      <c r="B41" t="s">
        <v>68</v>
      </c>
      <c r="C41">
        <v>5.8406009046038425E-2</v>
      </c>
      <c r="D41">
        <v>4.5893485423250606E-2</v>
      </c>
      <c r="E41">
        <v>8.9774145400376842E-2</v>
      </c>
      <c r="F41">
        <v>7.2829462562102029E-2</v>
      </c>
      <c r="G41">
        <v>7.1540312747168017E-2</v>
      </c>
      <c r="H41">
        <v>5.0725781357859878E-2</v>
      </c>
      <c r="I41">
        <v>1.5689215831905984E-2</v>
      </c>
      <c r="J41">
        <v>1.5563081916951393E-2</v>
      </c>
      <c r="K41">
        <v>1.0472926194088667E-2</v>
      </c>
      <c r="L41">
        <v>9.8547075301457752E-3</v>
      </c>
      <c r="M41">
        <v>4.2389692484736535E-3</v>
      </c>
      <c r="N41">
        <v>7.7226861872838701E-3</v>
      </c>
      <c r="O41">
        <v>4.2314831085533532E-3</v>
      </c>
      <c r="P41">
        <v>4.0207766010457533E-3</v>
      </c>
      <c r="Q41">
        <v>2.2042971981045931E-3</v>
      </c>
      <c r="R41">
        <v>1.5340353499425584E-3</v>
      </c>
      <c r="S41">
        <v>1.5593427784861063E-3</v>
      </c>
      <c r="T41">
        <v>1.2767929854473415E-3</v>
      </c>
      <c r="U41">
        <v>1.3030605827656591E-3</v>
      </c>
      <c r="V41">
        <v>1.1482610178444675E-3</v>
      </c>
      <c r="W41">
        <v>1.3278145414126574E-3</v>
      </c>
      <c r="X41">
        <v>1.2915005151471948E-3</v>
      </c>
      <c r="Y41">
        <v>1.3380792253659263E-3</v>
      </c>
      <c r="Z41">
        <v>1.3333764270147949E-3</v>
      </c>
      <c r="AA41">
        <v>1.3242203291022674E-3</v>
      </c>
      <c r="AB41">
        <v>1.2656614127916244E-3</v>
      </c>
      <c r="AC41">
        <v>1.205200985505413E-3</v>
      </c>
      <c r="AD41" s="4">
        <v>-0.97936512004175091</v>
      </c>
    </row>
    <row r="42" spans="1:30" x14ac:dyDescent="0.25">
      <c r="A42" t="s">
        <v>70</v>
      </c>
      <c r="B42" t="s">
        <v>69</v>
      </c>
      <c r="C42">
        <v>8.3397041762852939E-2</v>
      </c>
      <c r="D42">
        <v>7.669936623061227E-2</v>
      </c>
      <c r="E42">
        <v>9.804160921338434E-2</v>
      </c>
      <c r="F42">
        <v>0.10044120710455526</v>
      </c>
      <c r="G42">
        <v>8.8814617780000563E-2</v>
      </c>
      <c r="H42">
        <v>8.3335212230769784E-2</v>
      </c>
      <c r="I42">
        <v>7.9890338368862363E-2</v>
      </c>
      <c r="J42">
        <v>5.6922893423020746E-2</v>
      </c>
      <c r="K42">
        <v>3.265127943844056E-2</v>
      </c>
      <c r="L42">
        <v>2.7707799680207586E-2</v>
      </c>
      <c r="M42">
        <v>2.1260335935813789E-2</v>
      </c>
      <c r="N42">
        <v>2.2627898378392006E-2</v>
      </c>
      <c r="O42">
        <v>1.7308058398863652E-2</v>
      </c>
      <c r="P42">
        <v>1.4971951616999428E-2</v>
      </c>
      <c r="Q42">
        <v>1.3190134177337456E-2</v>
      </c>
      <c r="R42">
        <v>1.6910064090064483E-2</v>
      </c>
      <c r="S42">
        <v>1.7238381539420918E-2</v>
      </c>
      <c r="T42">
        <v>1.7242843731353756E-2</v>
      </c>
      <c r="U42">
        <v>1.7831031842467818E-2</v>
      </c>
      <c r="V42">
        <v>1.8032636737224137E-2</v>
      </c>
      <c r="W42">
        <v>1.2654758305482133E-2</v>
      </c>
      <c r="X42">
        <v>1.3188207183522314E-2</v>
      </c>
      <c r="Y42">
        <v>1.3089636125917603E-2</v>
      </c>
      <c r="Z42">
        <v>1.3389065596614003E-2</v>
      </c>
      <c r="AA42">
        <v>1.2741806668965598E-2</v>
      </c>
      <c r="AB42">
        <v>1.2608167758048624E-2</v>
      </c>
      <c r="AC42">
        <v>1.3521767154450973E-2</v>
      </c>
      <c r="AD42" s="4">
        <v>-0.83786274826268603</v>
      </c>
    </row>
    <row r="43" spans="1:30" x14ac:dyDescent="0.25">
      <c r="A43" t="s">
        <v>70</v>
      </c>
      <c r="B43" t="s">
        <v>65</v>
      </c>
      <c r="C43">
        <f>907185*C38/(C17*10^9)</f>
        <v>3.8888784689037425E-7</v>
      </c>
      <c r="D43">
        <f>907185*D38/(D17*10^9)</f>
        <v>3.6226422144174068E-7</v>
      </c>
      <c r="E43">
        <f>907185*E38/(E17*10^9)</f>
        <v>4.3846757122507271E-7</v>
      </c>
      <c r="F43">
        <f>907185*F38/(F17*10^9)</f>
        <v>3.7524256243252493E-7</v>
      </c>
      <c r="G43">
        <f>907185*G38/(G17*10^9)</f>
        <v>3.6374454900469705E-7</v>
      </c>
      <c r="H43">
        <f>907185*H38/(H17*10^9)</f>
        <v>3.5428432495455942E-7</v>
      </c>
      <c r="I43">
        <f>907185*I38/(I17*10^9)</f>
        <v>2.8074118620144569E-7</v>
      </c>
      <c r="J43">
        <f>907185*J38/(J17*10^9)</f>
        <v>2.6467161077890097E-7</v>
      </c>
      <c r="K43">
        <f>907185*K38/(K17*10^9)</f>
        <v>2.4670003623861537E-8</v>
      </c>
      <c r="L43">
        <f>907185*L38/(L17*10^9)</f>
        <v>2.2824050815710571E-8</v>
      </c>
      <c r="M43">
        <f>907185*M38/(M17*10^9)</f>
        <v>9.5495880260558159E-9</v>
      </c>
      <c r="N43">
        <f>907185*N38/(N17*10^9)</f>
        <v>1.654173710337189E-8</v>
      </c>
      <c r="O43">
        <f>907185*O38/(O17*10^9)</f>
        <v>8.8338531827966445E-9</v>
      </c>
      <c r="P43">
        <f>907185*P38/(P17*10^9)</f>
        <v>7.8697251422177553E-9</v>
      </c>
      <c r="Q43">
        <f>907185*Q38/(Q17*10^9)</f>
        <v>3.606491642181908E-9</v>
      </c>
      <c r="R43">
        <f>907185*R38/(R17*10^9)</f>
        <v>5.9458734493897616E-12</v>
      </c>
      <c r="S43">
        <f>907185*S38/(S17*10^9)</f>
        <v>6.1150697195533577E-12</v>
      </c>
      <c r="T43">
        <f>907185*T38/(T17*10^9)</f>
        <v>1.8415283443952039E-11</v>
      </c>
      <c r="U43">
        <f>907185*U38/(U17*10^9)</f>
        <v>6.146512182856882E-12</v>
      </c>
      <c r="V43">
        <f>907185*V38/(V17*10^9)</f>
        <v>6.1734463324971366E-12</v>
      </c>
      <c r="W43">
        <f>907185*W38/(W17*10^9)</f>
        <v>6.2338710864444002E-12</v>
      </c>
      <c r="X43">
        <f>907185*X38/(X17*10^9)</f>
        <v>6.2091370920538202E-12</v>
      </c>
      <c r="Y43">
        <f>907185*Y38/(Y17*10^9)</f>
        <v>6.1948112285459539E-12</v>
      </c>
      <c r="Z43">
        <f>907185*Z38/(Z17*10^9)</f>
        <v>6.1445918295612674E-12</v>
      </c>
      <c r="AA43">
        <f>907185*AA38/(AA17*10^9)</f>
        <v>6.1023978299643663E-12</v>
      </c>
      <c r="AB43">
        <f>907185*AB38/(AB17*10^9)</f>
        <v>6.0557962334527482E-12</v>
      </c>
      <c r="AC43">
        <f>907185*AC38/(AC17*10^9)</f>
        <v>0</v>
      </c>
      <c r="AD43" s="4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43"/>
  <sheetViews>
    <sheetView tabSelected="1" zoomScale="70" zoomScaleNormal="70" workbookViewId="0">
      <selection activeCell="B16" sqref="B16:B17"/>
    </sheetView>
  </sheetViews>
  <sheetFormatPr defaultRowHeight="15" x14ac:dyDescent="0.25"/>
  <cols>
    <col min="1" max="1" width="44.7109375" bestFit="1" customWidth="1"/>
    <col min="2" max="2" width="16.140625" bestFit="1" customWidth="1"/>
    <col min="3" max="29" width="12.7109375" bestFit="1" customWidth="1"/>
    <col min="30" max="30" width="19.42578125" bestFit="1" customWidth="1"/>
  </cols>
  <sheetData>
    <row r="1" spans="1:30" s="3" customFormat="1" ht="15.75" thickBot="1" x14ac:dyDescent="0.3">
      <c r="A1" s="3" t="s">
        <v>72</v>
      </c>
      <c r="B1" s="1" t="s">
        <v>73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</row>
    <row r="2" spans="1:30" ht="15.75" thickTop="1" x14ac:dyDescent="0.25">
      <c r="A2" t="s">
        <v>29</v>
      </c>
      <c r="B2" t="s">
        <v>30</v>
      </c>
      <c r="C2">
        <v>11.82086</v>
      </c>
      <c r="D2">
        <v>17.573143000000002</v>
      </c>
      <c r="E2">
        <v>23.726148999999999</v>
      </c>
      <c r="F2">
        <v>17.673393000000001</v>
      </c>
      <c r="G2">
        <v>18.144545000000001</v>
      </c>
      <c r="H2">
        <v>19.467404999999999</v>
      </c>
      <c r="I2">
        <v>16.461727</v>
      </c>
      <c r="J2">
        <v>15.940917000000001</v>
      </c>
      <c r="K2">
        <v>1.1090059999999999</v>
      </c>
      <c r="L2">
        <v>0.46967799999999998</v>
      </c>
      <c r="M2">
        <v>0.14940100000000001</v>
      </c>
      <c r="N2">
        <v>6.2811000000000006E-2</v>
      </c>
      <c r="O2">
        <v>6.2811000000000006E-2</v>
      </c>
      <c r="P2">
        <v>6.2811000000000006E-2</v>
      </c>
      <c r="Q2">
        <v>6.2811000000000006E-2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 s="4" cm="1">
        <f t="array" ref="AD2:AD17">(AC2:AC17-C2:C17)/C2:C17</f>
        <v>-1</v>
      </c>
    </row>
    <row r="3" spans="1:30" x14ac:dyDescent="0.25">
      <c r="A3" t="s">
        <v>29</v>
      </c>
      <c r="B3" t="s">
        <v>32</v>
      </c>
      <c r="C3">
        <v>6.8973000000000007E-2</v>
      </c>
      <c r="D3">
        <v>9.3312999999999993E-2</v>
      </c>
      <c r="E3">
        <v>0.12032900000000001</v>
      </c>
      <c r="F3">
        <v>8.7081000000000006E-2</v>
      </c>
      <c r="G3">
        <v>8.9010000000000006E-2</v>
      </c>
      <c r="H3">
        <v>9.2234999999999998E-2</v>
      </c>
      <c r="I3">
        <v>7.7646999999999994E-2</v>
      </c>
      <c r="J3">
        <v>7.4119000000000004E-2</v>
      </c>
      <c r="K3">
        <v>1.2377000000000001E-2</v>
      </c>
      <c r="L3">
        <v>1.234E-2</v>
      </c>
      <c r="M3">
        <v>1.2373E-2</v>
      </c>
      <c r="N3">
        <v>1.234E-2</v>
      </c>
      <c r="O3">
        <v>1.234E-2</v>
      </c>
      <c r="P3">
        <v>1.234E-2</v>
      </c>
      <c r="Q3">
        <v>1.234E-2</v>
      </c>
      <c r="R3">
        <v>1.2377000000000001E-2</v>
      </c>
      <c r="S3">
        <v>1.234E-2</v>
      </c>
      <c r="T3">
        <v>1.2342000000000001E-2</v>
      </c>
      <c r="U3">
        <v>1.234E-2</v>
      </c>
      <c r="V3">
        <v>1.234E-2</v>
      </c>
      <c r="W3">
        <v>1.234E-2</v>
      </c>
      <c r="X3">
        <v>1.234E-2</v>
      </c>
      <c r="Y3">
        <v>1.234E-2</v>
      </c>
      <c r="Z3">
        <v>1.234E-2</v>
      </c>
      <c r="AA3">
        <v>1.234E-2</v>
      </c>
      <c r="AB3">
        <v>1.234E-2</v>
      </c>
      <c r="AC3">
        <v>1.234E-2</v>
      </c>
      <c r="AD3" s="4">
        <v>-0.82108941179881978</v>
      </c>
    </row>
    <row r="4" spans="1:30" x14ac:dyDescent="0.25">
      <c r="A4" t="s">
        <v>29</v>
      </c>
      <c r="B4" t="s">
        <v>33</v>
      </c>
      <c r="C4">
        <v>183.636719</v>
      </c>
      <c r="D4">
        <v>179.111816</v>
      </c>
      <c r="E4">
        <v>153.01435900000001</v>
      </c>
      <c r="F4">
        <v>154.94511399999999</v>
      </c>
      <c r="G4">
        <v>149.499008</v>
      </c>
      <c r="H4">
        <v>154.292374</v>
      </c>
      <c r="I4">
        <v>142.94754</v>
      </c>
      <c r="J4">
        <v>121.59728200000001</v>
      </c>
      <c r="K4">
        <v>114.607742</v>
      </c>
      <c r="L4">
        <v>107.848236</v>
      </c>
      <c r="M4">
        <v>91.322333999999998</v>
      </c>
      <c r="N4">
        <v>87.015204999999995</v>
      </c>
      <c r="O4">
        <v>73.435706999999994</v>
      </c>
      <c r="P4">
        <v>48.417228999999999</v>
      </c>
      <c r="Q4">
        <v>42.113067999999998</v>
      </c>
      <c r="R4">
        <v>45.786797</v>
      </c>
      <c r="S4">
        <v>43.512718</v>
      </c>
      <c r="T4">
        <v>39.588760000000001</v>
      </c>
      <c r="U4">
        <v>32.210472000000003</v>
      </c>
      <c r="V4">
        <v>34.722828</v>
      </c>
      <c r="W4">
        <v>36.722724999999997</v>
      </c>
      <c r="X4">
        <v>33.024814999999997</v>
      </c>
      <c r="Y4">
        <v>31.957014000000001</v>
      </c>
      <c r="Z4">
        <v>33.742621999999997</v>
      </c>
      <c r="AA4">
        <v>35.006981000000003</v>
      </c>
      <c r="AB4">
        <v>33.986111000000001</v>
      </c>
      <c r="AC4">
        <v>34.649109000000003</v>
      </c>
      <c r="AD4" s="4">
        <v>-0.81131709829775378</v>
      </c>
    </row>
    <row r="5" spans="1:30" x14ac:dyDescent="0.25">
      <c r="A5" t="s">
        <v>29</v>
      </c>
      <c r="B5" t="s">
        <v>34</v>
      </c>
      <c r="C5">
        <v>102.886703</v>
      </c>
      <c r="D5">
        <v>104.481628</v>
      </c>
      <c r="E5">
        <v>104.243774</v>
      </c>
      <c r="F5">
        <v>104.006485</v>
      </c>
      <c r="G5">
        <v>104.00696600000001</v>
      </c>
      <c r="H5">
        <v>104.007454</v>
      </c>
      <c r="I5">
        <v>104.008438</v>
      </c>
      <c r="J5">
        <v>104.005966</v>
      </c>
      <c r="K5">
        <v>104.005966</v>
      </c>
      <c r="L5">
        <v>104.005966</v>
      </c>
      <c r="M5">
        <v>104.005966</v>
      </c>
      <c r="N5">
        <v>104.005966</v>
      </c>
      <c r="O5">
        <v>104.005966</v>
      </c>
      <c r="P5">
        <v>98.341933999999995</v>
      </c>
      <c r="Q5">
        <v>88.112922999999995</v>
      </c>
      <c r="R5">
        <v>89.700500000000005</v>
      </c>
      <c r="S5">
        <v>86.130165000000005</v>
      </c>
      <c r="T5">
        <v>75.103393999999994</v>
      </c>
      <c r="U5">
        <v>72.170638999999994</v>
      </c>
      <c r="V5">
        <v>78.108222999999995</v>
      </c>
      <c r="W5">
        <v>75.254608000000005</v>
      </c>
      <c r="X5">
        <v>75.880134999999996</v>
      </c>
      <c r="Y5">
        <v>76.762146000000001</v>
      </c>
      <c r="Z5">
        <v>79.741989000000004</v>
      </c>
      <c r="AA5">
        <v>83.873856000000004</v>
      </c>
      <c r="AB5">
        <v>83.069969</v>
      </c>
      <c r="AC5">
        <v>82.878555000000006</v>
      </c>
      <c r="AD5" s="4">
        <v>-0.19446777296382015</v>
      </c>
    </row>
    <row r="6" spans="1:30" x14ac:dyDescent="0.25">
      <c r="A6" t="s">
        <v>29</v>
      </c>
      <c r="B6" t="s">
        <v>35</v>
      </c>
      <c r="C6">
        <v>0.73915600000000004</v>
      </c>
      <c r="D6">
        <v>0.64322299999999999</v>
      </c>
      <c r="E6">
        <v>0.54091599999999995</v>
      </c>
      <c r="F6">
        <v>0.48752899999999999</v>
      </c>
      <c r="G6">
        <v>0.45023299999999999</v>
      </c>
      <c r="H6">
        <v>0.36172199999999999</v>
      </c>
      <c r="I6">
        <v>0.19111</v>
      </c>
      <c r="J6">
        <v>6.2247999999999998E-2</v>
      </c>
      <c r="K6">
        <v>-0.477356</v>
      </c>
      <c r="L6">
        <v>-0.63644400000000001</v>
      </c>
      <c r="M6">
        <v>-0.63620600000000005</v>
      </c>
      <c r="N6">
        <v>-0.63649299999999998</v>
      </c>
      <c r="O6">
        <v>-0.637853</v>
      </c>
      <c r="P6">
        <v>-1.4768019999999999</v>
      </c>
      <c r="Q6">
        <v>-2.3109670000000002</v>
      </c>
      <c r="R6">
        <v>-3.1449150000000001</v>
      </c>
      <c r="S6">
        <v>-3.9740510000000002</v>
      </c>
      <c r="T6">
        <v>-4.5372500000000002</v>
      </c>
      <c r="U6">
        <v>-4.5404520000000002</v>
      </c>
      <c r="V6">
        <v>-4.5525359999999999</v>
      </c>
      <c r="W6">
        <v>-4.9222530000000004</v>
      </c>
      <c r="X6">
        <v>-5.3881389999999998</v>
      </c>
      <c r="Y6">
        <v>-5.6265130000000001</v>
      </c>
      <c r="Z6">
        <v>-5.8580540000000001</v>
      </c>
      <c r="AA6">
        <v>-5.8474589999999997</v>
      </c>
      <c r="AB6">
        <v>-6.0143810000000002</v>
      </c>
      <c r="AC6">
        <v>-6.9914459999999998</v>
      </c>
      <c r="AD6" s="4">
        <v>-10.458688017143878</v>
      </c>
    </row>
    <row r="7" spans="1:30" x14ac:dyDescent="0.25">
      <c r="A7" t="s">
        <v>29</v>
      </c>
      <c r="B7" t="s">
        <v>36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 s="4" t="e">
        <v>#DIV/0!</v>
      </c>
    </row>
    <row r="8" spans="1:30" x14ac:dyDescent="0.25">
      <c r="A8" t="s">
        <v>29</v>
      </c>
      <c r="B8" t="s">
        <v>37</v>
      </c>
      <c r="C8">
        <v>4.5109950000000003</v>
      </c>
      <c r="D8">
        <v>4.899349</v>
      </c>
      <c r="E8">
        <v>5.0910840000000004</v>
      </c>
      <c r="F8">
        <v>5.2801660000000004</v>
      </c>
      <c r="G8">
        <v>5.2800760000000002</v>
      </c>
      <c r="H8">
        <v>5.2814079999999999</v>
      </c>
      <c r="I8">
        <v>5.2809910000000002</v>
      </c>
      <c r="J8">
        <v>5.282019</v>
      </c>
      <c r="K8">
        <v>5.282756</v>
      </c>
      <c r="L8">
        <v>5.2816179999999999</v>
      </c>
      <c r="M8">
        <v>5.2805489999999997</v>
      </c>
      <c r="N8">
        <v>5.2852009999999998</v>
      </c>
      <c r="O8">
        <v>5.2831299999999999</v>
      </c>
      <c r="P8">
        <v>5.2087310000000002</v>
      </c>
      <c r="Q8">
        <v>4.9077320000000002</v>
      </c>
      <c r="R8">
        <v>4.8900050000000004</v>
      </c>
      <c r="S8">
        <v>4.7115960000000001</v>
      </c>
      <c r="T8">
        <v>4.3414859999999997</v>
      </c>
      <c r="U8">
        <v>4.436674</v>
      </c>
      <c r="V8">
        <v>3.8913880000000001</v>
      </c>
      <c r="W8">
        <v>4.4550609999999997</v>
      </c>
      <c r="X8">
        <v>4.217803</v>
      </c>
      <c r="Y8">
        <v>4.2662040000000001</v>
      </c>
      <c r="Z8">
        <v>4.279528</v>
      </c>
      <c r="AA8">
        <v>4.3026220000000004</v>
      </c>
      <c r="AB8">
        <v>4.304271</v>
      </c>
      <c r="AC8">
        <v>4.2330059999999996</v>
      </c>
      <c r="AD8" s="4">
        <v>-6.1624763494528521E-2</v>
      </c>
    </row>
    <row r="9" spans="1:30" x14ac:dyDescent="0.25">
      <c r="A9" t="s">
        <v>29</v>
      </c>
      <c r="B9" t="s">
        <v>38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 s="4" t="e">
        <v>#DIV/0!</v>
      </c>
    </row>
    <row r="10" spans="1:30" x14ac:dyDescent="0.25">
      <c r="A10" t="s">
        <v>29</v>
      </c>
      <c r="B10" t="s">
        <v>39</v>
      </c>
      <c r="C10">
        <v>1.4406540000000001</v>
      </c>
      <c r="D10">
        <v>1.403872</v>
      </c>
      <c r="E10">
        <v>1.5763659999999999</v>
      </c>
      <c r="F10">
        <v>1.581305</v>
      </c>
      <c r="G10">
        <v>1.620371</v>
      </c>
      <c r="H10">
        <v>1.68435</v>
      </c>
      <c r="I10">
        <v>1.72644</v>
      </c>
      <c r="J10">
        <v>1.7796430000000001</v>
      </c>
      <c r="K10">
        <v>1.830843</v>
      </c>
      <c r="L10">
        <v>1.8793850000000001</v>
      </c>
      <c r="M10">
        <v>1.9247840000000001</v>
      </c>
      <c r="N10">
        <v>1.966982</v>
      </c>
      <c r="O10">
        <v>2.0111539999999999</v>
      </c>
      <c r="P10">
        <v>1.9998419999999999</v>
      </c>
      <c r="Q10">
        <v>2.0250629999999998</v>
      </c>
      <c r="R10">
        <v>1.8448910000000001</v>
      </c>
      <c r="S10">
        <v>1.742891</v>
      </c>
      <c r="T10">
        <v>1.6267339999999999</v>
      </c>
      <c r="U10">
        <v>1.5473680000000001</v>
      </c>
      <c r="V10">
        <v>1.542268</v>
      </c>
      <c r="W10">
        <v>1.531309</v>
      </c>
      <c r="X10">
        <v>1.8579730000000001</v>
      </c>
      <c r="Y10">
        <v>2.0092370000000002</v>
      </c>
      <c r="Z10">
        <v>1.749763</v>
      </c>
      <c r="AA10">
        <v>2.01112</v>
      </c>
      <c r="AB10">
        <v>1.9989980000000001</v>
      </c>
      <c r="AC10">
        <v>2.0808900000000001</v>
      </c>
      <c r="AD10" s="4">
        <v>0.44440649871516685</v>
      </c>
    </row>
    <row r="11" spans="1:30" x14ac:dyDescent="0.25">
      <c r="A11" t="s">
        <v>29</v>
      </c>
      <c r="B11" t="s">
        <v>40</v>
      </c>
      <c r="C11">
        <v>1.913E-3</v>
      </c>
      <c r="D11">
        <v>1.6689999999999999E-3</v>
      </c>
      <c r="E11">
        <v>1.536E-3</v>
      </c>
      <c r="F11">
        <v>1.536E-3</v>
      </c>
      <c r="G11">
        <v>1.536E-3</v>
      </c>
      <c r="H11">
        <v>1.536E-3</v>
      </c>
      <c r="I11">
        <v>1.536E-3</v>
      </c>
      <c r="J11">
        <v>1.536E-3</v>
      </c>
      <c r="K11">
        <v>1.536E-3</v>
      </c>
      <c r="L11">
        <v>1.536E-3</v>
      </c>
      <c r="M11">
        <v>1.536E-3</v>
      </c>
      <c r="N11">
        <v>1.536E-3</v>
      </c>
      <c r="O11">
        <v>1.536E-3</v>
      </c>
      <c r="P11">
        <v>1.536E-3</v>
      </c>
      <c r="Q11">
        <v>1.536E-3</v>
      </c>
      <c r="R11">
        <v>1.536E-3</v>
      </c>
      <c r="S11">
        <v>1.0989999999999999E-3</v>
      </c>
      <c r="T11">
        <v>6.6500000000000001E-4</v>
      </c>
      <c r="U11">
        <v>6.6500000000000001E-4</v>
      </c>
      <c r="V11">
        <v>6.6500000000000001E-4</v>
      </c>
      <c r="W11">
        <v>6.6500000000000001E-4</v>
      </c>
      <c r="X11">
        <v>6.6500000000000001E-4</v>
      </c>
      <c r="Y11">
        <v>6.6500000000000001E-4</v>
      </c>
      <c r="Z11">
        <v>6.6500000000000001E-4</v>
      </c>
      <c r="AA11">
        <v>6.6500000000000001E-4</v>
      </c>
      <c r="AB11">
        <v>6.6500000000000001E-4</v>
      </c>
      <c r="AC11">
        <v>6.6500000000000001E-4</v>
      </c>
      <c r="AD11" s="4">
        <v>-0.65237846314688974</v>
      </c>
    </row>
    <row r="12" spans="1:30" x14ac:dyDescent="0.25">
      <c r="A12" t="s">
        <v>29</v>
      </c>
      <c r="B12" t="s">
        <v>41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 s="4" t="e">
        <v>#DIV/0!</v>
      </c>
    </row>
    <row r="13" spans="1:30" x14ac:dyDescent="0.25">
      <c r="A13" t="s">
        <v>29</v>
      </c>
      <c r="B13" t="s">
        <v>42</v>
      </c>
      <c r="C13">
        <v>2.7449050000000002</v>
      </c>
      <c r="D13">
        <v>3.490056</v>
      </c>
      <c r="E13">
        <v>5.2176710000000002</v>
      </c>
      <c r="F13">
        <v>5.3384070000000001</v>
      </c>
      <c r="G13">
        <v>5.3289770000000001</v>
      </c>
      <c r="H13">
        <v>10.802614999999999</v>
      </c>
      <c r="I13">
        <v>12.515725</v>
      </c>
      <c r="J13">
        <v>29.159388</v>
      </c>
      <c r="K13">
        <v>48.938850000000002</v>
      </c>
      <c r="L13">
        <v>52.605601999999998</v>
      </c>
      <c r="M13">
        <v>52.703487000000003</v>
      </c>
      <c r="N13">
        <v>52.617843999999998</v>
      </c>
      <c r="O13">
        <v>52.705513000000003</v>
      </c>
      <c r="P13">
        <v>70.881020000000007</v>
      </c>
      <c r="Q13">
        <v>97.963890000000006</v>
      </c>
      <c r="R13">
        <v>103.140755</v>
      </c>
      <c r="S13">
        <v>128.104355</v>
      </c>
      <c r="T13">
        <v>156.715271</v>
      </c>
      <c r="U13">
        <v>179.765152</v>
      </c>
      <c r="V13">
        <v>182.89546200000001</v>
      </c>
      <c r="W13">
        <v>186.90093999999999</v>
      </c>
      <c r="X13">
        <v>190.386719</v>
      </c>
      <c r="Y13">
        <v>191.50753800000001</v>
      </c>
      <c r="Z13">
        <v>191.778244</v>
      </c>
      <c r="AA13">
        <v>192.72053500000001</v>
      </c>
      <c r="AB13">
        <v>193.88093599999999</v>
      </c>
      <c r="AC13">
        <v>197.251205</v>
      </c>
      <c r="AD13" s="4">
        <v>70.86084946473558</v>
      </c>
    </row>
    <row r="14" spans="1:30" x14ac:dyDescent="0.25">
      <c r="A14" t="s">
        <v>29</v>
      </c>
      <c r="B14" t="s">
        <v>43</v>
      </c>
      <c r="C14">
        <v>3.143875</v>
      </c>
      <c r="D14">
        <v>3.032133</v>
      </c>
      <c r="E14">
        <v>3.458806</v>
      </c>
      <c r="F14">
        <v>12.01609</v>
      </c>
      <c r="G14">
        <v>14.110028</v>
      </c>
      <c r="H14">
        <v>14.105062999999999</v>
      </c>
      <c r="I14">
        <v>14.105335</v>
      </c>
      <c r="J14">
        <v>14.106176</v>
      </c>
      <c r="K14">
        <v>14.107430000000001</v>
      </c>
      <c r="L14">
        <v>14.111691</v>
      </c>
      <c r="M14">
        <v>14.108461</v>
      </c>
      <c r="N14">
        <v>14.109866999999999</v>
      </c>
      <c r="O14">
        <v>40.134186</v>
      </c>
      <c r="P14">
        <v>69.679962000000003</v>
      </c>
      <c r="Q14">
        <v>77.101142999999993</v>
      </c>
      <c r="R14">
        <v>79.139831999999998</v>
      </c>
      <c r="S14">
        <v>75.265204999999995</v>
      </c>
      <c r="T14">
        <v>69.99015</v>
      </c>
      <c r="U14">
        <v>64.211310999999995</v>
      </c>
      <c r="V14">
        <v>64.147209000000004</v>
      </c>
      <c r="W14">
        <v>64.784263999999993</v>
      </c>
      <c r="X14">
        <v>65.585464000000002</v>
      </c>
      <c r="Y14">
        <v>65.457802000000001</v>
      </c>
      <c r="Z14">
        <v>66.564987000000002</v>
      </c>
      <c r="AA14">
        <v>66.195076</v>
      </c>
      <c r="AB14">
        <v>65.942474000000004</v>
      </c>
      <c r="AC14">
        <v>67.625916000000004</v>
      </c>
      <c r="AD14" s="4">
        <v>20.510370482286991</v>
      </c>
    </row>
    <row r="15" spans="1:30" x14ac:dyDescent="0.25">
      <c r="A15" t="s">
        <v>29</v>
      </c>
      <c r="B15" t="s">
        <v>44</v>
      </c>
      <c r="C15">
        <v>0</v>
      </c>
      <c r="D15">
        <v>5.4671830000000003</v>
      </c>
      <c r="E15">
        <v>13.565937</v>
      </c>
      <c r="F15">
        <v>23.716507</v>
      </c>
      <c r="G15">
        <v>30.885079999999999</v>
      </c>
      <c r="H15">
        <v>38.009582999999999</v>
      </c>
      <c r="I15">
        <v>45.131610999999999</v>
      </c>
      <c r="J15">
        <v>52.262535</v>
      </c>
      <c r="K15">
        <v>55.945328000000003</v>
      </c>
      <c r="L15">
        <v>58.776145999999997</v>
      </c>
      <c r="M15">
        <v>61.571849999999998</v>
      </c>
      <c r="N15">
        <v>64.414917000000003</v>
      </c>
      <c r="O15">
        <v>67.264069000000006</v>
      </c>
      <c r="P15">
        <v>69.883690000000001</v>
      </c>
      <c r="Q15">
        <v>67.979691000000003</v>
      </c>
      <c r="R15">
        <v>69.536689999999993</v>
      </c>
      <c r="S15">
        <v>69.021690000000007</v>
      </c>
      <c r="T15">
        <v>64.734909000000002</v>
      </c>
      <c r="U15">
        <v>53.474086999999997</v>
      </c>
      <c r="V15">
        <v>50.640743000000001</v>
      </c>
      <c r="W15">
        <v>52.51688</v>
      </c>
      <c r="X15">
        <v>56.23151</v>
      </c>
      <c r="Y15">
        <v>61.424294000000003</v>
      </c>
      <c r="Z15">
        <v>59.601990000000001</v>
      </c>
      <c r="AA15">
        <v>58.709556999999997</v>
      </c>
      <c r="AB15">
        <v>60.224373</v>
      </c>
      <c r="AC15">
        <v>60.128441000000002</v>
      </c>
      <c r="AD15" s="4" t="e">
        <v>#DIV/0!</v>
      </c>
    </row>
    <row r="16" spans="1:30" x14ac:dyDescent="0.25">
      <c r="A16" t="s">
        <v>29</v>
      </c>
      <c r="B16" s="5" t="s">
        <v>45</v>
      </c>
      <c r="C16">
        <v>0</v>
      </c>
      <c r="D16">
        <v>0</v>
      </c>
      <c r="E16">
        <v>0</v>
      </c>
      <c r="F16">
        <v>5.1229999999999999E-3</v>
      </c>
      <c r="G16">
        <v>5.1229999999999999E-3</v>
      </c>
      <c r="H16">
        <v>9.8530000000000006E-3</v>
      </c>
      <c r="I16">
        <v>1.2564000000000001E-2</v>
      </c>
      <c r="J16">
        <v>1.401E-2</v>
      </c>
      <c r="K16">
        <v>4.6898000000000002E-2</v>
      </c>
      <c r="L16">
        <v>5.3060999999999997E-2</v>
      </c>
      <c r="M16">
        <v>7.5849E-2</v>
      </c>
      <c r="N16">
        <v>0.103218</v>
      </c>
      <c r="O16">
        <v>0.114068</v>
      </c>
      <c r="P16">
        <v>0.144534</v>
      </c>
      <c r="Q16">
        <v>0.17457</v>
      </c>
      <c r="R16">
        <v>0.20431099999999999</v>
      </c>
      <c r="S16">
        <v>0.23153499999999999</v>
      </c>
      <c r="T16">
        <v>0.253307</v>
      </c>
      <c r="U16">
        <v>0.27479799999999999</v>
      </c>
      <c r="V16">
        <v>0.29506100000000002</v>
      </c>
      <c r="W16">
        <v>0.31619999999999998</v>
      </c>
      <c r="X16">
        <v>0.33679599999999998</v>
      </c>
      <c r="Y16">
        <v>0.35449399999999998</v>
      </c>
      <c r="Z16">
        <v>0.371058</v>
      </c>
      <c r="AA16">
        <v>0.38766499999999998</v>
      </c>
      <c r="AB16">
        <v>0.40343499999999999</v>
      </c>
      <c r="AC16">
        <v>0.419012</v>
      </c>
      <c r="AD16" s="4" t="e">
        <v>#DIV/0!</v>
      </c>
    </row>
    <row r="17" spans="1:30" x14ac:dyDescent="0.25">
      <c r="A17" t="s">
        <v>29</v>
      </c>
      <c r="B17" s="5" t="s">
        <v>46</v>
      </c>
      <c r="C17">
        <v>310.99478099999999</v>
      </c>
      <c r="D17">
        <v>320.19735700000001</v>
      </c>
      <c r="E17">
        <v>310.55694599999998</v>
      </c>
      <c r="F17">
        <v>325.138733</v>
      </c>
      <c r="G17">
        <v>329.42095899999998</v>
      </c>
      <c r="H17">
        <v>348.11560100000003</v>
      </c>
      <c r="I17">
        <v>342.46069299999999</v>
      </c>
      <c r="J17">
        <v>344.28582799999998</v>
      </c>
      <c r="K17">
        <v>345.41137700000002</v>
      </c>
      <c r="L17">
        <v>344.40884399999999</v>
      </c>
      <c r="M17">
        <v>330.52038599999997</v>
      </c>
      <c r="N17">
        <v>328.95938100000001</v>
      </c>
      <c r="O17">
        <v>344.39263899999997</v>
      </c>
      <c r="P17">
        <v>363.15679899999998</v>
      </c>
      <c r="Q17">
        <v>378.143799</v>
      </c>
      <c r="R17">
        <v>391.11276199999998</v>
      </c>
      <c r="S17">
        <v>404.75955199999999</v>
      </c>
      <c r="T17">
        <v>407.82977299999999</v>
      </c>
      <c r="U17">
        <v>403.56308000000001</v>
      </c>
      <c r="V17">
        <v>411.70367399999998</v>
      </c>
      <c r="W17">
        <v>417.572723</v>
      </c>
      <c r="X17">
        <v>422.14605699999998</v>
      </c>
      <c r="Y17">
        <v>428.12521400000003</v>
      </c>
      <c r="Z17">
        <v>431.98513800000001</v>
      </c>
      <c r="AA17">
        <v>437.37295499999999</v>
      </c>
      <c r="AB17">
        <v>437.80920400000002</v>
      </c>
      <c r="AC17">
        <v>442.287689</v>
      </c>
      <c r="AD17" s="4">
        <v>0.42217077591408203</v>
      </c>
    </row>
    <row r="18" spans="1:30" x14ac:dyDescent="0.25">
      <c r="A18" t="s">
        <v>74</v>
      </c>
      <c r="B18" t="s">
        <v>47</v>
      </c>
      <c r="C18">
        <v>15.566089</v>
      </c>
      <c r="D18">
        <v>15.259088</v>
      </c>
      <c r="E18">
        <v>15.133509</v>
      </c>
      <c r="F18">
        <v>14.974095</v>
      </c>
      <c r="G18">
        <v>15.115716000000001</v>
      </c>
      <c r="H18">
        <v>15.303626</v>
      </c>
      <c r="I18">
        <v>16.095196000000001</v>
      </c>
      <c r="J18">
        <v>17.675186</v>
      </c>
      <c r="K18">
        <v>17.756713999999999</v>
      </c>
      <c r="L18">
        <v>18.175847999999998</v>
      </c>
      <c r="M18">
        <v>18.115235999999999</v>
      </c>
      <c r="N18">
        <v>17.677330000000001</v>
      </c>
      <c r="O18">
        <v>17.643145000000001</v>
      </c>
      <c r="P18">
        <v>16.926189000000001</v>
      </c>
      <c r="Q18">
        <v>15.828049</v>
      </c>
      <c r="R18">
        <v>15.643205999999999</v>
      </c>
      <c r="S18">
        <v>15.390733000000001</v>
      </c>
      <c r="T18">
        <v>15.224034</v>
      </c>
      <c r="U18">
        <v>15.327381000000001</v>
      </c>
      <c r="V18">
        <v>14.915824000000001</v>
      </c>
      <c r="W18">
        <v>15.243091</v>
      </c>
      <c r="X18">
        <v>15.331121</v>
      </c>
      <c r="Y18">
        <v>15.588634000000001</v>
      </c>
      <c r="Z18">
        <v>15.925800000000001</v>
      </c>
      <c r="AA18">
        <v>15.929694</v>
      </c>
      <c r="AB18">
        <v>15.936652</v>
      </c>
      <c r="AC18">
        <v>16.696214999999999</v>
      </c>
      <c r="AD18" s="4" cm="1">
        <f t="array" ref="AD18:AD22">(AC18:AC22-C18:C22)/C18:C22</f>
        <v>7.2601794837482872E-2</v>
      </c>
    </row>
    <row r="19" spans="1:30" x14ac:dyDescent="0.25">
      <c r="A19" t="s">
        <v>74</v>
      </c>
      <c r="B19" t="s">
        <v>49</v>
      </c>
      <c r="C19">
        <v>13.325689000000001</v>
      </c>
      <c r="D19">
        <v>12.996854000000001</v>
      </c>
      <c r="E19">
        <v>12.941788000000001</v>
      </c>
      <c r="F19">
        <v>12.815835999999999</v>
      </c>
      <c r="G19">
        <v>12.982521999999999</v>
      </c>
      <c r="H19">
        <v>13.08643</v>
      </c>
      <c r="I19">
        <v>13.876586</v>
      </c>
      <c r="J19">
        <v>15.505546000000001</v>
      </c>
      <c r="K19">
        <v>15.450987</v>
      </c>
      <c r="L19">
        <v>15.738671999999999</v>
      </c>
      <c r="M19">
        <v>15.633253</v>
      </c>
      <c r="N19">
        <v>15.107604</v>
      </c>
      <c r="O19">
        <v>15.035284000000001</v>
      </c>
      <c r="P19">
        <v>14.414645999999999</v>
      </c>
      <c r="Q19">
        <v>13.361745000000001</v>
      </c>
      <c r="R19">
        <v>13.145155000000001</v>
      </c>
      <c r="S19">
        <v>12.861585</v>
      </c>
      <c r="T19">
        <v>12.650138</v>
      </c>
      <c r="U19">
        <v>12.695793</v>
      </c>
      <c r="V19">
        <v>12.200104</v>
      </c>
      <c r="W19">
        <v>12.470950999999999</v>
      </c>
      <c r="X19">
        <v>12.489596000000001</v>
      </c>
      <c r="Y19">
        <v>12.718469000000001</v>
      </c>
      <c r="Z19">
        <v>13.022714000000001</v>
      </c>
      <c r="AA19">
        <v>12.947647999999999</v>
      </c>
      <c r="AB19">
        <v>12.888256999999999</v>
      </c>
      <c r="AC19">
        <v>13.59342</v>
      </c>
      <c r="AD19" s="4">
        <v>2.0091343869724072E-2</v>
      </c>
    </row>
    <row r="20" spans="1:30" x14ac:dyDescent="0.25">
      <c r="A20" t="s">
        <v>74</v>
      </c>
      <c r="B20" t="s">
        <v>50</v>
      </c>
      <c r="C20">
        <v>10.927078</v>
      </c>
      <c r="D20">
        <v>10.629638</v>
      </c>
      <c r="E20">
        <v>10.375042000000001</v>
      </c>
      <c r="F20">
        <v>10.067302</v>
      </c>
      <c r="G20">
        <v>10.162271</v>
      </c>
      <c r="H20">
        <v>10.376867000000001</v>
      </c>
      <c r="I20">
        <v>11.127126000000001</v>
      </c>
      <c r="J20">
        <v>12.376716999999999</v>
      </c>
      <c r="K20">
        <v>12.518907</v>
      </c>
      <c r="L20">
        <v>12.819898</v>
      </c>
      <c r="M20">
        <v>12.733865</v>
      </c>
      <c r="N20">
        <v>12.389032</v>
      </c>
      <c r="O20">
        <v>12.323421</v>
      </c>
      <c r="P20">
        <v>11.529731999999999</v>
      </c>
      <c r="Q20">
        <v>10.425050000000001</v>
      </c>
      <c r="R20">
        <v>10.229367999999999</v>
      </c>
      <c r="S20">
        <v>9.9810730000000003</v>
      </c>
      <c r="T20">
        <v>9.7513400000000008</v>
      </c>
      <c r="U20">
        <v>9.7208570000000005</v>
      </c>
      <c r="V20">
        <v>9.3568119999999997</v>
      </c>
      <c r="W20">
        <v>9.5536370000000002</v>
      </c>
      <c r="X20">
        <v>9.5842829999999992</v>
      </c>
      <c r="Y20">
        <v>9.7570429999999995</v>
      </c>
      <c r="Z20">
        <v>9.9887160000000002</v>
      </c>
      <c r="AA20">
        <v>9.9765739999999994</v>
      </c>
      <c r="AB20">
        <v>9.9701989999999991</v>
      </c>
      <c r="AC20">
        <v>10.482224</v>
      </c>
      <c r="AD20" s="4">
        <v>-4.0711158097343082E-2</v>
      </c>
    </row>
    <row r="21" spans="1:30" x14ac:dyDescent="0.25">
      <c r="A21" t="s">
        <v>74</v>
      </c>
      <c r="B21" t="s">
        <v>51</v>
      </c>
      <c r="C21">
        <v>12.603922000000001</v>
      </c>
      <c r="D21">
        <v>12.33832</v>
      </c>
      <c r="E21">
        <v>12.132434999999999</v>
      </c>
      <c r="F21">
        <v>11.878304</v>
      </c>
      <c r="G21">
        <v>12.013628000000001</v>
      </c>
      <c r="H21">
        <v>12.248925</v>
      </c>
      <c r="I21">
        <v>13.040189</v>
      </c>
      <c r="J21">
        <v>14.372128999999999</v>
      </c>
      <c r="K21">
        <v>14.491607999999999</v>
      </c>
      <c r="L21">
        <v>14.758845000000001</v>
      </c>
      <c r="M21">
        <v>14.68</v>
      </c>
      <c r="N21">
        <v>14.222431</v>
      </c>
      <c r="O21">
        <v>14.110574</v>
      </c>
      <c r="P21">
        <v>13.464267</v>
      </c>
      <c r="Q21">
        <v>12.498842</v>
      </c>
      <c r="R21">
        <v>12.328946999999999</v>
      </c>
      <c r="S21">
        <v>12.114960999999999</v>
      </c>
      <c r="T21">
        <v>11.920574999999999</v>
      </c>
      <c r="U21">
        <v>11.924542000000001</v>
      </c>
      <c r="V21">
        <v>11.547587999999999</v>
      </c>
      <c r="W21">
        <v>11.748348</v>
      </c>
      <c r="X21">
        <v>11.772428</v>
      </c>
      <c r="Y21">
        <v>11.949676999999999</v>
      </c>
      <c r="Z21">
        <v>12.195738</v>
      </c>
      <c r="AA21">
        <v>12.174403</v>
      </c>
      <c r="AB21">
        <v>12.156693000000001</v>
      </c>
      <c r="AC21">
        <v>12.694497</v>
      </c>
      <c r="AD21" s="4">
        <v>7.186255198976906E-3</v>
      </c>
    </row>
    <row r="22" spans="1:30" x14ac:dyDescent="0.25">
      <c r="A22" t="s">
        <v>74</v>
      </c>
      <c r="B22" t="s">
        <v>52</v>
      </c>
      <c r="C22">
        <v>13.797366</v>
      </c>
      <c r="D22">
        <v>13.487329000000001</v>
      </c>
      <c r="E22">
        <v>13.393428</v>
      </c>
      <c r="F22">
        <v>13.22578</v>
      </c>
      <c r="G22">
        <v>13.370393</v>
      </c>
      <c r="H22">
        <v>13.530169000000001</v>
      </c>
      <c r="I22">
        <v>14.312768</v>
      </c>
      <c r="J22">
        <v>15.850728999999999</v>
      </c>
      <c r="K22">
        <v>15.877753999999999</v>
      </c>
      <c r="L22">
        <v>16.217272000000001</v>
      </c>
      <c r="M22">
        <v>16.128387</v>
      </c>
      <c r="N22">
        <v>15.666175000000001</v>
      </c>
      <c r="O22">
        <v>15.610353999999999</v>
      </c>
      <c r="P22">
        <v>14.921184999999999</v>
      </c>
      <c r="Q22">
        <v>13.842556999999999</v>
      </c>
      <c r="R22">
        <v>13.644679</v>
      </c>
      <c r="S22">
        <v>13.381967</v>
      </c>
      <c r="T22">
        <v>13.188101</v>
      </c>
      <c r="U22">
        <v>13.243743</v>
      </c>
      <c r="V22">
        <v>12.806298999999999</v>
      </c>
      <c r="W22">
        <v>13.089651999999999</v>
      </c>
      <c r="X22">
        <v>13.139008</v>
      </c>
      <c r="Y22">
        <v>13.373524</v>
      </c>
      <c r="Z22">
        <v>13.679358000000001</v>
      </c>
      <c r="AA22">
        <v>13.642818999999999</v>
      </c>
      <c r="AB22">
        <v>13.615861000000001</v>
      </c>
      <c r="AC22">
        <v>14.308399</v>
      </c>
      <c r="AD22" s="4">
        <v>3.7038446323740301E-2</v>
      </c>
    </row>
    <row r="23" spans="1:30" x14ac:dyDescent="0.25">
      <c r="A23" t="s">
        <v>75</v>
      </c>
      <c r="B23" t="s">
        <v>47</v>
      </c>
      <c r="C23">
        <v>15.566089</v>
      </c>
      <c r="D23">
        <v>15.609214</v>
      </c>
      <c r="E23">
        <v>15.758141999999999</v>
      </c>
      <c r="F23">
        <v>15.860507</v>
      </c>
      <c r="G23">
        <v>16.291405000000001</v>
      </c>
      <c r="H23">
        <v>16.739737000000002</v>
      </c>
      <c r="I23">
        <v>17.882597000000001</v>
      </c>
      <c r="J23">
        <v>19.981365</v>
      </c>
      <c r="K23">
        <v>20.425463000000001</v>
      </c>
      <c r="L23">
        <v>21.274466</v>
      </c>
      <c r="M23">
        <v>21.574411000000001</v>
      </c>
      <c r="N23">
        <v>21.417311000000002</v>
      </c>
      <c r="O23">
        <v>21.742629999999998</v>
      </c>
      <c r="P23">
        <v>21.232621999999999</v>
      </c>
      <c r="Q23">
        <v>20.225436999999999</v>
      </c>
      <c r="R23">
        <v>20.379581000000002</v>
      </c>
      <c r="S23">
        <v>20.468304</v>
      </c>
      <c r="T23">
        <v>20.692577</v>
      </c>
      <c r="U23">
        <v>21.309010000000001</v>
      </c>
      <c r="V23">
        <v>21.225044</v>
      </c>
      <c r="W23">
        <v>22.216467000000002</v>
      </c>
      <c r="X23">
        <v>22.890657000000001</v>
      </c>
      <c r="Y23">
        <v>23.845127000000002</v>
      </c>
      <c r="Z23">
        <v>24.954754000000001</v>
      </c>
      <c r="AA23">
        <v>25.559584000000001</v>
      </c>
      <c r="AB23">
        <v>26.177309000000001</v>
      </c>
      <c r="AC23">
        <v>28.061333000000001</v>
      </c>
      <c r="AD23" s="4" cm="1">
        <f t="array" ref="AD23:AD27">(AC23:AC27-C23:C27)/C23:C27</f>
        <v>0.80272212242908292</v>
      </c>
    </row>
    <row r="24" spans="1:30" x14ac:dyDescent="0.25">
      <c r="A24" t="s">
        <v>75</v>
      </c>
      <c r="B24" t="s">
        <v>49</v>
      </c>
      <c r="C24">
        <v>13.325689000000001</v>
      </c>
      <c r="D24">
        <v>13.295073</v>
      </c>
      <c r="E24">
        <v>13.475956999999999</v>
      </c>
      <c r="F24">
        <v>13.574487</v>
      </c>
      <c r="G24">
        <v>13.992293</v>
      </c>
      <c r="H24">
        <v>14.314475</v>
      </c>
      <c r="I24">
        <v>15.417605999999999</v>
      </c>
      <c r="J24">
        <v>17.528638999999998</v>
      </c>
      <c r="K24">
        <v>17.773195000000001</v>
      </c>
      <c r="L24">
        <v>18.421800999999999</v>
      </c>
      <c r="M24">
        <v>18.618483999999999</v>
      </c>
      <c r="N24">
        <v>18.303909000000001</v>
      </c>
      <c r="O24">
        <v>18.528818000000001</v>
      </c>
      <c r="P24">
        <v>18.082080999999999</v>
      </c>
      <c r="Q24">
        <v>17.073937999999998</v>
      </c>
      <c r="R24">
        <v>17.125183</v>
      </c>
      <c r="S24">
        <v>17.104761</v>
      </c>
      <c r="T24">
        <v>17.194126000000001</v>
      </c>
      <c r="U24">
        <v>17.650423</v>
      </c>
      <c r="V24">
        <v>17.360607000000002</v>
      </c>
      <c r="W24">
        <v>18.176134000000001</v>
      </c>
      <c r="X24">
        <v>18.648019999999999</v>
      </c>
      <c r="Y24">
        <v>19.454784</v>
      </c>
      <c r="Z24">
        <v>20.405794</v>
      </c>
      <c r="AA24">
        <v>20.774818</v>
      </c>
      <c r="AB24">
        <v>21.170061</v>
      </c>
      <c r="AC24">
        <v>22.846465999999999</v>
      </c>
      <c r="AD24" s="4">
        <v>0.7144678973072236</v>
      </c>
    </row>
    <row r="25" spans="1:30" x14ac:dyDescent="0.25">
      <c r="A25" t="s">
        <v>75</v>
      </c>
      <c r="B25" t="s">
        <v>50</v>
      </c>
      <c r="C25">
        <v>10.927078</v>
      </c>
      <c r="D25">
        <v>10.873538999999999</v>
      </c>
      <c r="E25">
        <v>10.803269</v>
      </c>
      <c r="F25">
        <v>10.663249</v>
      </c>
      <c r="G25">
        <v>10.952685000000001</v>
      </c>
      <c r="H25">
        <v>11.350644000000001</v>
      </c>
      <c r="I25">
        <v>12.362814</v>
      </c>
      <c r="J25">
        <v>13.991574</v>
      </c>
      <c r="K25">
        <v>14.400437</v>
      </c>
      <c r="L25">
        <v>15.005432000000001</v>
      </c>
      <c r="M25">
        <v>15.165445999999999</v>
      </c>
      <c r="N25">
        <v>15.010171</v>
      </c>
      <c r="O25">
        <v>15.186838</v>
      </c>
      <c r="P25">
        <v>14.463174</v>
      </c>
      <c r="Q25">
        <v>13.321363</v>
      </c>
      <c r="R25">
        <v>13.326568999999999</v>
      </c>
      <c r="S25">
        <v>13.273939</v>
      </c>
      <c r="T25">
        <v>13.254066</v>
      </c>
      <c r="U25">
        <v>13.514495999999999</v>
      </c>
      <c r="V25">
        <v>13.314635000000001</v>
      </c>
      <c r="W25">
        <v>13.924213</v>
      </c>
      <c r="X25">
        <v>14.310143</v>
      </c>
      <c r="Y25">
        <v>14.924844</v>
      </c>
      <c r="Z25">
        <v>15.651707</v>
      </c>
      <c r="AA25">
        <v>16.007656000000001</v>
      </c>
      <c r="AB25">
        <v>16.376902000000001</v>
      </c>
      <c r="AC25">
        <v>17.617476</v>
      </c>
      <c r="AD25" s="4">
        <v>0.61227695089208667</v>
      </c>
    </row>
    <row r="26" spans="1:30" x14ac:dyDescent="0.25">
      <c r="A26" t="s">
        <v>75</v>
      </c>
      <c r="B26" t="s">
        <v>51</v>
      </c>
      <c r="C26">
        <v>12.603922000000001</v>
      </c>
      <c r="D26">
        <v>12.621428</v>
      </c>
      <c r="E26">
        <v>12.6332</v>
      </c>
      <c r="F26">
        <v>12.581455999999999</v>
      </c>
      <c r="G26">
        <v>12.948039</v>
      </c>
      <c r="H26">
        <v>13.398377999999999</v>
      </c>
      <c r="I26">
        <v>14.488326000000001</v>
      </c>
      <c r="J26">
        <v>16.247339</v>
      </c>
      <c r="K26">
        <v>16.669626000000001</v>
      </c>
      <c r="L26">
        <v>17.274930999999999</v>
      </c>
      <c r="M26">
        <v>17.483204000000001</v>
      </c>
      <c r="N26">
        <v>17.231460999999999</v>
      </c>
      <c r="O26">
        <v>17.389246</v>
      </c>
      <c r="P26">
        <v>16.889901999999999</v>
      </c>
      <c r="Q26">
        <v>15.971302</v>
      </c>
      <c r="R26">
        <v>16.061848000000001</v>
      </c>
      <c r="S26">
        <v>16.111818</v>
      </c>
      <c r="T26">
        <v>16.202499</v>
      </c>
      <c r="U26">
        <v>16.578185999999999</v>
      </c>
      <c r="V26">
        <v>16.432085000000001</v>
      </c>
      <c r="W26">
        <v>17.122957</v>
      </c>
      <c r="X26">
        <v>17.577227000000001</v>
      </c>
      <c r="Y26">
        <v>18.278803</v>
      </c>
      <c r="Z26">
        <v>19.109974000000001</v>
      </c>
      <c r="AA26">
        <v>19.534126000000001</v>
      </c>
      <c r="AB26">
        <v>19.968402999999999</v>
      </c>
      <c r="AC26">
        <v>21.335646000000001</v>
      </c>
      <c r="AD26" s="4">
        <v>0.69277832725400867</v>
      </c>
    </row>
    <row r="27" spans="1:30" x14ac:dyDescent="0.25">
      <c r="A27" t="s">
        <v>75</v>
      </c>
      <c r="B27" t="s">
        <v>52</v>
      </c>
      <c r="C27">
        <v>13.797366</v>
      </c>
      <c r="D27">
        <v>13.796802</v>
      </c>
      <c r="E27">
        <v>13.946239</v>
      </c>
      <c r="F27">
        <v>14.008698000000001</v>
      </c>
      <c r="G27">
        <v>14.410332</v>
      </c>
      <c r="H27">
        <v>14.799855000000001</v>
      </c>
      <c r="I27">
        <v>15.902227999999999</v>
      </c>
      <c r="J27">
        <v>17.918861</v>
      </c>
      <c r="K27">
        <v>18.264102999999999</v>
      </c>
      <c r="L27">
        <v>18.981991000000001</v>
      </c>
      <c r="M27">
        <v>19.208165999999999</v>
      </c>
      <c r="N27">
        <v>18.980657999999998</v>
      </c>
      <c r="O27">
        <v>19.237508999999999</v>
      </c>
      <c r="P27">
        <v>18.717495</v>
      </c>
      <c r="Q27">
        <v>17.688331999999999</v>
      </c>
      <c r="R27">
        <v>17.775950999999999</v>
      </c>
      <c r="S27">
        <v>17.796824000000001</v>
      </c>
      <c r="T27">
        <v>17.925326999999999</v>
      </c>
      <c r="U27">
        <v>18.412213999999999</v>
      </c>
      <c r="V27">
        <v>18.223215</v>
      </c>
      <c r="W27">
        <v>19.077878999999999</v>
      </c>
      <c r="X27">
        <v>19.617647000000002</v>
      </c>
      <c r="Y27">
        <v>20.456786999999998</v>
      </c>
      <c r="Z27">
        <v>21.434716999999999</v>
      </c>
      <c r="AA27">
        <v>21.890238</v>
      </c>
      <c r="AB27">
        <v>22.365213000000001</v>
      </c>
      <c r="AC27">
        <v>24.048131999999999</v>
      </c>
      <c r="AD27" s="4">
        <v>0.74295093715713556</v>
      </c>
    </row>
    <row r="28" spans="1:30" x14ac:dyDescent="0.25">
      <c r="A28" t="s">
        <v>76</v>
      </c>
      <c r="B28" t="s">
        <v>54</v>
      </c>
      <c r="C28">
        <v>6.6274220000000001</v>
      </c>
      <c r="D28">
        <v>6.2051109999999996</v>
      </c>
      <c r="E28">
        <v>5.8766670000000003</v>
      </c>
      <c r="F28">
        <v>5.5218920000000002</v>
      </c>
      <c r="G28">
        <v>5.4885479999999998</v>
      </c>
      <c r="H28">
        <v>5.4720930000000001</v>
      </c>
      <c r="I28">
        <v>6.0845589999999996</v>
      </c>
      <c r="J28">
        <v>7.443816</v>
      </c>
      <c r="K28">
        <v>7.3096019999999999</v>
      </c>
      <c r="L28">
        <v>7.5416429999999997</v>
      </c>
      <c r="M28">
        <v>7.3895660000000003</v>
      </c>
      <c r="N28">
        <v>6.8825580000000004</v>
      </c>
      <c r="O28">
        <v>6.7592480000000004</v>
      </c>
      <c r="P28">
        <v>5.9820159999999998</v>
      </c>
      <c r="Q28">
        <v>4.824433</v>
      </c>
      <c r="R28">
        <v>4.5807169999999999</v>
      </c>
      <c r="S28">
        <v>4.2770890000000001</v>
      </c>
      <c r="T28">
        <v>4.0069759999999999</v>
      </c>
      <c r="U28">
        <v>3.9868269999999999</v>
      </c>
      <c r="V28">
        <v>3.5002270000000002</v>
      </c>
      <c r="W28">
        <v>3.7677170000000002</v>
      </c>
      <c r="X28">
        <v>3.7838050000000001</v>
      </c>
      <c r="Y28">
        <v>3.9659819999999999</v>
      </c>
      <c r="Z28">
        <v>4.2143090000000001</v>
      </c>
      <c r="AA28">
        <v>4.1351570000000004</v>
      </c>
      <c r="AB28">
        <v>4.066325</v>
      </c>
      <c r="AC28">
        <v>4.7033440000000004</v>
      </c>
      <c r="AD28" s="4" cm="1">
        <f t="array" ref="AD28:AD30">(AC28:AC30-C28:C30)/C28:C30</f>
        <v>-0.29032073104745704</v>
      </c>
    </row>
    <row r="29" spans="1:30" x14ac:dyDescent="0.25">
      <c r="A29" t="s">
        <v>76</v>
      </c>
      <c r="B29" t="s">
        <v>55</v>
      </c>
      <c r="C29">
        <v>2.2421980000000001</v>
      </c>
      <c r="D29">
        <v>2.3288859999999998</v>
      </c>
      <c r="E29">
        <v>2.4774379999999998</v>
      </c>
      <c r="F29">
        <v>2.6042459999999998</v>
      </c>
      <c r="G29">
        <v>2.7257189999999998</v>
      </c>
      <c r="H29">
        <v>2.8420260000000002</v>
      </c>
      <c r="I29">
        <v>2.9542549999999999</v>
      </c>
      <c r="J29">
        <v>3.0753180000000002</v>
      </c>
      <c r="K29">
        <v>3.1959059999999999</v>
      </c>
      <c r="L29">
        <v>3.2765390000000001</v>
      </c>
      <c r="M29">
        <v>3.3211149999999998</v>
      </c>
      <c r="N29">
        <v>3.3547060000000002</v>
      </c>
      <c r="O29">
        <v>3.4113150000000001</v>
      </c>
      <c r="P29">
        <v>3.4988510000000002</v>
      </c>
      <c r="Q29">
        <v>3.5833390000000001</v>
      </c>
      <c r="R29">
        <v>3.6279680000000001</v>
      </c>
      <c r="S29">
        <v>3.6645029999999998</v>
      </c>
      <c r="T29">
        <v>3.7324899999999999</v>
      </c>
      <c r="U29">
        <v>3.7968190000000002</v>
      </c>
      <c r="V29">
        <v>3.8313630000000001</v>
      </c>
      <c r="W29">
        <v>3.8298960000000002</v>
      </c>
      <c r="X29">
        <v>3.8400210000000001</v>
      </c>
      <c r="Y29">
        <v>3.8609170000000002</v>
      </c>
      <c r="Z29">
        <v>3.8849429999999998</v>
      </c>
      <c r="AA29">
        <v>3.8996970000000002</v>
      </c>
      <c r="AB29">
        <v>3.914825</v>
      </c>
      <c r="AC29">
        <v>3.94048</v>
      </c>
      <c r="AD29" s="4">
        <v>0.75741839034732872</v>
      </c>
    </row>
    <row r="30" spans="1:30" x14ac:dyDescent="0.25">
      <c r="A30" t="s">
        <v>76</v>
      </c>
      <c r="B30" t="s">
        <v>56</v>
      </c>
      <c r="C30">
        <v>4.9277449999999998</v>
      </c>
      <c r="D30">
        <v>4.9533329999999998</v>
      </c>
      <c r="E30">
        <v>5.0393230000000004</v>
      </c>
      <c r="F30">
        <v>5.0996420000000002</v>
      </c>
      <c r="G30">
        <v>5.1561260000000004</v>
      </c>
      <c r="H30">
        <v>5.2160500000000001</v>
      </c>
      <c r="I30">
        <v>5.2739539999999998</v>
      </c>
      <c r="J30">
        <v>5.3315950000000001</v>
      </c>
      <c r="K30">
        <v>5.3722459999999996</v>
      </c>
      <c r="L30">
        <v>5.3990919999999996</v>
      </c>
      <c r="M30">
        <v>5.4177059999999999</v>
      </c>
      <c r="N30">
        <v>5.4289110000000003</v>
      </c>
      <c r="O30">
        <v>5.4397919999999997</v>
      </c>
      <c r="P30">
        <v>5.4403180000000004</v>
      </c>
      <c r="Q30">
        <v>5.4347849999999998</v>
      </c>
      <c r="R30">
        <v>5.435994</v>
      </c>
      <c r="S30">
        <v>5.4403740000000003</v>
      </c>
      <c r="T30">
        <v>5.4486350000000003</v>
      </c>
      <c r="U30">
        <v>5.4600970000000002</v>
      </c>
      <c r="V30">
        <v>5.4747089999999998</v>
      </c>
      <c r="W30">
        <v>5.492038</v>
      </c>
      <c r="X30">
        <v>5.5151820000000003</v>
      </c>
      <c r="Y30">
        <v>5.5466249999999997</v>
      </c>
      <c r="Z30">
        <v>5.5801059999999998</v>
      </c>
      <c r="AA30">
        <v>5.6079650000000001</v>
      </c>
      <c r="AB30">
        <v>5.6347110000000002</v>
      </c>
      <c r="AC30">
        <v>5.6645770000000004</v>
      </c>
      <c r="AD30" s="4">
        <v>0.14952721782478612</v>
      </c>
    </row>
    <row r="31" spans="1:30" x14ac:dyDescent="0.25">
      <c r="A31" t="s">
        <v>77</v>
      </c>
      <c r="B31" t="s">
        <v>54</v>
      </c>
      <c r="C31">
        <v>6.6274220000000001</v>
      </c>
      <c r="D31">
        <v>6.3474899999999996</v>
      </c>
      <c r="E31">
        <v>6.1192250000000001</v>
      </c>
      <c r="F31">
        <v>5.8487669999999996</v>
      </c>
      <c r="G31">
        <v>5.9154429999999998</v>
      </c>
      <c r="H31">
        <v>5.9855999999999998</v>
      </c>
      <c r="I31">
        <v>6.7602609999999999</v>
      </c>
      <c r="J31">
        <v>8.4150510000000001</v>
      </c>
      <c r="K31">
        <v>8.4082000000000008</v>
      </c>
      <c r="L31">
        <v>8.8273410000000005</v>
      </c>
      <c r="M31">
        <v>8.8006320000000002</v>
      </c>
      <c r="N31">
        <v>8.3386960000000006</v>
      </c>
      <c r="O31">
        <v>8.3297980000000003</v>
      </c>
      <c r="P31">
        <v>7.5039860000000003</v>
      </c>
      <c r="Q31">
        <v>6.1647699999999999</v>
      </c>
      <c r="R31">
        <v>5.9676450000000001</v>
      </c>
      <c r="S31">
        <v>5.6881469999999998</v>
      </c>
      <c r="T31">
        <v>5.4462999999999999</v>
      </c>
      <c r="U31">
        <v>5.5427169999999997</v>
      </c>
      <c r="V31">
        <v>4.9807829999999997</v>
      </c>
      <c r="W31">
        <v>5.4913639999999999</v>
      </c>
      <c r="X31">
        <v>5.6495389999999999</v>
      </c>
      <c r="Y31">
        <v>6.0665579999999997</v>
      </c>
      <c r="Z31">
        <v>6.6035630000000003</v>
      </c>
      <c r="AA31">
        <v>6.6349609999999997</v>
      </c>
      <c r="AB31">
        <v>6.6792850000000001</v>
      </c>
      <c r="AC31">
        <v>7.9049120000000004</v>
      </c>
      <c r="AD31" s="4" cm="1">
        <f t="array" ref="AD31:AD33">(AC31:AC33-C31:C33)/C31:C33</f>
        <v>0.19275820975335511</v>
      </c>
    </row>
    <row r="32" spans="1:30" x14ac:dyDescent="0.25">
      <c r="A32" t="s">
        <v>77</v>
      </c>
      <c r="B32" t="s">
        <v>55</v>
      </c>
      <c r="C32">
        <v>2.2421980000000001</v>
      </c>
      <c r="D32">
        <v>2.382323</v>
      </c>
      <c r="E32">
        <v>2.5796939999999999</v>
      </c>
      <c r="F32">
        <v>2.7584080000000002</v>
      </c>
      <c r="G32">
        <v>2.9377239999999998</v>
      </c>
      <c r="H32">
        <v>3.1087250000000002</v>
      </c>
      <c r="I32">
        <v>3.2823310000000001</v>
      </c>
      <c r="J32">
        <v>3.476572</v>
      </c>
      <c r="K32">
        <v>3.6762350000000001</v>
      </c>
      <c r="L32">
        <v>3.8351229999999998</v>
      </c>
      <c r="M32">
        <v>3.955295</v>
      </c>
      <c r="N32">
        <v>4.0644590000000003</v>
      </c>
      <c r="O32">
        <v>4.2039540000000004</v>
      </c>
      <c r="P32">
        <v>4.3890440000000002</v>
      </c>
      <c r="Q32">
        <v>4.5788710000000004</v>
      </c>
      <c r="R32">
        <v>4.7264270000000002</v>
      </c>
      <c r="S32">
        <v>4.8734630000000001</v>
      </c>
      <c r="T32">
        <v>5.0732179999999998</v>
      </c>
      <c r="U32">
        <v>5.2785570000000002</v>
      </c>
      <c r="V32">
        <v>5.4519849999999996</v>
      </c>
      <c r="W32">
        <v>5.5819879999999999</v>
      </c>
      <c r="X32">
        <v>5.7334750000000003</v>
      </c>
      <c r="Y32">
        <v>5.9058440000000001</v>
      </c>
      <c r="Z32">
        <v>6.0874680000000003</v>
      </c>
      <c r="AA32">
        <v>6.2571589999999997</v>
      </c>
      <c r="AB32">
        <v>6.4304350000000001</v>
      </c>
      <c r="AC32">
        <v>6.6227650000000002</v>
      </c>
      <c r="AD32" s="4">
        <v>1.9536932063983643</v>
      </c>
    </row>
    <row r="33" spans="1:30" x14ac:dyDescent="0.25">
      <c r="A33" t="s">
        <v>77</v>
      </c>
      <c r="B33" t="s">
        <v>56</v>
      </c>
      <c r="C33">
        <v>4.9277449999999998</v>
      </c>
      <c r="D33">
        <v>5.0669890000000004</v>
      </c>
      <c r="E33">
        <v>5.2473200000000002</v>
      </c>
      <c r="F33">
        <v>5.4015219999999999</v>
      </c>
      <c r="G33">
        <v>5.5571659999999996</v>
      </c>
      <c r="H33">
        <v>5.7055300000000004</v>
      </c>
      <c r="I33">
        <v>5.8596370000000002</v>
      </c>
      <c r="J33">
        <v>6.0272379999999997</v>
      </c>
      <c r="K33">
        <v>6.1796680000000004</v>
      </c>
      <c r="L33">
        <v>6.319528</v>
      </c>
      <c r="M33">
        <v>6.4522389999999996</v>
      </c>
      <c r="N33">
        <v>6.5775009999999998</v>
      </c>
      <c r="O33">
        <v>6.7037589999999998</v>
      </c>
      <c r="P33">
        <v>6.8244660000000001</v>
      </c>
      <c r="Q33">
        <v>6.9446909999999997</v>
      </c>
      <c r="R33">
        <v>7.0818789999999998</v>
      </c>
      <c r="S33">
        <v>7.2352129999999999</v>
      </c>
      <c r="T33">
        <v>7.4058089999999996</v>
      </c>
      <c r="U33">
        <v>7.5909420000000001</v>
      </c>
      <c r="V33">
        <v>7.7904479999999996</v>
      </c>
      <c r="W33">
        <v>8.004524</v>
      </c>
      <c r="X33">
        <v>8.2346319999999995</v>
      </c>
      <c r="Y33">
        <v>8.4843849999999996</v>
      </c>
      <c r="Z33">
        <v>8.7436849999999993</v>
      </c>
      <c r="AA33">
        <v>8.9981170000000006</v>
      </c>
      <c r="AB33">
        <v>9.2554940000000006</v>
      </c>
      <c r="AC33">
        <v>9.5204550000000001</v>
      </c>
      <c r="AD33" s="4">
        <v>0.93201048349701543</v>
      </c>
    </row>
    <row r="34" spans="1:30" x14ac:dyDescent="0.25">
      <c r="A34" t="s">
        <v>57</v>
      </c>
      <c r="B34" t="s">
        <v>58</v>
      </c>
      <c r="C34">
        <v>25.992905</v>
      </c>
      <c r="D34">
        <v>27.201946</v>
      </c>
      <c r="E34">
        <v>24.959274000000001</v>
      </c>
      <c r="F34">
        <v>23.604599</v>
      </c>
      <c r="G34">
        <v>23.088159999999998</v>
      </c>
      <c r="H34">
        <v>24.081448000000002</v>
      </c>
      <c r="I34">
        <v>22.025618000000001</v>
      </c>
      <c r="J34">
        <v>19.353854999999999</v>
      </c>
      <c r="K34">
        <v>14.026554000000001</v>
      </c>
      <c r="L34">
        <v>13.034959000000001</v>
      </c>
      <c r="M34">
        <v>11.01971</v>
      </c>
      <c r="N34">
        <v>10.509161000000001</v>
      </c>
      <c r="O34">
        <v>8.9430589999999999</v>
      </c>
      <c r="P34">
        <v>6.0978199999999996</v>
      </c>
      <c r="Q34">
        <v>5.3585250000000002</v>
      </c>
      <c r="R34">
        <v>5.8241339999999999</v>
      </c>
      <c r="S34">
        <v>5.5346770000000003</v>
      </c>
      <c r="T34">
        <v>5.0631500000000003</v>
      </c>
      <c r="U34">
        <v>4.2181199999999999</v>
      </c>
      <c r="V34">
        <v>4.5258599999999998</v>
      </c>
      <c r="W34">
        <v>4.7805780000000002</v>
      </c>
      <c r="X34">
        <v>4.291919</v>
      </c>
      <c r="Y34">
        <v>4.150995</v>
      </c>
      <c r="Z34">
        <v>4.3734970000000004</v>
      </c>
      <c r="AA34">
        <v>4.5361779999999996</v>
      </c>
      <c r="AB34">
        <v>4.4007769999999997</v>
      </c>
      <c r="AC34">
        <v>4.4732719999999997</v>
      </c>
      <c r="AD34" s="4" cm="1">
        <f t="array" ref="AD34:AD38">(AC34:AC38-C34:C38)/C34:C38</f>
        <v>-0.82790411460358115</v>
      </c>
    </row>
    <row r="35" spans="1:30" x14ac:dyDescent="0.25">
      <c r="A35" t="s">
        <v>57</v>
      </c>
      <c r="B35" t="s">
        <v>60</v>
      </c>
      <c r="C35">
        <v>95.307320000000004</v>
      </c>
      <c r="D35">
        <v>99.740509000000003</v>
      </c>
      <c r="E35">
        <v>91.517364999999998</v>
      </c>
      <c r="F35">
        <v>86.550171000000006</v>
      </c>
      <c r="G35">
        <v>84.656563000000006</v>
      </c>
      <c r="H35">
        <v>88.298614999999998</v>
      </c>
      <c r="I35">
        <v>80.760536000000002</v>
      </c>
      <c r="J35">
        <v>70.964057999999994</v>
      </c>
      <c r="K35">
        <v>51.430686999999999</v>
      </c>
      <c r="L35">
        <v>47.794818999999997</v>
      </c>
      <c r="M35">
        <v>40.405594000000001</v>
      </c>
      <c r="N35">
        <v>38.533572999999997</v>
      </c>
      <c r="O35">
        <v>32.791213999999997</v>
      </c>
      <c r="P35">
        <v>22.358664000000001</v>
      </c>
      <c r="Q35">
        <v>19.647915000000001</v>
      </c>
      <c r="R35">
        <v>21.355157999999999</v>
      </c>
      <c r="S35">
        <v>20.293801999999999</v>
      </c>
      <c r="T35">
        <v>18.564889999999998</v>
      </c>
      <c r="U35">
        <v>15.466452</v>
      </c>
      <c r="V35">
        <v>16.594828</v>
      </c>
      <c r="W35">
        <v>17.528784000000002</v>
      </c>
      <c r="X35">
        <v>15.737042000000001</v>
      </c>
      <c r="Y35">
        <v>15.220318000000001</v>
      </c>
      <c r="Z35">
        <v>16.036162999999998</v>
      </c>
      <c r="AA35">
        <v>16.632652</v>
      </c>
      <c r="AB35">
        <v>16.136185000000001</v>
      </c>
      <c r="AC35">
        <v>16.401999</v>
      </c>
      <c r="AD35" s="4">
        <v>-0.82790410012578253</v>
      </c>
    </row>
    <row r="36" spans="1:30" x14ac:dyDescent="0.25">
      <c r="A36" t="s">
        <v>57</v>
      </c>
      <c r="B36" t="s">
        <v>61</v>
      </c>
      <c r="C36">
        <v>6.5648999999999999E-2</v>
      </c>
      <c r="D36">
        <v>6.0419E-2</v>
      </c>
      <c r="E36">
        <v>3.7309000000000002E-2</v>
      </c>
      <c r="F36">
        <v>2.7754000000000001E-2</v>
      </c>
      <c r="G36">
        <v>2.7608000000000001E-2</v>
      </c>
      <c r="H36">
        <v>2.4060000000000002E-2</v>
      </c>
      <c r="I36">
        <v>1.0548E-2</v>
      </c>
      <c r="J36">
        <v>8.4019999999999997E-3</v>
      </c>
      <c r="K36">
        <v>1.918E-3</v>
      </c>
      <c r="L36">
        <v>8.8599999999999996E-4</v>
      </c>
      <c r="M36">
        <v>3.7399999999999998E-4</v>
      </c>
      <c r="N36">
        <v>2.4699999999999999E-4</v>
      </c>
      <c r="O36">
        <v>2.52E-4</v>
      </c>
      <c r="P36">
        <v>2.6899999999999998E-4</v>
      </c>
      <c r="Q36">
        <v>3.1100000000000002E-4</v>
      </c>
      <c r="R36">
        <v>1.186E-3</v>
      </c>
      <c r="S36">
        <v>1.155E-3</v>
      </c>
      <c r="T36">
        <v>1.114E-3</v>
      </c>
      <c r="U36">
        <v>1.0870000000000001E-3</v>
      </c>
      <c r="V36">
        <v>1.09E-3</v>
      </c>
      <c r="W36">
        <v>1.1019999999999999E-3</v>
      </c>
      <c r="X36">
        <v>1.2520000000000001E-3</v>
      </c>
      <c r="Y36">
        <v>1.3240000000000001E-3</v>
      </c>
      <c r="Z36">
        <v>1.1999999999999999E-3</v>
      </c>
      <c r="AA36">
        <v>1.3129999999999999E-3</v>
      </c>
      <c r="AB36">
        <v>1.1249999999999999E-3</v>
      </c>
      <c r="AC36">
        <v>1.021E-3</v>
      </c>
      <c r="AD36" s="4">
        <v>-0.98444759249950509</v>
      </c>
    </row>
    <row r="37" spans="1:30" x14ac:dyDescent="0.25">
      <c r="A37" t="s">
        <v>57</v>
      </c>
      <c r="B37" t="s">
        <v>62</v>
      </c>
      <c r="C37">
        <v>2.5458999999999999E-2</v>
      </c>
      <c r="D37">
        <v>2.6322000000000002E-2</v>
      </c>
      <c r="E37">
        <v>1.8360000000000001E-2</v>
      </c>
      <c r="F37">
        <v>1.9193999999999999E-2</v>
      </c>
      <c r="G37">
        <v>1.7628000000000001E-2</v>
      </c>
      <c r="H37">
        <v>1.8634000000000001E-2</v>
      </c>
      <c r="I37">
        <v>2.3557999999999999E-2</v>
      </c>
      <c r="J37">
        <v>1.6192000000000002E-2</v>
      </c>
      <c r="K37">
        <v>1.1153E-2</v>
      </c>
      <c r="L37">
        <v>9.0340000000000004E-3</v>
      </c>
      <c r="M37">
        <v>8.5749999999999993E-3</v>
      </c>
      <c r="N37">
        <v>8.319E-3</v>
      </c>
      <c r="O37">
        <v>7.6610000000000003E-3</v>
      </c>
      <c r="P37">
        <v>6.7390000000000002E-3</v>
      </c>
      <c r="Q37">
        <v>6.0759999999999998E-3</v>
      </c>
      <c r="R37">
        <v>7.6499999999999997E-3</v>
      </c>
      <c r="S37">
        <v>7.1260000000000004E-3</v>
      </c>
      <c r="T37">
        <v>6.9439999999999997E-3</v>
      </c>
      <c r="U37">
        <v>6.7559999999999999E-3</v>
      </c>
      <c r="V37">
        <v>6.9969999999999997E-3</v>
      </c>
      <c r="W37">
        <v>7.3639999999999999E-3</v>
      </c>
      <c r="X37">
        <v>7.0239999999999999E-3</v>
      </c>
      <c r="Y37">
        <v>6.9940000000000002E-3</v>
      </c>
      <c r="Z37">
        <v>7.0980000000000001E-3</v>
      </c>
      <c r="AA37">
        <v>7.143E-3</v>
      </c>
      <c r="AB37">
        <v>6.9129999999999999E-3</v>
      </c>
      <c r="AC37">
        <v>6.9959999999999996E-3</v>
      </c>
      <c r="AD37" s="4">
        <v>-0.72520523194155317</v>
      </c>
    </row>
    <row r="38" spans="1:30" x14ac:dyDescent="0.25">
      <c r="A38" t="s">
        <v>57</v>
      </c>
      <c r="B38" t="s">
        <v>63</v>
      </c>
      <c r="C38">
        <v>0.22996900000000001</v>
      </c>
      <c r="D38">
        <v>0.26794400000000002</v>
      </c>
      <c r="E38">
        <v>0.30493799999999999</v>
      </c>
      <c r="F38">
        <v>0.26313599999999998</v>
      </c>
      <c r="G38">
        <v>0.26680799999999999</v>
      </c>
      <c r="H38">
        <v>0.28271400000000002</v>
      </c>
      <c r="I38">
        <v>0.26967000000000002</v>
      </c>
      <c r="J38">
        <v>0.264872</v>
      </c>
      <c r="K38">
        <v>8.0599999999999995E-3</v>
      </c>
      <c r="L38">
        <v>3.5799999999999998E-3</v>
      </c>
      <c r="M38">
        <v>1.3090000000000001E-3</v>
      </c>
      <c r="N38">
        <v>6.69E-4</v>
      </c>
      <c r="O38">
        <v>6.7100000000000005E-4</v>
      </c>
      <c r="P38">
        <v>6.7199999999999996E-4</v>
      </c>
      <c r="Q38">
        <v>6.7299999999999999E-4</v>
      </c>
      <c r="R38">
        <v>1.2E-5</v>
      </c>
      <c r="S38">
        <v>1.2E-5</v>
      </c>
      <c r="T38">
        <v>1.2E-5</v>
      </c>
      <c r="U38">
        <v>1.2E-5</v>
      </c>
      <c r="V38">
        <v>1.2E-5</v>
      </c>
      <c r="W38">
        <v>1.2E-5</v>
      </c>
      <c r="X38">
        <v>1.2E-5</v>
      </c>
      <c r="Y38">
        <v>1.2E-5</v>
      </c>
      <c r="Z38">
        <v>1.2999999999999999E-5</v>
      </c>
      <c r="AA38">
        <v>1.2999999999999999E-5</v>
      </c>
      <c r="AB38">
        <v>1.2999999999999999E-5</v>
      </c>
      <c r="AC38">
        <v>1.2E-5</v>
      </c>
      <c r="AD38" s="4">
        <v>-0.99994781905387242</v>
      </c>
    </row>
    <row r="39" spans="1:30" x14ac:dyDescent="0.25">
      <c r="A39" t="s">
        <v>70</v>
      </c>
      <c r="B39" t="s">
        <v>66</v>
      </c>
      <c r="C39" cm="1">
        <f t="array" ref="C39:C42">907185*C34:C37*10^6/(C17*10^9)</f>
        <v>75.8224091304767</v>
      </c>
      <c r="D39" cm="1">
        <f t="array" ref="D39:D42">907185*D34:D37*10^6/(D17*10^9)</f>
        <v>77.068710414152463</v>
      </c>
      <c r="E39" cm="1">
        <f t="array" ref="E39:E42">907185*E34:E37*10^6/(E17*10^9)</f>
        <v>72.909910003075566</v>
      </c>
      <c r="F39" cm="1">
        <f t="array" ref="F39:F42">907185*F34:F37*10^6/(F17*10^9)</f>
        <v>65.860311216181685</v>
      </c>
      <c r="G39" cm="1">
        <f t="array" ref="G39:G42">907185*G34:G37*10^6/(G17*10^9)</f>
        <v>63.581966651976145</v>
      </c>
      <c r="H39" cm="1">
        <f t="array" ref="H39:H42">907185*H34:H37*10^6/(H17*10^9)</f>
        <v>62.75595905820952</v>
      </c>
      <c r="I39" cm="1">
        <f t="array" ref="I39:I42">907185*I34:I37*10^6/(I17*10^9)</f>
        <v>58.346288125189304</v>
      </c>
      <c r="J39" cm="1">
        <f t="array" ref="J39:J42">907185*J34:J37*10^6/(J17*10^9)</f>
        <v>50.99694939570675</v>
      </c>
      <c r="K39" cm="1">
        <f t="array" ref="K39:K42">907185*K34:K37*10^6/(K17*10^9)</f>
        <v>36.839201710747361</v>
      </c>
      <c r="L39" cm="1">
        <f t="array" ref="L39:L42">907185*L34:L37*10^6/(L17*10^9)</f>
        <v>34.334540144430783</v>
      </c>
      <c r="M39" cm="1">
        <f t="array" ref="M39:M42">907185*M34:M37*10^6/(M17*10^9)</f>
        <v>30.245987962600285</v>
      </c>
      <c r="N39" cm="1">
        <f t="array" ref="N39:N42">907185*N34:N37*10^6/(N17*10^9)</f>
        <v>28.981551438975384</v>
      </c>
      <c r="O39" cm="1">
        <f t="array" ref="O39:O42">907185*O34:O37*10^6/(O17*10^9)</f>
        <v>23.557440142949744</v>
      </c>
      <c r="P39" cm="1">
        <f t="array" ref="P39:P42">907185*P34:P37*10^6/(P17*10^9)</f>
        <v>15.232678699483746</v>
      </c>
      <c r="Q39" cm="1">
        <f t="array" ref="Q39:Q42">907185*Q34:Q37*10^6/(Q17*10^9)</f>
        <v>12.855356917078524</v>
      </c>
      <c r="R39" cm="1">
        <f t="array" ref="R39:R42">907185*R34:R37*10^6/(R17*10^9)</f>
        <v>13.509063155525464</v>
      </c>
      <c r="S39" cm="1">
        <f t="array" ref="S39:S42">907185*S34:S37*10^6/(S17*10^9)</f>
        <v>12.404836227916865</v>
      </c>
      <c r="T39" cm="1">
        <f t="array" ref="T39:T42">907185*T34:T37*10^6/(T17*10^9)</f>
        <v>11.262575802061415</v>
      </c>
      <c r="U39" cm="1">
        <f t="array" ref="U39:U42">907185*U34:U37*10^6/(U17*10^9)</f>
        <v>9.4820745054279989</v>
      </c>
      <c r="V39" cm="1">
        <f t="array" ref="V39:V42">907185*V34:V37*10^6/(V17*10^9)</f>
        <v>9.9726880360557573</v>
      </c>
      <c r="W39" cm="1">
        <f t="array" ref="W39:W42">907185*W34:W37*10^6/(W17*10^9)</f>
        <v>10.385900261330049</v>
      </c>
      <c r="X39" cm="1">
        <f t="array" ref="X39:X42">907185*X34:X37*10^6/(X17*10^9)</f>
        <v>9.223264018346617</v>
      </c>
      <c r="Y39" cm="1">
        <f t="array" ref="Y39:Y42">907185*Y34:Y37*10^6/(Y17*10^9)</f>
        <v>8.7958388712770379</v>
      </c>
      <c r="Z39" cm="1">
        <f t="array" ref="Z39:Z42">907185*Z34:Z37*10^6/(Z17*10^9)</f>
        <v>9.1845078150466382</v>
      </c>
      <c r="AA39" cm="1">
        <f t="array" ref="AA39:AA42">907185*AA34:AA37*10^6/(AA17*10^9)</f>
        <v>9.4087953813467955</v>
      </c>
      <c r="AB39" cm="1">
        <f t="array" ref="AB39:AB42">907185*AB34:AB37*10^6/(AB17*10^9)</f>
        <v>9.1188555340307538</v>
      </c>
      <c r="AC39" cm="1">
        <f t="array" ref="AC39:AC42">907185*AC34:AC37*10^6/(AC17*10^9)</f>
        <v>9.1752164038190074</v>
      </c>
      <c r="AD39" s="4" cm="1">
        <f t="array" ref="AD39:AD43">(AC39:AC43-C39:C43)/C39:C43</f>
        <v>-0.87899070328891671</v>
      </c>
    </row>
    <row r="40" spans="1:30" x14ac:dyDescent="0.25">
      <c r="A40" t="s">
        <v>70</v>
      </c>
      <c r="B40" t="s">
        <v>67</v>
      </c>
      <c r="C40">
        <v>278.01550500681873</v>
      </c>
      <c r="D40">
        <v>282.58538579119192</v>
      </c>
      <c r="E40">
        <v>267.33641554913089</v>
      </c>
      <c r="F40">
        <v>241.48773710893127</v>
      </c>
      <c r="G40">
        <v>233.13381254880932</v>
      </c>
      <c r="H40">
        <v>230.10511111443984</v>
      </c>
      <c r="I40">
        <v>213.93622202113573</v>
      </c>
      <c r="J40">
        <v>186.98861155774901</v>
      </c>
      <c r="K40">
        <v>135.07704404911655</v>
      </c>
      <c r="L40">
        <v>125.89323308583505</v>
      </c>
      <c r="M40">
        <v>110.90193024550685</v>
      </c>
      <c r="N40">
        <v>106.26564080872038</v>
      </c>
      <c r="O40">
        <v>86.377274377777852</v>
      </c>
      <c r="P40">
        <v>55.853131916277313</v>
      </c>
      <c r="Q40">
        <v>47.136284705477884</v>
      </c>
      <c r="R40">
        <v>49.533231570260035</v>
      </c>
      <c r="S40">
        <v>45.484368871349083</v>
      </c>
      <c r="T40">
        <v>41.296126103696693</v>
      </c>
      <c r="U40">
        <v>34.767633495165121</v>
      </c>
      <c r="V40">
        <v>36.5665404267925</v>
      </c>
      <c r="W40">
        <v>38.081629946503952</v>
      </c>
      <c r="X40">
        <v>33.818646911511962</v>
      </c>
      <c r="Y40">
        <v>32.251415551596082</v>
      </c>
      <c r="Z40">
        <v>33.676544055446179</v>
      </c>
      <c r="AA40">
        <v>34.498915015492905</v>
      </c>
      <c r="AB40">
        <v>33.435809150382781</v>
      </c>
      <c r="AC40">
        <v>33.642463565869228</v>
      </c>
      <c r="AD40" s="4">
        <v>-0.87899069310884614</v>
      </c>
    </row>
    <row r="41" spans="1:30" x14ac:dyDescent="0.25">
      <c r="A41" t="s">
        <v>70</v>
      </c>
      <c r="B41" t="s">
        <v>68</v>
      </c>
      <c r="C41">
        <v>0.1915009244640668</v>
      </c>
      <c r="D41">
        <v>0.17117945953251576</v>
      </c>
      <c r="E41">
        <v>0.10898537482719836</v>
      </c>
      <c r="F41">
        <v>7.7437751748881914E-2</v>
      </c>
      <c r="G41">
        <v>7.6029052784100479E-2</v>
      </c>
      <c r="H41">
        <v>6.2700065832441684E-2</v>
      </c>
      <c r="I41">
        <v>2.7941856030759125E-2</v>
      </c>
      <c r="J41">
        <v>2.2139070940788184E-2</v>
      </c>
      <c r="K41">
        <v>5.0374160953013426E-3</v>
      </c>
      <c r="L41">
        <v>2.33375514015546E-3</v>
      </c>
      <c r="M41">
        <v>1.0265242459204921E-3</v>
      </c>
      <c r="N41">
        <v>6.8116219795537618E-4</v>
      </c>
      <c r="O41">
        <v>6.6380809027686562E-4</v>
      </c>
      <c r="P41">
        <v>6.7197630795286299E-4</v>
      </c>
      <c r="Q41">
        <v>7.4610382543916843E-4</v>
      </c>
      <c r="R41">
        <v>2.7509238115835249E-3</v>
      </c>
      <c r="S41">
        <v>2.5886941267293426E-3</v>
      </c>
      <c r="T41">
        <v>2.4780046894712611E-3</v>
      </c>
      <c r="U41">
        <v>2.443509190682161E-3</v>
      </c>
      <c r="V41">
        <v>2.4018042889750848E-3</v>
      </c>
      <c r="W41">
        <v>2.3941167967525502E-3</v>
      </c>
      <c r="X41">
        <v>2.6905276057096988E-3</v>
      </c>
      <c r="Y41">
        <v>2.8055178735630366E-3</v>
      </c>
      <c r="Z41">
        <v>2.5200450298824856E-3</v>
      </c>
      <c r="AA41">
        <v>2.7233826220462122E-3</v>
      </c>
      <c r="AB41">
        <v>2.3311139091539059E-3</v>
      </c>
      <c r="AC41">
        <v>2.0941932322244669E-3</v>
      </c>
      <c r="AD41" s="4">
        <v>-0.98906431789775817</v>
      </c>
    </row>
    <row r="42" spans="1:30" x14ac:dyDescent="0.25">
      <c r="A42" t="s">
        <v>70</v>
      </c>
      <c r="B42" t="s">
        <v>69</v>
      </c>
      <c r="C42">
        <v>7.4264985543278289E-2</v>
      </c>
      <c r="D42">
        <v>7.4575642327990868E-2</v>
      </c>
      <c r="E42">
        <v>5.3632407242953761E-2</v>
      </c>
      <c r="F42">
        <v>5.3554089755279942E-2</v>
      </c>
      <c r="G42">
        <v>4.8545354334907392E-2</v>
      </c>
      <c r="H42">
        <v>4.8559976172972495E-2</v>
      </c>
      <c r="I42">
        <v>6.2405597684169832E-2</v>
      </c>
      <c r="J42">
        <v>4.2665536381009561E-2</v>
      </c>
      <c r="K42">
        <v>2.9292128107870633E-2</v>
      </c>
      <c r="L42">
        <v>2.3795873517115606E-2</v>
      </c>
      <c r="M42">
        <v>2.3535950290824115E-2</v>
      </c>
      <c r="N42">
        <v>2.2941653136804754E-2</v>
      </c>
      <c r="O42">
        <v>2.0180292776234399E-2</v>
      </c>
      <c r="P42">
        <v>1.68343804434734E-2</v>
      </c>
      <c r="Q42">
        <v>1.4576613644271342E-2</v>
      </c>
      <c r="R42">
        <v>1.7744154433907221E-2</v>
      </c>
      <c r="S42">
        <v>1.5971458309154373E-2</v>
      </c>
      <c r="T42">
        <v>1.5446377525752635E-2</v>
      </c>
      <c r="U42">
        <v>1.5187072761958305E-2</v>
      </c>
      <c r="V42">
        <v>1.5417820743081345E-2</v>
      </c>
      <c r="W42">
        <v>1.5998435654524301E-2</v>
      </c>
      <c r="X42">
        <v>1.5094461583470387E-2</v>
      </c>
      <c r="Y42">
        <v>1.4820084597960633E-2</v>
      </c>
      <c r="Z42">
        <v>1.4906066351754907E-2</v>
      </c>
      <c r="AA42">
        <v>1.4815782230979508E-2</v>
      </c>
      <c r="AB42">
        <v>1.4324435959094181E-2</v>
      </c>
      <c r="AC42">
        <v>1.434963354813161E-2</v>
      </c>
      <c r="AD42" s="4">
        <v>-0.80677793925147556</v>
      </c>
    </row>
    <row r="43" spans="1:30" x14ac:dyDescent="0.25">
      <c r="A43" t="s">
        <v>70</v>
      </c>
      <c r="B43" t="s">
        <v>65</v>
      </c>
      <c r="C43">
        <f>907185*C38/(C17*10^9)</f>
        <v>6.7082935152214018E-7</v>
      </c>
      <c r="D43">
        <f>907185*D38/(D17*10^9)</f>
        <v>7.5914048734637123E-7</v>
      </c>
      <c r="E43">
        <f>907185*E38/(E17*10^9)</f>
        <v>8.9077118735576431E-7</v>
      </c>
      <c r="F43">
        <f>907185*F38/(F17*10^9)</f>
        <v>7.3418823391921125E-7</v>
      </c>
      <c r="G43">
        <f>907185*G38/(G17*10^9)</f>
        <v>7.3475657473269627E-7</v>
      </c>
      <c r="H43">
        <f>907185*H38/(H17*10^9)</f>
        <v>7.3674922742115201E-7</v>
      </c>
      <c r="I43">
        <f>907185*I38/(I17*10^9)</f>
        <v>7.1436104624713831E-7</v>
      </c>
      <c r="J43">
        <f>907185*J38/(J17*10^9)</f>
        <v>6.9793144468322403E-7</v>
      </c>
      <c r="K43">
        <f>907185*K38/(K17*10^9)</f>
        <v>2.1168703716438384E-8</v>
      </c>
      <c r="L43">
        <f>907185*L38/(L17*10^9)</f>
        <v>9.4298458259103238E-9</v>
      </c>
      <c r="M43">
        <f>907185*M38/(M17*10^9)</f>
        <v>3.5928348607217226E-9</v>
      </c>
      <c r="N43">
        <f>907185*N38/(N17*10^9)</f>
        <v>1.8449291920329821E-9</v>
      </c>
      <c r="O43">
        <f>907185*O38/(O17*10^9)</f>
        <v>1.7675207483165749E-9</v>
      </c>
      <c r="P43">
        <f>907185*P38/(P17*10^9)</f>
        <v>1.6786917432874497E-9</v>
      </c>
      <c r="Q43">
        <f>907185*Q38/(Q17*10^9)</f>
        <v>1.6145590820596794E-9</v>
      </c>
      <c r="R43">
        <f>907185*R38/(R17*10^9)</f>
        <v>2.7833967739462307E-11</v>
      </c>
      <c r="S43">
        <f>907185*S38/(S17*10^9)</f>
        <v>2.6895523394590574E-11</v>
      </c>
      <c r="T43">
        <f>907185*T38/(T17*10^9)</f>
        <v>2.6693048719618613E-11</v>
      </c>
      <c r="U43">
        <f>907185*U38/(U17*10^9)</f>
        <v>2.6975262454632868E-11</v>
      </c>
      <c r="V43">
        <f>907185*V38/(V17*10^9)</f>
        <v>2.6441882080459647E-11</v>
      </c>
      <c r="W43">
        <f>907185*W38/(W17*10^9)</f>
        <v>2.6070237351207444E-11</v>
      </c>
      <c r="X43">
        <f>907185*X38/(X17*10^9)</f>
        <v>2.5787804527568997E-11</v>
      </c>
      <c r="Y43">
        <f>907185*Y38/(Y17*10^9)</f>
        <v>2.5427654443169515E-11</v>
      </c>
      <c r="Z43">
        <f>907185*Z38/(Z17*10^9)</f>
        <v>2.7300487823726935E-11</v>
      </c>
      <c r="AA43">
        <f>907185*AA38/(AA17*10^9)</f>
        <v>2.696418437669517E-11</v>
      </c>
      <c r="AB43">
        <f>907185*AB38/(AB17*10^9)</f>
        <v>2.6937316283556248E-11</v>
      </c>
      <c r="AC43">
        <f>907185*AC38/(AC17*10^9)</f>
        <v>2.4613436617721459E-11</v>
      </c>
      <c r="AD43" s="4">
        <v>-0.99996330894502172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43"/>
  <sheetViews>
    <sheetView tabSelected="1" zoomScale="70" zoomScaleNormal="70" workbookViewId="0">
      <selection activeCell="B16" sqref="B16:B17"/>
    </sheetView>
  </sheetViews>
  <sheetFormatPr defaultRowHeight="15" x14ac:dyDescent="0.25"/>
  <cols>
    <col min="1" max="1" width="44.7109375" bestFit="1" customWidth="1"/>
    <col min="2" max="2" width="16.140625" bestFit="1" customWidth="1"/>
    <col min="3" max="29" width="12.7109375" bestFit="1" customWidth="1"/>
    <col min="30" max="30" width="19.42578125" bestFit="1" customWidth="1"/>
  </cols>
  <sheetData>
    <row r="1" spans="1:30" s="3" customFormat="1" ht="15.75" thickBot="1" x14ac:dyDescent="0.3">
      <c r="A1" s="3" t="s">
        <v>72</v>
      </c>
      <c r="B1" s="1" t="s">
        <v>73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</row>
    <row r="2" spans="1:30" ht="15.75" thickTop="1" x14ac:dyDescent="0.25">
      <c r="A2" t="s">
        <v>29</v>
      </c>
      <c r="B2" t="s">
        <v>30</v>
      </c>
      <c r="C2">
        <v>54.611477000000001</v>
      </c>
      <c r="D2">
        <v>54.802204000000003</v>
      </c>
      <c r="E2">
        <v>59.900494000000002</v>
      </c>
      <c r="F2">
        <v>44.584266999999997</v>
      </c>
      <c r="G2">
        <v>34.75309</v>
      </c>
      <c r="H2">
        <v>24.056533999999999</v>
      </c>
      <c r="I2">
        <v>23.26623</v>
      </c>
      <c r="J2">
        <v>22.77092</v>
      </c>
      <c r="K2">
        <v>9.0782469999999993</v>
      </c>
      <c r="L2">
        <v>8.615558</v>
      </c>
      <c r="M2">
        <v>8.2433519999999998</v>
      </c>
      <c r="N2">
        <v>7.1997939999999998</v>
      </c>
      <c r="O2">
        <v>6.2277209999999998</v>
      </c>
      <c r="P2">
        <v>4.7599390000000001</v>
      </c>
      <c r="Q2">
        <v>3.6954850000000001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 s="4" cm="1">
        <f t="array" ref="AD2:AD17">(AC2:AC17-C2:C17)/C2:C17</f>
        <v>-1</v>
      </c>
    </row>
    <row r="3" spans="1:30" x14ac:dyDescent="0.25">
      <c r="A3" t="s">
        <v>29</v>
      </c>
      <c r="B3" t="s">
        <v>32</v>
      </c>
      <c r="C3">
        <v>0.23790800000000001</v>
      </c>
      <c r="D3">
        <v>0.24018900000000001</v>
      </c>
      <c r="E3">
        <v>0.24736</v>
      </c>
      <c r="F3">
        <v>0.17541799999999999</v>
      </c>
      <c r="G3">
        <v>0.14044200000000001</v>
      </c>
      <c r="H3">
        <v>7.2621000000000005E-2</v>
      </c>
      <c r="I3">
        <v>5.5145E-2</v>
      </c>
      <c r="J3">
        <v>5.4882E-2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 s="4">
        <v>-1</v>
      </c>
    </row>
    <row r="4" spans="1:30" x14ac:dyDescent="0.25">
      <c r="A4" t="s">
        <v>29</v>
      </c>
      <c r="B4" t="s">
        <v>33</v>
      </c>
      <c r="C4">
        <v>55.363514000000002</v>
      </c>
      <c r="D4">
        <v>45.797072999999997</v>
      </c>
      <c r="E4">
        <v>43.416347999999999</v>
      </c>
      <c r="F4">
        <v>47.626263000000002</v>
      </c>
      <c r="G4">
        <v>43.229396999999999</v>
      </c>
      <c r="H4">
        <v>42.774363999999998</v>
      </c>
      <c r="I4">
        <v>39.875660000000003</v>
      </c>
      <c r="J4">
        <v>29.763356999999999</v>
      </c>
      <c r="K4">
        <v>37.394333000000003</v>
      </c>
      <c r="L4">
        <v>35.435654</v>
      </c>
      <c r="M4">
        <v>30.401278999999999</v>
      </c>
      <c r="N4">
        <v>31.240976</v>
      </c>
      <c r="O4">
        <v>23.152640999999999</v>
      </c>
      <c r="P4">
        <v>19.749949999999998</v>
      </c>
      <c r="Q4">
        <v>18.080379000000001</v>
      </c>
      <c r="R4">
        <v>17.741409000000001</v>
      </c>
      <c r="S4">
        <v>17.146242000000001</v>
      </c>
      <c r="T4">
        <v>15.479086000000001</v>
      </c>
      <c r="U4">
        <v>15.732168</v>
      </c>
      <c r="V4">
        <v>15.963608000000001</v>
      </c>
      <c r="W4">
        <v>15.450926000000001</v>
      </c>
      <c r="X4">
        <v>14.256466</v>
      </c>
      <c r="Y4">
        <v>12.648633999999999</v>
      </c>
      <c r="Z4">
        <v>12.378662</v>
      </c>
      <c r="AA4">
        <v>13.033305</v>
      </c>
      <c r="AB4">
        <v>14.208273</v>
      </c>
      <c r="AC4">
        <v>14.336655</v>
      </c>
      <c r="AD4" s="4">
        <v>-0.74104506805691561</v>
      </c>
    </row>
    <row r="5" spans="1:30" x14ac:dyDescent="0.25">
      <c r="A5" t="s">
        <v>29</v>
      </c>
      <c r="B5" t="s">
        <v>34</v>
      </c>
      <c r="C5">
        <v>65.634658999999999</v>
      </c>
      <c r="D5">
        <v>66.652107000000001</v>
      </c>
      <c r="E5">
        <v>66.500397000000007</v>
      </c>
      <c r="F5">
        <v>66.348686000000001</v>
      </c>
      <c r="G5">
        <v>66.349159</v>
      </c>
      <c r="H5">
        <v>66.343224000000006</v>
      </c>
      <c r="I5">
        <v>66.338661000000002</v>
      </c>
      <c r="J5">
        <v>66.348686000000001</v>
      </c>
      <c r="K5">
        <v>66.348686000000001</v>
      </c>
      <c r="L5">
        <v>66.348686000000001</v>
      </c>
      <c r="M5">
        <v>62.175522000000001</v>
      </c>
      <c r="N5">
        <v>62.051003000000001</v>
      </c>
      <c r="O5">
        <v>61.492935000000003</v>
      </c>
      <c r="P5">
        <v>61.008929999999999</v>
      </c>
      <c r="Q5">
        <v>63.18486</v>
      </c>
      <c r="R5">
        <v>66.348686000000001</v>
      </c>
      <c r="S5">
        <v>66.348686000000001</v>
      </c>
      <c r="T5">
        <v>66.348686000000001</v>
      </c>
      <c r="U5">
        <v>58.801445000000001</v>
      </c>
      <c r="V5">
        <v>56.370128999999999</v>
      </c>
      <c r="W5">
        <v>56.318638</v>
      </c>
      <c r="X5">
        <v>57.344665999999997</v>
      </c>
      <c r="Y5">
        <v>54.382347000000003</v>
      </c>
      <c r="Z5">
        <v>54.796866999999999</v>
      </c>
      <c r="AA5">
        <v>59.47551</v>
      </c>
      <c r="AB5">
        <v>60.739384000000001</v>
      </c>
      <c r="AC5">
        <v>60.756962000000001</v>
      </c>
      <c r="AD5" s="4">
        <v>-7.4315873264459223E-2</v>
      </c>
    </row>
    <row r="6" spans="1:30" x14ac:dyDescent="0.25">
      <c r="A6" t="s">
        <v>29</v>
      </c>
      <c r="B6" t="s">
        <v>35</v>
      </c>
      <c r="C6">
        <v>-0.46818199999999999</v>
      </c>
      <c r="D6">
        <v>-0.46820400000000001</v>
      </c>
      <c r="E6">
        <v>-0.46830699999999997</v>
      </c>
      <c r="F6">
        <v>-0.46838800000000003</v>
      </c>
      <c r="G6">
        <v>-0.47114</v>
      </c>
      <c r="H6">
        <v>-0.47178700000000001</v>
      </c>
      <c r="I6">
        <v>-0.47178799999999999</v>
      </c>
      <c r="J6">
        <v>-0.47171000000000002</v>
      </c>
      <c r="K6">
        <v>-0.97501599999999999</v>
      </c>
      <c r="L6">
        <v>-1.495911</v>
      </c>
      <c r="M6">
        <v>-1.9939579999999999</v>
      </c>
      <c r="N6">
        <v>-2.4416669999999998</v>
      </c>
      <c r="O6">
        <v>-3.0110060000000001</v>
      </c>
      <c r="P6">
        <v>-3.631958</v>
      </c>
      <c r="Q6">
        <v>-4.1966960000000002</v>
      </c>
      <c r="R6">
        <v>-4.213457</v>
      </c>
      <c r="S6">
        <v>-4.1953639999999996</v>
      </c>
      <c r="T6">
        <v>-4.5086649999999997</v>
      </c>
      <c r="U6">
        <v>-4.4715379999999998</v>
      </c>
      <c r="V6">
        <v>-4.2360540000000002</v>
      </c>
      <c r="W6">
        <v>-4.48027</v>
      </c>
      <c r="X6">
        <v>-4.443651</v>
      </c>
      <c r="Y6">
        <v>-4.4524559999999997</v>
      </c>
      <c r="Z6">
        <v>-4.4677559999999996</v>
      </c>
      <c r="AA6">
        <v>-4.1764950000000001</v>
      </c>
      <c r="AB6">
        <v>-4.2451619999999997</v>
      </c>
      <c r="AC6">
        <v>-4.4257400000000002</v>
      </c>
      <c r="AD6" s="4">
        <v>8.4530332221230218</v>
      </c>
    </row>
    <row r="7" spans="1:30" x14ac:dyDescent="0.25">
      <c r="A7" t="s">
        <v>29</v>
      </c>
      <c r="B7" t="s">
        <v>36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 s="4" t="e">
        <v>#DIV/0!</v>
      </c>
    </row>
    <row r="8" spans="1:30" x14ac:dyDescent="0.25">
      <c r="A8" t="s">
        <v>29</v>
      </c>
      <c r="B8" t="s">
        <v>37</v>
      </c>
      <c r="C8">
        <v>15.560193</v>
      </c>
      <c r="D8">
        <v>16.906275000000001</v>
      </c>
      <c r="E8">
        <v>17.554268</v>
      </c>
      <c r="F8">
        <v>18.197368999999998</v>
      </c>
      <c r="G8">
        <v>18.231670000000001</v>
      </c>
      <c r="H8">
        <v>18.237998999999999</v>
      </c>
      <c r="I8">
        <v>18.235766999999999</v>
      </c>
      <c r="J8">
        <v>18.087022999999999</v>
      </c>
      <c r="K8">
        <v>17.753325</v>
      </c>
      <c r="L8">
        <v>17.190134</v>
      </c>
      <c r="M8">
        <v>16.821422999999999</v>
      </c>
      <c r="N8">
        <v>17.214355000000001</v>
      </c>
      <c r="O8">
        <v>17.393404</v>
      </c>
      <c r="P8">
        <v>17.403872</v>
      </c>
      <c r="Q8">
        <v>14.546633</v>
      </c>
      <c r="R8">
        <v>16.110312</v>
      </c>
      <c r="S8">
        <v>16.050488999999999</v>
      </c>
      <c r="T8">
        <v>15.853771999999999</v>
      </c>
      <c r="U8">
        <v>16.621016999999998</v>
      </c>
      <c r="V8">
        <v>15.763055</v>
      </c>
      <c r="W8">
        <v>15.876322</v>
      </c>
      <c r="X8">
        <v>15.945672999999999</v>
      </c>
      <c r="Y8">
        <v>14.436745999999999</v>
      </c>
      <c r="Z8">
        <v>15.278987000000001</v>
      </c>
      <c r="AA8">
        <v>16.108442</v>
      </c>
      <c r="AB8">
        <v>16.094494000000001</v>
      </c>
      <c r="AC8">
        <v>16.112601999999999</v>
      </c>
      <c r="AD8" s="4">
        <v>3.5501423407794427E-2</v>
      </c>
    </row>
    <row r="9" spans="1:30" x14ac:dyDescent="0.25">
      <c r="A9" t="s">
        <v>29</v>
      </c>
      <c r="B9" t="s">
        <v>38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 s="4" t="e">
        <v>#DIV/0!</v>
      </c>
    </row>
    <row r="10" spans="1:30" x14ac:dyDescent="0.25">
      <c r="A10" t="s">
        <v>29</v>
      </c>
      <c r="B10" t="s">
        <v>39</v>
      </c>
      <c r="C10">
        <v>9.6962999999999994E-2</v>
      </c>
      <c r="D10">
        <v>0.12360699999999999</v>
      </c>
      <c r="E10">
        <v>0.15143999999999999</v>
      </c>
      <c r="F10">
        <v>0.17114399999999999</v>
      </c>
      <c r="G10">
        <v>0.19368299999999999</v>
      </c>
      <c r="H10">
        <v>0.21790399999999999</v>
      </c>
      <c r="I10">
        <v>0.24204600000000001</v>
      </c>
      <c r="J10">
        <v>0.26750600000000002</v>
      </c>
      <c r="K10">
        <v>0.29238700000000001</v>
      </c>
      <c r="L10">
        <v>0.31663400000000003</v>
      </c>
      <c r="M10">
        <v>0.33862199999999998</v>
      </c>
      <c r="N10">
        <v>0.363263</v>
      </c>
      <c r="O10">
        <v>0.38905800000000001</v>
      </c>
      <c r="P10">
        <v>0.416406</v>
      </c>
      <c r="Q10">
        <v>0.44383400000000001</v>
      </c>
      <c r="R10">
        <v>0.46273199999999998</v>
      </c>
      <c r="S10">
        <v>0.48229499999999997</v>
      </c>
      <c r="T10">
        <v>0.50170700000000001</v>
      </c>
      <c r="U10">
        <v>0.52118900000000001</v>
      </c>
      <c r="V10">
        <v>0.54039800000000004</v>
      </c>
      <c r="W10">
        <v>0.55014099999999999</v>
      </c>
      <c r="X10">
        <v>0.56003400000000003</v>
      </c>
      <c r="Y10">
        <v>0.56984100000000004</v>
      </c>
      <c r="Z10">
        <v>0.57966300000000004</v>
      </c>
      <c r="AA10">
        <v>0.58967499999999995</v>
      </c>
      <c r="AB10">
        <v>0.58967499999999995</v>
      </c>
      <c r="AC10">
        <v>0.58967499999999995</v>
      </c>
      <c r="AD10" s="4">
        <v>5.0814434371873807</v>
      </c>
    </row>
    <row r="11" spans="1:30" x14ac:dyDescent="0.25">
      <c r="A11" t="s">
        <v>29</v>
      </c>
      <c r="B11" t="s">
        <v>40</v>
      </c>
      <c r="C11">
        <v>6.6559999999999996E-3</v>
      </c>
      <c r="D11">
        <v>6.9360000000000003E-3</v>
      </c>
      <c r="E11">
        <v>1.5799999999999999E-4</v>
      </c>
      <c r="F11">
        <v>1.5799999999999999E-4</v>
      </c>
      <c r="G11">
        <v>1.5799999999999999E-4</v>
      </c>
      <c r="H11">
        <v>1.5799999999999999E-4</v>
      </c>
      <c r="I11">
        <v>1.5799999999999999E-4</v>
      </c>
      <c r="J11">
        <v>1.5799999999999999E-4</v>
      </c>
      <c r="K11">
        <v>1.5799999999999999E-4</v>
      </c>
      <c r="L11">
        <v>1.5799999999999999E-4</v>
      </c>
      <c r="M11">
        <v>1.5799999999999999E-4</v>
      </c>
      <c r="N11">
        <v>1.5799999999999999E-4</v>
      </c>
      <c r="O11">
        <v>1.5799999999999999E-4</v>
      </c>
      <c r="P11">
        <v>1.5799999999999999E-4</v>
      </c>
      <c r="Q11">
        <v>1.5799999999999999E-4</v>
      </c>
      <c r="R11">
        <v>1.5799999999999999E-4</v>
      </c>
      <c r="S11">
        <v>1.5799999999999999E-4</v>
      </c>
      <c r="T11">
        <v>1.5799999999999999E-4</v>
      </c>
      <c r="U11">
        <v>1.5799999999999999E-4</v>
      </c>
      <c r="V11">
        <v>1.811491</v>
      </c>
      <c r="W11">
        <v>2.4470550000000002</v>
      </c>
      <c r="X11">
        <v>2.4470550000000002</v>
      </c>
      <c r="Y11">
        <v>2.4470550000000002</v>
      </c>
      <c r="Z11">
        <v>2.4470550000000002</v>
      </c>
      <c r="AA11">
        <v>2.519984</v>
      </c>
      <c r="AB11">
        <v>2.6187070000000001</v>
      </c>
      <c r="AC11">
        <v>2.6187070000000001</v>
      </c>
      <c r="AD11" s="4">
        <v>392.43554687500006</v>
      </c>
    </row>
    <row r="12" spans="1:30" x14ac:dyDescent="0.25">
      <c r="A12" t="s">
        <v>29</v>
      </c>
      <c r="B12" t="s">
        <v>41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 s="4" t="e">
        <v>#DIV/0!</v>
      </c>
    </row>
    <row r="13" spans="1:30" x14ac:dyDescent="0.25">
      <c r="A13" t="s">
        <v>29</v>
      </c>
      <c r="B13" t="s">
        <v>42</v>
      </c>
      <c r="C13">
        <v>2.3292579999999998</v>
      </c>
      <c r="D13">
        <v>3.9264039999999998</v>
      </c>
      <c r="E13">
        <v>4.5002680000000002</v>
      </c>
      <c r="F13">
        <v>4.5059100000000001</v>
      </c>
      <c r="G13">
        <v>21.885221000000001</v>
      </c>
      <c r="H13">
        <v>46.155951999999999</v>
      </c>
      <c r="I13">
        <v>68.850005999999993</v>
      </c>
      <c r="J13">
        <v>91.621643000000006</v>
      </c>
      <c r="K13">
        <v>116.566795</v>
      </c>
      <c r="L13">
        <v>134.36541700000001</v>
      </c>
      <c r="M13">
        <v>146.94628900000001</v>
      </c>
      <c r="N13">
        <v>149.29325900000001</v>
      </c>
      <c r="O13">
        <v>149.77456699999999</v>
      </c>
      <c r="P13">
        <v>149.74331699999999</v>
      </c>
      <c r="Q13">
        <v>147.46292099999999</v>
      </c>
      <c r="R13">
        <v>144.298889</v>
      </c>
      <c r="S13">
        <v>141.581604</v>
      </c>
      <c r="T13">
        <v>141.211975</v>
      </c>
      <c r="U13">
        <v>144.79676799999999</v>
      </c>
      <c r="V13">
        <v>142.31336999999999</v>
      </c>
      <c r="W13">
        <v>143.29037500000001</v>
      </c>
      <c r="X13">
        <v>139.20542900000001</v>
      </c>
      <c r="Y13">
        <v>145.58606</v>
      </c>
      <c r="Z13">
        <v>146.191101</v>
      </c>
      <c r="AA13">
        <v>139.88591</v>
      </c>
      <c r="AB13">
        <v>138.64897199999999</v>
      </c>
      <c r="AC13">
        <v>138.660934</v>
      </c>
      <c r="AD13" s="4">
        <v>58.53008812248364</v>
      </c>
    </row>
    <row r="14" spans="1:30" x14ac:dyDescent="0.25">
      <c r="A14" t="s">
        <v>29</v>
      </c>
      <c r="B14" t="s">
        <v>43</v>
      </c>
      <c r="C14">
        <v>2.6112E-2</v>
      </c>
      <c r="D14">
        <v>2.5176E-2</v>
      </c>
      <c r="E14">
        <v>2.6039E-2</v>
      </c>
      <c r="F14">
        <v>1.757738</v>
      </c>
      <c r="G14">
        <v>2.9364840000000001</v>
      </c>
      <c r="H14">
        <v>3.123122</v>
      </c>
      <c r="I14">
        <v>3.1248870000000002</v>
      </c>
      <c r="J14">
        <v>3.0854970000000002</v>
      </c>
      <c r="K14">
        <v>2.9864850000000001</v>
      </c>
      <c r="L14">
        <v>2.8458929999999998</v>
      </c>
      <c r="M14">
        <v>2.7738040000000002</v>
      </c>
      <c r="N14">
        <v>2.8191079999999999</v>
      </c>
      <c r="O14">
        <v>2.848779</v>
      </c>
      <c r="P14">
        <v>8.9288439999999998</v>
      </c>
      <c r="Q14">
        <v>13.888616000000001</v>
      </c>
      <c r="R14">
        <v>15.171220999999999</v>
      </c>
      <c r="S14">
        <v>15.197221000000001</v>
      </c>
      <c r="T14">
        <v>20.154966000000002</v>
      </c>
      <c r="U14">
        <v>32.819499999999998</v>
      </c>
      <c r="V14">
        <v>41.026299000000002</v>
      </c>
      <c r="W14">
        <v>42.387497000000003</v>
      </c>
      <c r="X14">
        <v>42.348042</v>
      </c>
      <c r="Y14">
        <v>42.490273000000002</v>
      </c>
      <c r="Z14">
        <v>42.677734000000001</v>
      </c>
      <c r="AA14">
        <v>43.155228000000001</v>
      </c>
      <c r="AB14">
        <v>43.017288000000001</v>
      </c>
      <c r="AC14">
        <v>43.335461000000002</v>
      </c>
      <c r="AD14" s="4">
        <v>1658.5994561887258</v>
      </c>
    </row>
    <row r="15" spans="1:30" x14ac:dyDescent="0.25">
      <c r="A15" t="s">
        <v>29</v>
      </c>
      <c r="B15" t="s">
        <v>44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 s="4" t="e">
        <v>#DIV/0!</v>
      </c>
    </row>
    <row r="16" spans="1:30" x14ac:dyDescent="0.25">
      <c r="A16" t="s">
        <v>29</v>
      </c>
      <c r="B16" s="5" t="s">
        <v>45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 s="4" t="e">
        <v>#DIV/0!</v>
      </c>
    </row>
    <row r="17" spans="1:30" x14ac:dyDescent="0.25">
      <c r="A17" t="s">
        <v>29</v>
      </c>
      <c r="B17" s="5" t="s">
        <v>46</v>
      </c>
      <c r="C17">
        <v>193.39856</v>
      </c>
      <c r="D17">
        <v>188.01177999999999</v>
      </c>
      <c r="E17">
        <v>191.82847599999999</v>
      </c>
      <c r="F17">
        <v>182.89857499999999</v>
      </c>
      <c r="G17">
        <v>187.248154</v>
      </c>
      <c r="H17">
        <v>200.51007100000001</v>
      </c>
      <c r="I17">
        <v>219.516785</v>
      </c>
      <c r="J17">
        <v>231.52795399999999</v>
      </c>
      <c r="K17">
        <v>249.44538900000001</v>
      </c>
      <c r="L17">
        <v>263.62219199999998</v>
      </c>
      <c r="M17">
        <v>265.70648199999999</v>
      </c>
      <c r="N17">
        <v>267.74026500000002</v>
      </c>
      <c r="O17">
        <v>258.26825000000002</v>
      </c>
      <c r="P17">
        <v>258.37948599999999</v>
      </c>
      <c r="Q17">
        <v>257.106201</v>
      </c>
      <c r="R17">
        <v>255.91995199999999</v>
      </c>
      <c r="S17">
        <v>252.611313</v>
      </c>
      <c r="T17">
        <v>255.041687</v>
      </c>
      <c r="U17">
        <v>264.82070900000002</v>
      </c>
      <c r="V17">
        <v>269.55230699999998</v>
      </c>
      <c r="W17">
        <v>271.84066799999999</v>
      </c>
      <c r="X17">
        <v>267.66372699999999</v>
      </c>
      <c r="Y17">
        <v>268.10849000000002</v>
      </c>
      <c r="Z17">
        <v>269.88232399999998</v>
      </c>
      <c r="AA17">
        <v>270.59155299999998</v>
      </c>
      <c r="AB17">
        <v>271.67163099999999</v>
      </c>
      <c r="AC17">
        <v>271.98525999999998</v>
      </c>
      <c r="AD17" s="4">
        <v>0.4063458383557767</v>
      </c>
    </row>
    <row r="18" spans="1:30" x14ac:dyDescent="0.25">
      <c r="A18" t="s">
        <v>74</v>
      </c>
      <c r="B18" t="s">
        <v>47</v>
      </c>
      <c r="C18">
        <v>11.774305</v>
      </c>
      <c r="D18">
        <v>11.744933</v>
      </c>
      <c r="E18">
        <v>10.698404</v>
      </c>
      <c r="F18">
        <v>10.520826</v>
      </c>
      <c r="G18">
        <v>10.572234</v>
      </c>
      <c r="H18">
        <v>10.790779000000001</v>
      </c>
      <c r="I18">
        <v>10.979093000000001</v>
      </c>
      <c r="J18">
        <v>10.890806</v>
      </c>
      <c r="K18">
        <v>11.187296</v>
      </c>
      <c r="L18">
        <v>11.454801</v>
      </c>
      <c r="M18">
        <v>11.758546000000001</v>
      </c>
      <c r="N18">
        <v>12.128981</v>
      </c>
      <c r="O18">
        <v>12.073366999999999</v>
      </c>
      <c r="P18">
        <v>11.832827999999999</v>
      </c>
      <c r="Q18">
        <v>11.647411</v>
      </c>
      <c r="R18">
        <v>11.345787</v>
      </c>
      <c r="S18">
        <v>11.470433</v>
      </c>
      <c r="T18">
        <v>11.583353000000001</v>
      </c>
      <c r="U18">
        <v>11.830109</v>
      </c>
      <c r="V18">
        <v>12.011713</v>
      </c>
      <c r="W18">
        <v>12.027036000000001</v>
      </c>
      <c r="X18">
        <v>11.920159</v>
      </c>
      <c r="Y18">
        <v>11.678739</v>
      </c>
      <c r="Z18">
        <v>11.524819000000001</v>
      </c>
      <c r="AA18">
        <v>11.61552</v>
      </c>
      <c r="AB18">
        <v>11.594025</v>
      </c>
      <c r="AC18">
        <v>11.46663</v>
      </c>
      <c r="AD18" s="4" cm="1">
        <f t="array" ref="AD18:AD22">(AC18:AC22-C18:C22)/C18:C22</f>
        <v>-2.6131054019748912E-2</v>
      </c>
    </row>
    <row r="19" spans="1:30" x14ac:dyDescent="0.25">
      <c r="A19" t="s">
        <v>74</v>
      </c>
      <c r="B19" t="s">
        <v>49</v>
      </c>
      <c r="C19">
        <v>12.330629999999999</v>
      </c>
      <c r="D19">
        <v>11.844269000000001</v>
      </c>
      <c r="E19">
        <v>10.539873999999999</v>
      </c>
      <c r="F19">
        <v>10.406981999999999</v>
      </c>
      <c r="G19">
        <v>10.575395</v>
      </c>
      <c r="H19">
        <v>10.919879</v>
      </c>
      <c r="I19">
        <v>11.207382000000001</v>
      </c>
      <c r="J19">
        <v>11.156912999999999</v>
      </c>
      <c r="K19">
        <v>11.573396000000001</v>
      </c>
      <c r="L19">
        <v>11.966896</v>
      </c>
      <c r="M19">
        <v>12.418539000000001</v>
      </c>
      <c r="N19">
        <v>12.969459000000001</v>
      </c>
      <c r="O19">
        <v>12.952506</v>
      </c>
      <c r="P19">
        <v>12.687036000000001</v>
      </c>
      <c r="Q19">
        <v>12.486348</v>
      </c>
      <c r="R19">
        <v>12.146902000000001</v>
      </c>
      <c r="S19">
        <v>12.337115000000001</v>
      </c>
      <c r="T19">
        <v>12.513381000000001</v>
      </c>
      <c r="U19">
        <v>12.894933</v>
      </c>
      <c r="V19">
        <v>13.154201</v>
      </c>
      <c r="W19">
        <v>13.212331000000001</v>
      </c>
      <c r="X19">
        <v>13.07245</v>
      </c>
      <c r="Y19">
        <v>12.765449</v>
      </c>
      <c r="Z19">
        <v>12.575942</v>
      </c>
      <c r="AA19">
        <v>12.661019</v>
      </c>
      <c r="AB19">
        <v>12.585578</v>
      </c>
      <c r="AC19">
        <v>12.351514999999999</v>
      </c>
      <c r="AD19" s="4">
        <v>1.6937496299864502E-3</v>
      </c>
    </row>
    <row r="20" spans="1:30" x14ac:dyDescent="0.25">
      <c r="A20" t="s">
        <v>74</v>
      </c>
      <c r="B20" t="s">
        <v>50</v>
      </c>
      <c r="C20">
        <v>6.604501</v>
      </c>
      <c r="D20">
        <v>6.3398649999999996</v>
      </c>
      <c r="E20">
        <v>5.4570319999999999</v>
      </c>
      <c r="F20">
        <v>5.437017</v>
      </c>
      <c r="G20">
        <v>5.6269840000000002</v>
      </c>
      <c r="H20">
        <v>5.8969250000000004</v>
      </c>
      <c r="I20">
        <v>6.1075749999999998</v>
      </c>
      <c r="J20">
        <v>6.1615099999999998</v>
      </c>
      <c r="K20">
        <v>6.7450070000000002</v>
      </c>
      <c r="L20">
        <v>7.133578</v>
      </c>
      <c r="M20">
        <v>7.5595629999999998</v>
      </c>
      <c r="N20">
        <v>8.0272269999999999</v>
      </c>
      <c r="O20">
        <v>8.0957450000000009</v>
      </c>
      <c r="P20">
        <v>7.8512589999999998</v>
      </c>
      <c r="Q20">
        <v>7.6510850000000001</v>
      </c>
      <c r="R20">
        <v>7.4277170000000003</v>
      </c>
      <c r="S20">
        <v>7.631818</v>
      </c>
      <c r="T20">
        <v>7.8583959999999999</v>
      </c>
      <c r="U20">
        <v>8.1287780000000005</v>
      </c>
      <c r="V20">
        <v>8.3174740000000007</v>
      </c>
      <c r="W20">
        <v>8.4139309999999998</v>
      </c>
      <c r="X20">
        <v>8.4331829999999997</v>
      </c>
      <c r="Y20">
        <v>8.2790060000000008</v>
      </c>
      <c r="Z20">
        <v>8.1518460000000008</v>
      </c>
      <c r="AA20">
        <v>8.1379230000000007</v>
      </c>
      <c r="AB20">
        <v>8.0852799999999991</v>
      </c>
      <c r="AC20">
        <v>7.9883860000000002</v>
      </c>
      <c r="AD20" s="4">
        <v>0.20953664781033424</v>
      </c>
    </row>
    <row r="21" spans="1:30" x14ac:dyDescent="0.25">
      <c r="A21" t="s">
        <v>74</v>
      </c>
      <c r="B21" t="s">
        <v>51</v>
      </c>
      <c r="C21">
        <v>10.709092</v>
      </c>
      <c r="D21">
        <v>10.310656</v>
      </c>
      <c r="E21">
        <v>9.2579139999999995</v>
      </c>
      <c r="F21">
        <v>9.1259510000000006</v>
      </c>
      <c r="G21">
        <v>9.223001</v>
      </c>
      <c r="H21">
        <v>9.4803639999999998</v>
      </c>
      <c r="I21">
        <v>9.7051960000000008</v>
      </c>
      <c r="J21">
        <v>9.6404209999999999</v>
      </c>
      <c r="K21">
        <v>9.9549299999999992</v>
      </c>
      <c r="L21">
        <v>10.272641</v>
      </c>
      <c r="M21">
        <v>10.629834000000001</v>
      </c>
      <c r="N21">
        <v>11.056437000000001</v>
      </c>
      <c r="O21">
        <v>11.026346999999999</v>
      </c>
      <c r="P21">
        <v>10.819274999999999</v>
      </c>
      <c r="Q21">
        <v>10.671139999999999</v>
      </c>
      <c r="R21">
        <v>10.407225</v>
      </c>
      <c r="S21">
        <v>10.584287</v>
      </c>
      <c r="T21">
        <v>10.758155</v>
      </c>
      <c r="U21">
        <v>11.043288</v>
      </c>
      <c r="V21">
        <v>11.263857</v>
      </c>
      <c r="W21">
        <v>11.331504000000001</v>
      </c>
      <c r="X21">
        <v>11.275149000000001</v>
      </c>
      <c r="Y21">
        <v>11.041886999999999</v>
      </c>
      <c r="Z21">
        <v>10.881971</v>
      </c>
      <c r="AA21">
        <v>10.889516</v>
      </c>
      <c r="AB21">
        <v>10.832917999999999</v>
      </c>
      <c r="AC21">
        <v>10.703455999999999</v>
      </c>
      <c r="AD21" s="4">
        <v>-5.262817800053321E-4</v>
      </c>
    </row>
    <row r="22" spans="1:30" x14ac:dyDescent="0.25">
      <c r="A22" t="s">
        <v>74</v>
      </c>
      <c r="B22" t="s">
        <v>52</v>
      </c>
      <c r="C22">
        <v>10.55883</v>
      </c>
      <c r="D22">
        <v>10.297469</v>
      </c>
      <c r="E22">
        <v>9.2337360000000004</v>
      </c>
      <c r="F22">
        <v>9.1117550000000005</v>
      </c>
      <c r="G22">
        <v>9.1734419999999997</v>
      </c>
      <c r="H22">
        <v>9.3689409999999995</v>
      </c>
      <c r="I22">
        <v>9.5156310000000008</v>
      </c>
      <c r="J22">
        <v>9.4374649999999995</v>
      </c>
      <c r="K22">
        <v>9.911486</v>
      </c>
      <c r="L22">
        <v>10.229589000000001</v>
      </c>
      <c r="M22">
        <v>10.593605</v>
      </c>
      <c r="N22">
        <v>11.02342</v>
      </c>
      <c r="O22">
        <v>10.994927000000001</v>
      </c>
      <c r="P22">
        <v>10.717758999999999</v>
      </c>
      <c r="Q22">
        <v>10.513309</v>
      </c>
      <c r="R22">
        <v>10.227176</v>
      </c>
      <c r="S22">
        <v>10.432136</v>
      </c>
      <c r="T22">
        <v>10.651384</v>
      </c>
      <c r="U22">
        <v>10.952513</v>
      </c>
      <c r="V22">
        <v>11.172188999999999</v>
      </c>
      <c r="W22">
        <v>11.254237</v>
      </c>
      <c r="X22">
        <v>11.234771</v>
      </c>
      <c r="Y22">
        <v>11.027612</v>
      </c>
      <c r="Z22">
        <v>10.878544</v>
      </c>
      <c r="AA22">
        <v>10.903126</v>
      </c>
      <c r="AB22">
        <v>10.867841</v>
      </c>
      <c r="AC22">
        <v>10.74729</v>
      </c>
      <c r="AD22" s="4">
        <v>1.784856844934516E-2</v>
      </c>
    </row>
    <row r="23" spans="1:30" x14ac:dyDescent="0.25">
      <c r="A23" t="s">
        <v>75</v>
      </c>
      <c r="B23" t="s">
        <v>47</v>
      </c>
      <c r="C23">
        <v>11.774305</v>
      </c>
      <c r="D23">
        <v>12.014426</v>
      </c>
      <c r="E23">
        <v>11.139977999999999</v>
      </c>
      <c r="F23">
        <v>11.14362</v>
      </c>
      <c r="G23">
        <v>11.394534</v>
      </c>
      <c r="H23">
        <v>11.803399000000001</v>
      </c>
      <c r="I23">
        <v>12.198340999999999</v>
      </c>
      <c r="J23">
        <v>12.31179</v>
      </c>
      <c r="K23">
        <v>12.868691999999999</v>
      </c>
      <c r="L23">
        <v>13.407614000000001</v>
      </c>
      <c r="M23">
        <v>14.003886</v>
      </c>
      <c r="N23">
        <v>14.695100999999999</v>
      </c>
      <c r="O23">
        <v>14.878683000000001</v>
      </c>
      <c r="P23">
        <v>14.843386000000001</v>
      </c>
      <c r="Q23">
        <v>14.883324999999999</v>
      </c>
      <c r="R23">
        <v>14.781012</v>
      </c>
      <c r="S23">
        <v>15.254655</v>
      </c>
      <c r="T23">
        <v>15.744146000000001</v>
      </c>
      <c r="U23">
        <v>16.446898000000001</v>
      </c>
      <c r="V23">
        <v>17.092528999999999</v>
      </c>
      <c r="W23">
        <v>17.529139000000001</v>
      </c>
      <c r="X23">
        <v>17.797803999999999</v>
      </c>
      <c r="Y23">
        <v>17.864360999999999</v>
      </c>
      <c r="Z23">
        <v>18.058685000000001</v>
      </c>
      <c r="AA23">
        <v>18.637385999999999</v>
      </c>
      <c r="AB23">
        <v>19.044174000000002</v>
      </c>
      <c r="AC23">
        <v>19.271968999999999</v>
      </c>
      <c r="AD23" s="4" cm="1">
        <f t="array" ref="AD23:AD27">(AC23:AC27-C23:C27)/C23:C27</f>
        <v>0.63678187374966067</v>
      </c>
    </row>
    <row r="24" spans="1:30" x14ac:dyDescent="0.25">
      <c r="A24" t="s">
        <v>75</v>
      </c>
      <c r="B24" t="s">
        <v>49</v>
      </c>
      <c r="C24">
        <v>12.330629999999999</v>
      </c>
      <c r="D24">
        <v>12.116040999999999</v>
      </c>
      <c r="E24">
        <v>10.974905</v>
      </c>
      <c r="F24">
        <v>11.023038</v>
      </c>
      <c r="G24">
        <v>11.397940999999999</v>
      </c>
      <c r="H24">
        <v>11.944613</v>
      </c>
      <c r="I24">
        <v>12.451981999999999</v>
      </c>
      <c r="J24">
        <v>12.612617</v>
      </c>
      <c r="K24">
        <v>13.31282</v>
      </c>
      <c r="L24">
        <v>14.007009999999999</v>
      </c>
      <c r="M24">
        <v>14.789906999999999</v>
      </c>
      <c r="N24">
        <v>15.713398</v>
      </c>
      <c r="O24">
        <v>15.962094</v>
      </c>
      <c r="P24">
        <v>15.914923999999999</v>
      </c>
      <c r="Q24">
        <v>15.955337</v>
      </c>
      <c r="R24">
        <v>15.824685000000001</v>
      </c>
      <c r="S24">
        <v>16.407264999999999</v>
      </c>
      <c r="T24">
        <v>17.008244999999999</v>
      </c>
      <c r="U24">
        <v>17.927278999999999</v>
      </c>
      <c r="V24">
        <v>18.718274999999998</v>
      </c>
      <c r="W24">
        <v>19.256679999999999</v>
      </c>
      <c r="X24">
        <v>19.518270000000001</v>
      </c>
      <c r="Y24">
        <v>19.526646</v>
      </c>
      <c r="Z24">
        <v>19.705729999999999</v>
      </c>
      <c r="AA24">
        <v>20.314914999999999</v>
      </c>
      <c r="AB24">
        <v>20.672884</v>
      </c>
      <c r="AC24">
        <v>20.759194999999998</v>
      </c>
      <c r="AD24" s="4">
        <v>0.68354698827229421</v>
      </c>
    </row>
    <row r="25" spans="1:30" x14ac:dyDescent="0.25">
      <c r="A25" t="s">
        <v>75</v>
      </c>
      <c r="B25" t="s">
        <v>50</v>
      </c>
      <c r="C25">
        <v>6.604501</v>
      </c>
      <c r="D25">
        <v>6.4853360000000002</v>
      </c>
      <c r="E25">
        <v>5.6822699999999999</v>
      </c>
      <c r="F25">
        <v>5.7588689999999998</v>
      </c>
      <c r="G25">
        <v>6.0646459999999998</v>
      </c>
      <c r="H25">
        <v>6.4503000000000004</v>
      </c>
      <c r="I25">
        <v>6.7858330000000002</v>
      </c>
      <c r="J25">
        <v>6.9654360000000004</v>
      </c>
      <c r="K25">
        <v>7.7587489999999999</v>
      </c>
      <c r="L25">
        <v>8.34971</v>
      </c>
      <c r="M25">
        <v>9.0030909999999995</v>
      </c>
      <c r="N25">
        <v>9.725543</v>
      </c>
      <c r="O25">
        <v>9.9768380000000008</v>
      </c>
      <c r="P25">
        <v>9.8488089999999993</v>
      </c>
      <c r="Q25">
        <v>9.7767289999999996</v>
      </c>
      <c r="R25">
        <v>9.6766459999999999</v>
      </c>
      <c r="S25">
        <v>10.149639000000001</v>
      </c>
      <c r="T25">
        <v>10.681168</v>
      </c>
      <c r="U25">
        <v>11.301095999999999</v>
      </c>
      <c r="V25">
        <v>11.83567</v>
      </c>
      <c r="W25">
        <v>12.263118</v>
      </c>
      <c r="X25">
        <v>12.591453</v>
      </c>
      <c r="Y25">
        <v>12.663967</v>
      </c>
      <c r="Z25">
        <v>12.773443</v>
      </c>
      <c r="AA25">
        <v>13.057496</v>
      </c>
      <c r="AB25">
        <v>13.280763</v>
      </c>
      <c r="AC25">
        <v>13.426083999999999</v>
      </c>
      <c r="AD25" s="4">
        <v>1.0328687965979564</v>
      </c>
    </row>
    <row r="26" spans="1:30" x14ac:dyDescent="0.25">
      <c r="A26" t="s">
        <v>75</v>
      </c>
      <c r="B26" t="s">
        <v>51</v>
      </c>
      <c r="C26">
        <v>10.709092</v>
      </c>
      <c r="D26">
        <v>10.547237000000001</v>
      </c>
      <c r="E26">
        <v>9.6400319999999997</v>
      </c>
      <c r="F26">
        <v>9.6661739999999998</v>
      </c>
      <c r="G26">
        <v>9.9403579999999998</v>
      </c>
      <c r="H26">
        <v>10.370011999999999</v>
      </c>
      <c r="I26">
        <v>10.782976</v>
      </c>
      <c r="J26">
        <v>10.898260000000001</v>
      </c>
      <c r="K26">
        <v>11.451108</v>
      </c>
      <c r="L26">
        <v>12.02392</v>
      </c>
      <c r="M26">
        <v>12.659643000000001</v>
      </c>
      <c r="N26">
        <v>13.395638</v>
      </c>
      <c r="O26">
        <v>13.588383</v>
      </c>
      <c r="P26">
        <v>13.571959</v>
      </c>
      <c r="Q26">
        <v>13.635821999999999</v>
      </c>
      <c r="R26">
        <v>13.558275</v>
      </c>
      <c r="S26">
        <v>14.076159000000001</v>
      </c>
      <c r="T26">
        <v>14.622533000000001</v>
      </c>
      <c r="U26">
        <v>15.353016</v>
      </c>
      <c r="V26">
        <v>16.028338999999999</v>
      </c>
      <c r="W26">
        <v>16.515415000000001</v>
      </c>
      <c r="X26">
        <v>16.834748999999999</v>
      </c>
      <c r="Y26">
        <v>16.890203</v>
      </c>
      <c r="Z26">
        <v>17.051382</v>
      </c>
      <c r="AA26">
        <v>17.472494000000001</v>
      </c>
      <c r="AB26">
        <v>17.793990999999998</v>
      </c>
      <c r="AC26">
        <v>17.989301999999999</v>
      </c>
      <c r="AD26" s="4">
        <v>0.6798158051121419</v>
      </c>
    </row>
    <row r="27" spans="1:30" x14ac:dyDescent="0.25">
      <c r="A27" t="s">
        <v>75</v>
      </c>
      <c r="B27" t="s">
        <v>52</v>
      </c>
      <c r="C27">
        <v>10.55883</v>
      </c>
      <c r="D27">
        <v>10.53375</v>
      </c>
      <c r="E27">
        <v>9.6148570000000007</v>
      </c>
      <c r="F27">
        <v>9.6511379999999996</v>
      </c>
      <c r="G27">
        <v>9.886946</v>
      </c>
      <c r="H27">
        <v>10.248134</v>
      </c>
      <c r="I27">
        <v>10.57236</v>
      </c>
      <c r="J27">
        <v>10.668822</v>
      </c>
      <c r="K27">
        <v>11.401134000000001</v>
      </c>
      <c r="L27">
        <v>11.973528</v>
      </c>
      <c r="M27">
        <v>12.616495</v>
      </c>
      <c r="N27">
        <v>13.355638000000001</v>
      </c>
      <c r="O27">
        <v>13.549662</v>
      </c>
      <c r="P27">
        <v>13.444616</v>
      </c>
      <c r="Q27">
        <v>13.434144</v>
      </c>
      <c r="R27">
        <v>13.323712</v>
      </c>
      <c r="S27">
        <v>13.873811999999999</v>
      </c>
      <c r="T27">
        <v>14.477410000000001</v>
      </c>
      <c r="U27">
        <v>15.226815</v>
      </c>
      <c r="V27">
        <v>15.897895999999999</v>
      </c>
      <c r="W27">
        <v>16.402802000000001</v>
      </c>
      <c r="X27">
        <v>16.774462</v>
      </c>
      <c r="Y27">
        <v>16.868366000000002</v>
      </c>
      <c r="Z27">
        <v>17.046011</v>
      </c>
      <c r="AA27">
        <v>17.494330999999999</v>
      </c>
      <c r="AB27">
        <v>17.851357</v>
      </c>
      <c r="AC27">
        <v>18.062973</v>
      </c>
      <c r="AD27" s="4">
        <v>0.71069834441884172</v>
      </c>
    </row>
    <row r="28" spans="1:30" x14ac:dyDescent="0.25">
      <c r="A28" t="s">
        <v>76</v>
      </c>
      <c r="B28" t="s">
        <v>54</v>
      </c>
      <c r="C28">
        <v>7.0276519999999998</v>
      </c>
      <c r="D28">
        <v>6.7163399999999998</v>
      </c>
      <c r="E28">
        <v>5.6140150000000002</v>
      </c>
      <c r="F28">
        <v>5.4643389999999998</v>
      </c>
      <c r="G28">
        <v>5.4938279999999997</v>
      </c>
      <c r="H28">
        <v>5.6102910000000001</v>
      </c>
      <c r="I28">
        <v>5.6749929999999997</v>
      </c>
      <c r="J28">
        <v>5.5127579999999998</v>
      </c>
      <c r="K28">
        <v>5.7859970000000001</v>
      </c>
      <c r="L28">
        <v>5.9960589999999998</v>
      </c>
      <c r="M28">
        <v>6.2847780000000002</v>
      </c>
      <c r="N28">
        <v>6.6695869999999999</v>
      </c>
      <c r="O28">
        <v>6.6162190000000001</v>
      </c>
      <c r="P28">
        <v>6.3432219999999999</v>
      </c>
      <c r="Q28">
        <v>6.1273600000000004</v>
      </c>
      <c r="R28">
        <v>5.8422989999999997</v>
      </c>
      <c r="S28">
        <v>6.0129140000000003</v>
      </c>
      <c r="T28">
        <v>6.1693210000000001</v>
      </c>
      <c r="U28">
        <v>6.4207869999999998</v>
      </c>
      <c r="V28">
        <v>6.5572010000000001</v>
      </c>
      <c r="W28">
        <v>6.6115690000000003</v>
      </c>
      <c r="X28">
        <v>6.5340749999999996</v>
      </c>
      <c r="Y28">
        <v>6.2727019999999998</v>
      </c>
      <c r="Z28">
        <v>6.0869530000000003</v>
      </c>
      <c r="AA28">
        <v>6.0497230000000002</v>
      </c>
      <c r="AB28">
        <v>5.9625839999999997</v>
      </c>
      <c r="AC28">
        <v>5.800605</v>
      </c>
      <c r="AD28" s="4" cm="1">
        <f t="array" ref="AD28:AD30">(AC28:AC30-C28:C30)/C28:C30</f>
        <v>-0.17460269802773384</v>
      </c>
    </row>
    <row r="29" spans="1:30" x14ac:dyDescent="0.25">
      <c r="A29" t="s">
        <v>76</v>
      </c>
      <c r="B29" t="s">
        <v>55</v>
      </c>
      <c r="C29">
        <v>0.69977100000000003</v>
      </c>
      <c r="D29">
        <v>0.75636099999999995</v>
      </c>
      <c r="E29">
        <v>0.808388</v>
      </c>
      <c r="F29">
        <v>0.86553199999999997</v>
      </c>
      <c r="G29">
        <v>0.93998400000000004</v>
      </c>
      <c r="H29">
        <v>1.0493250000000001</v>
      </c>
      <c r="I29">
        <v>1.154706</v>
      </c>
      <c r="J29">
        <v>1.251973</v>
      </c>
      <c r="K29">
        <v>1.3761140000000001</v>
      </c>
      <c r="L29">
        <v>1.479031</v>
      </c>
      <c r="M29">
        <v>1.550233</v>
      </c>
      <c r="N29">
        <v>1.595189</v>
      </c>
      <c r="O29">
        <v>1.617985</v>
      </c>
      <c r="P29">
        <v>1.6343289999999999</v>
      </c>
      <c r="Q29">
        <v>1.6565289999999999</v>
      </c>
      <c r="R29">
        <v>1.672598</v>
      </c>
      <c r="S29">
        <v>1.6928879999999999</v>
      </c>
      <c r="T29">
        <v>1.734626</v>
      </c>
      <c r="U29">
        <v>1.7738069999999999</v>
      </c>
      <c r="V29">
        <v>1.8163069999999999</v>
      </c>
      <c r="W29">
        <v>1.844665</v>
      </c>
      <c r="X29">
        <v>1.8825080000000001</v>
      </c>
      <c r="Y29">
        <v>1.9085490000000001</v>
      </c>
      <c r="Z29">
        <v>1.92547</v>
      </c>
      <c r="AA29">
        <v>1.936121</v>
      </c>
      <c r="AB29">
        <v>1.9620759999999999</v>
      </c>
      <c r="AC29">
        <v>1.9967900000000001</v>
      </c>
      <c r="AD29" s="4">
        <v>1.8534906419385773</v>
      </c>
    </row>
    <row r="30" spans="1:30" x14ac:dyDescent="0.25">
      <c r="A30" t="s">
        <v>76</v>
      </c>
      <c r="B30" t="s">
        <v>56</v>
      </c>
      <c r="C30">
        <v>2.8314080000000001</v>
      </c>
      <c r="D30">
        <v>2.8247689999999999</v>
      </c>
      <c r="E30">
        <v>2.811334</v>
      </c>
      <c r="F30">
        <v>2.7818849999999999</v>
      </c>
      <c r="G30">
        <v>2.73963</v>
      </c>
      <c r="H30">
        <v>2.7093259999999999</v>
      </c>
      <c r="I30">
        <v>2.6859310000000001</v>
      </c>
      <c r="J30">
        <v>2.672733</v>
      </c>
      <c r="K30">
        <v>2.749374</v>
      </c>
      <c r="L30">
        <v>2.7544979999999999</v>
      </c>
      <c r="M30">
        <v>2.758594</v>
      </c>
      <c r="N30">
        <v>2.758645</v>
      </c>
      <c r="O30">
        <v>2.7607240000000002</v>
      </c>
      <c r="P30">
        <v>2.7402069999999998</v>
      </c>
      <c r="Q30">
        <v>2.7294200000000002</v>
      </c>
      <c r="R30">
        <v>2.7122790000000001</v>
      </c>
      <c r="S30">
        <v>2.726334</v>
      </c>
      <c r="T30">
        <v>2.7474370000000001</v>
      </c>
      <c r="U30">
        <v>2.7579180000000001</v>
      </c>
      <c r="V30">
        <v>2.7986810000000002</v>
      </c>
      <c r="W30">
        <v>2.7980019999999999</v>
      </c>
      <c r="X30">
        <v>2.8181880000000001</v>
      </c>
      <c r="Y30">
        <v>2.8463609999999999</v>
      </c>
      <c r="Z30">
        <v>2.86612</v>
      </c>
      <c r="AA30">
        <v>2.9172820000000002</v>
      </c>
      <c r="AB30">
        <v>2.9431820000000002</v>
      </c>
      <c r="AC30">
        <v>2.9498929999999999</v>
      </c>
      <c r="AD30" s="4">
        <v>4.1846671338076222E-2</v>
      </c>
    </row>
    <row r="31" spans="1:30" x14ac:dyDescent="0.25">
      <c r="A31" t="s">
        <v>77</v>
      </c>
      <c r="B31" t="s">
        <v>54</v>
      </c>
      <c r="C31">
        <v>7.0276519999999998</v>
      </c>
      <c r="D31">
        <v>6.8704489999999998</v>
      </c>
      <c r="E31">
        <v>5.8457319999999999</v>
      </c>
      <c r="F31">
        <v>5.7878080000000001</v>
      </c>
      <c r="G31">
        <v>5.9211340000000003</v>
      </c>
      <c r="H31">
        <v>6.1367669999999999</v>
      </c>
      <c r="I31">
        <v>6.305212</v>
      </c>
      <c r="J31">
        <v>6.2320380000000002</v>
      </c>
      <c r="K31">
        <v>6.6556040000000003</v>
      </c>
      <c r="L31">
        <v>7.0182669999999998</v>
      </c>
      <c r="M31">
        <v>7.4848809999999997</v>
      </c>
      <c r="N31">
        <v>8.080667</v>
      </c>
      <c r="O31">
        <v>8.1535349999999998</v>
      </c>
      <c r="P31">
        <v>7.9570910000000001</v>
      </c>
      <c r="Q31">
        <v>7.8296789999999996</v>
      </c>
      <c r="R31">
        <v>7.6112039999999999</v>
      </c>
      <c r="S31">
        <v>7.9966410000000003</v>
      </c>
      <c r="T31">
        <v>8.3853690000000007</v>
      </c>
      <c r="U31">
        <v>8.9265480000000004</v>
      </c>
      <c r="V31">
        <v>9.3308219999999995</v>
      </c>
      <c r="W31">
        <v>9.636215</v>
      </c>
      <c r="X31">
        <v>9.7559260000000005</v>
      </c>
      <c r="Y31">
        <v>9.5950279999999992</v>
      </c>
      <c r="Z31">
        <v>9.5378830000000008</v>
      </c>
      <c r="AA31">
        <v>9.7069290000000006</v>
      </c>
      <c r="AB31">
        <v>9.7940529999999999</v>
      </c>
      <c r="AC31">
        <v>9.7490799999999993</v>
      </c>
      <c r="AD31" s="4" cm="1">
        <f t="array" ref="AD31:AD33">(AC31:AC33-C31:C33)/C31:C33</f>
        <v>0.38724569742497206</v>
      </c>
    </row>
    <row r="32" spans="1:30" x14ac:dyDescent="0.25">
      <c r="A32" t="s">
        <v>77</v>
      </c>
      <c r="B32" t="s">
        <v>55</v>
      </c>
      <c r="C32">
        <v>0.69977100000000003</v>
      </c>
      <c r="D32">
        <v>0.77371599999999996</v>
      </c>
      <c r="E32">
        <v>0.841754</v>
      </c>
      <c r="F32">
        <v>0.91676800000000003</v>
      </c>
      <c r="G32">
        <v>1.0130950000000001</v>
      </c>
      <c r="H32">
        <v>1.147794</v>
      </c>
      <c r="I32">
        <v>1.2829390000000001</v>
      </c>
      <c r="J32">
        <v>1.4153249999999999</v>
      </c>
      <c r="K32">
        <v>1.582937</v>
      </c>
      <c r="L32">
        <v>1.731176</v>
      </c>
      <c r="M32">
        <v>1.8462559999999999</v>
      </c>
      <c r="N32">
        <v>1.932682</v>
      </c>
      <c r="O32">
        <v>1.993932</v>
      </c>
      <c r="P32">
        <v>2.050141</v>
      </c>
      <c r="Q32">
        <v>2.1167500000000001</v>
      </c>
      <c r="R32">
        <v>2.1790189999999998</v>
      </c>
      <c r="S32">
        <v>2.2513899999999998</v>
      </c>
      <c r="T32">
        <v>2.3577110000000001</v>
      </c>
      <c r="U32">
        <v>2.4660489999999999</v>
      </c>
      <c r="V32">
        <v>2.5845829999999999</v>
      </c>
      <c r="W32">
        <v>2.6885590000000001</v>
      </c>
      <c r="X32">
        <v>2.810743</v>
      </c>
      <c r="Y32">
        <v>2.9194079999999998</v>
      </c>
      <c r="Z32">
        <v>3.0170940000000002</v>
      </c>
      <c r="AA32">
        <v>3.1065529999999999</v>
      </c>
      <c r="AB32">
        <v>3.2228780000000001</v>
      </c>
      <c r="AC32">
        <v>3.3560050000000001</v>
      </c>
      <c r="AD32" s="4">
        <v>3.795861789070996</v>
      </c>
    </row>
    <row r="33" spans="1:30" x14ac:dyDescent="0.25">
      <c r="A33" t="s">
        <v>77</v>
      </c>
      <c r="B33" t="s">
        <v>56</v>
      </c>
      <c r="C33">
        <v>2.8314080000000001</v>
      </c>
      <c r="D33">
        <v>2.8895849999999998</v>
      </c>
      <c r="E33">
        <v>2.9273709999999999</v>
      </c>
      <c r="F33">
        <v>2.9465620000000001</v>
      </c>
      <c r="G33">
        <v>2.9527169999999998</v>
      </c>
      <c r="H33">
        <v>2.9635729999999998</v>
      </c>
      <c r="I33">
        <v>2.9842089999999999</v>
      </c>
      <c r="J33">
        <v>3.0214599999999998</v>
      </c>
      <c r="K33">
        <v>3.1625920000000001</v>
      </c>
      <c r="L33">
        <v>3.2240850000000001</v>
      </c>
      <c r="M33">
        <v>3.285358</v>
      </c>
      <c r="N33">
        <v>3.3422900000000002</v>
      </c>
      <c r="O33">
        <v>3.4021940000000002</v>
      </c>
      <c r="P33">
        <v>3.4373819999999999</v>
      </c>
      <c r="Q33">
        <v>3.4877150000000001</v>
      </c>
      <c r="R33">
        <v>3.53349</v>
      </c>
      <c r="S33">
        <v>3.6257820000000001</v>
      </c>
      <c r="T33">
        <v>3.7343299999999999</v>
      </c>
      <c r="U33">
        <v>3.8342160000000001</v>
      </c>
      <c r="V33">
        <v>3.982491</v>
      </c>
      <c r="W33">
        <v>4.0780269999999996</v>
      </c>
      <c r="X33">
        <v>4.2077920000000004</v>
      </c>
      <c r="Y33">
        <v>4.3539310000000002</v>
      </c>
      <c r="Z33">
        <v>4.4910350000000001</v>
      </c>
      <c r="AA33">
        <v>4.6808500000000004</v>
      </c>
      <c r="AB33">
        <v>4.8344259999999997</v>
      </c>
      <c r="AC33">
        <v>4.9578870000000004</v>
      </c>
      <c r="AD33" s="4">
        <v>0.75103234857004009</v>
      </c>
    </row>
    <row r="34" spans="1:30" x14ac:dyDescent="0.25">
      <c r="A34" t="s">
        <v>57</v>
      </c>
      <c r="B34" t="s">
        <v>58</v>
      </c>
      <c r="C34">
        <v>22.985213999999999</v>
      </c>
      <c r="D34">
        <v>21.913927000000001</v>
      </c>
      <c r="E34">
        <v>23.067402000000001</v>
      </c>
      <c r="F34">
        <v>19.050651999999999</v>
      </c>
      <c r="G34">
        <v>15.368278999999999</v>
      </c>
      <c r="H34">
        <v>12.573499999999999</v>
      </c>
      <c r="I34">
        <v>12.261206</v>
      </c>
      <c r="J34">
        <v>10.958640000000001</v>
      </c>
      <c r="K34">
        <v>7.6234859999999998</v>
      </c>
      <c r="L34">
        <v>7.2895099999999999</v>
      </c>
      <c r="M34">
        <v>6.5614629999999998</v>
      </c>
      <c r="N34">
        <v>6.3240780000000001</v>
      </c>
      <c r="O34">
        <v>5.0282150000000003</v>
      </c>
      <c r="P34">
        <v>4.1634409999999997</v>
      </c>
      <c r="Q34">
        <v>3.557156</v>
      </c>
      <c r="R34">
        <v>2.3090929999999998</v>
      </c>
      <c r="S34">
        <v>2.2365110000000001</v>
      </c>
      <c r="T34">
        <v>2.053312</v>
      </c>
      <c r="U34">
        <v>2.099593</v>
      </c>
      <c r="V34">
        <v>2.1265550000000002</v>
      </c>
      <c r="W34">
        <v>2.0627439999999999</v>
      </c>
      <c r="X34">
        <v>1.919564</v>
      </c>
      <c r="Y34">
        <v>1.6747030000000001</v>
      </c>
      <c r="Z34">
        <v>1.6385510000000001</v>
      </c>
      <c r="AA34">
        <v>1.7179260000000001</v>
      </c>
      <c r="AB34">
        <v>1.8688149999999999</v>
      </c>
      <c r="AC34">
        <v>1.862087</v>
      </c>
      <c r="AD34" s="4" cm="1">
        <f t="array" ref="AD34:AD38">(AC34:AC38-C34:C38)/C34:C38</f>
        <v>-0.91898761525561612</v>
      </c>
    </row>
    <row r="35" spans="1:30" x14ac:dyDescent="0.25">
      <c r="A35" t="s">
        <v>57</v>
      </c>
      <c r="B35" t="s">
        <v>60</v>
      </c>
      <c r="C35">
        <v>84.279182000000006</v>
      </c>
      <c r="D35">
        <v>80.351128000000003</v>
      </c>
      <c r="E35">
        <v>84.580489999999998</v>
      </c>
      <c r="F35">
        <v>69.852401999999998</v>
      </c>
      <c r="G35">
        <v>56.350364999999996</v>
      </c>
      <c r="H35">
        <v>46.102832999999997</v>
      </c>
      <c r="I35">
        <v>44.957782999999999</v>
      </c>
      <c r="J35">
        <v>40.181685999999999</v>
      </c>
      <c r="K35">
        <v>27.952781999999999</v>
      </c>
      <c r="L35">
        <v>26.728214000000001</v>
      </c>
      <c r="M35">
        <v>24.058695</v>
      </c>
      <c r="N35">
        <v>23.188275999999998</v>
      </c>
      <c r="O35">
        <v>18.436785</v>
      </c>
      <c r="P35">
        <v>15.265949000000001</v>
      </c>
      <c r="Q35">
        <v>13.042902</v>
      </c>
      <c r="R35">
        <v>8.4666739999999994</v>
      </c>
      <c r="S35">
        <v>8.2005389999999991</v>
      </c>
      <c r="T35">
        <v>7.5288069999999996</v>
      </c>
      <c r="U35">
        <v>7.6985049999999999</v>
      </c>
      <c r="V35">
        <v>7.7973660000000002</v>
      </c>
      <c r="W35">
        <v>7.563396</v>
      </c>
      <c r="X35">
        <v>7.0384039999999999</v>
      </c>
      <c r="Y35">
        <v>6.1405779999999996</v>
      </c>
      <c r="Z35">
        <v>6.0080210000000003</v>
      </c>
      <c r="AA35">
        <v>6.2990640000000004</v>
      </c>
      <c r="AB35">
        <v>6.852322</v>
      </c>
      <c r="AC35">
        <v>6.8276519999999996</v>
      </c>
      <c r="AD35" s="4">
        <v>-0.91898768072998149</v>
      </c>
    </row>
    <row r="36" spans="1:30" x14ac:dyDescent="0.25">
      <c r="A36" t="s">
        <v>57</v>
      </c>
      <c r="B36" t="s">
        <v>61</v>
      </c>
      <c r="C36">
        <v>6.1053999999999997E-2</v>
      </c>
      <c r="D36">
        <v>5.2051E-2</v>
      </c>
      <c r="E36">
        <v>8.5302000000000003E-2</v>
      </c>
      <c r="F36">
        <v>6.4896999999999996E-2</v>
      </c>
      <c r="G36">
        <v>4.8023999999999997E-2</v>
      </c>
      <c r="H36">
        <v>9.7272999999999998E-2</v>
      </c>
      <c r="I36">
        <v>5.2444999999999999E-2</v>
      </c>
      <c r="J36">
        <v>5.2026000000000003E-2</v>
      </c>
      <c r="K36">
        <v>1.5935999999999999E-2</v>
      </c>
      <c r="L36">
        <v>1.5779999999999999E-2</v>
      </c>
      <c r="M36">
        <v>1.5546000000000001E-2</v>
      </c>
      <c r="N36">
        <v>1.3972E-2</v>
      </c>
      <c r="O36">
        <v>1.2185E-2</v>
      </c>
      <c r="P36">
        <v>1.0029E-2</v>
      </c>
      <c r="Q36">
        <v>8.7480000000000006E-3</v>
      </c>
      <c r="R36">
        <v>2.1000000000000001E-4</v>
      </c>
      <c r="S36">
        <v>2.1900000000000001E-4</v>
      </c>
      <c r="T36">
        <v>2.2699999999999999E-4</v>
      </c>
      <c r="U36">
        <v>2.3800000000000001E-4</v>
      </c>
      <c r="V36">
        <v>2.4699999999999999E-4</v>
      </c>
      <c r="W36">
        <v>2.5599999999999999E-4</v>
      </c>
      <c r="X36">
        <v>2.61E-4</v>
      </c>
      <c r="Y36">
        <v>2.6600000000000001E-4</v>
      </c>
      <c r="Z36">
        <v>2.7E-4</v>
      </c>
      <c r="AA36">
        <v>2.7300000000000002E-4</v>
      </c>
      <c r="AB36">
        <v>2.3499999999999999E-4</v>
      </c>
      <c r="AC36">
        <v>2.0699999999999999E-4</v>
      </c>
      <c r="AD36" s="4">
        <v>-0.99660955875126944</v>
      </c>
    </row>
    <row r="37" spans="1:30" x14ac:dyDescent="0.25">
      <c r="A37" t="s">
        <v>57</v>
      </c>
      <c r="B37" t="s">
        <v>62</v>
      </c>
      <c r="C37">
        <v>2.5374000000000001E-2</v>
      </c>
      <c r="D37">
        <v>2.2769000000000001E-2</v>
      </c>
      <c r="E37">
        <v>2.6497E-2</v>
      </c>
      <c r="F37">
        <v>2.3782999999999999E-2</v>
      </c>
      <c r="G37">
        <v>1.2102E-2</v>
      </c>
      <c r="H37">
        <v>1.0688E-2</v>
      </c>
      <c r="I37">
        <v>1.2921E-2</v>
      </c>
      <c r="J37">
        <v>9.6959999999999998E-3</v>
      </c>
      <c r="K37">
        <v>3.9620000000000002E-3</v>
      </c>
      <c r="L37">
        <v>3.8219999999999999E-3</v>
      </c>
      <c r="M37">
        <v>3.5400000000000002E-3</v>
      </c>
      <c r="N37">
        <v>3.5869999999999999E-3</v>
      </c>
      <c r="O37">
        <v>2.8800000000000002E-3</v>
      </c>
      <c r="P37">
        <v>2.3280000000000002E-3</v>
      </c>
      <c r="Q37">
        <v>1.8619999999999999E-3</v>
      </c>
      <c r="R37">
        <v>2.153E-3</v>
      </c>
      <c r="S37">
        <v>2.0560000000000001E-3</v>
      </c>
      <c r="T37">
        <v>1.913E-3</v>
      </c>
      <c r="U37">
        <v>2.114E-3</v>
      </c>
      <c r="V37">
        <v>2.99E-3</v>
      </c>
      <c r="W37">
        <v>3.4259999999999998E-3</v>
      </c>
      <c r="X37">
        <v>3.4689999999999999E-3</v>
      </c>
      <c r="Y37">
        <v>2.8210000000000002E-3</v>
      </c>
      <c r="Z37">
        <v>2.552E-3</v>
      </c>
      <c r="AA37">
        <v>2.6909999999999998E-3</v>
      </c>
      <c r="AB37">
        <v>2.9169999999999999E-3</v>
      </c>
      <c r="AC37">
        <v>2.7209999999999999E-3</v>
      </c>
      <c r="AD37" s="4">
        <v>-0.8927642468668715</v>
      </c>
    </row>
    <row r="38" spans="1:30" x14ac:dyDescent="0.25">
      <c r="A38" t="s">
        <v>57</v>
      </c>
      <c r="B38" t="s">
        <v>63</v>
      </c>
      <c r="C38">
        <v>0.260158</v>
      </c>
      <c r="D38">
        <v>0.26483400000000001</v>
      </c>
      <c r="E38">
        <v>0.247221</v>
      </c>
      <c r="F38">
        <v>0.184642</v>
      </c>
      <c r="G38">
        <v>0.142341</v>
      </c>
      <c r="H38">
        <v>0.10269200000000001</v>
      </c>
      <c r="I38">
        <v>9.9612000000000006E-2</v>
      </c>
      <c r="J38">
        <v>9.7946000000000005E-2</v>
      </c>
      <c r="K38">
        <v>3.7352999999999997E-2</v>
      </c>
      <c r="L38">
        <v>3.6362999999999999E-2</v>
      </c>
      <c r="M38">
        <v>3.4685000000000001E-2</v>
      </c>
      <c r="N38">
        <v>3.0280000000000001E-2</v>
      </c>
      <c r="O38">
        <v>2.6089000000000001E-2</v>
      </c>
      <c r="P38">
        <v>2.0202999999999999E-2</v>
      </c>
      <c r="Q38">
        <v>1.5296000000000001E-2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 s="4">
        <v>-1</v>
      </c>
    </row>
    <row r="39" spans="1:30" x14ac:dyDescent="0.25">
      <c r="A39" t="s">
        <v>70</v>
      </c>
      <c r="B39" t="s">
        <v>66</v>
      </c>
      <c r="C39" cm="1">
        <f t="array" ref="C39:C42">907185*C34:C37*10^6/(C17*10^9)</f>
        <v>107.81797632097157</v>
      </c>
      <c r="D39" cm="1">
        <f t="array" ref="D39:D42">907185*D34:D37*10^6/(D17*10^9)</f>
        <v>105.73798017068398</v>
      </c>
      <c r="E39" cm="1">
        <f t="array" ref="E39:E42">907185*E34:E37*10^6/(E17*10^9)</f>
        <v>109.08912753584093</v>
      </c>
      <c r="F39" cm="1">
        <f t="array" ref="F39:F42">907185*F34:F37*10^6/(F17*10^9)</f>
        <v>94.492074280075727</v>
      </c>
      <c r="G39" cm="1">
        <f t="array" ref="G39:G42">907185*G34:G37*10^6/(G17*10^9)</f>
        <v>74.456660248917601</v>
      </c>
      <c r="H39" cm="1">
        <f t="array" ref="H39:H42">907185*H34:H37*10^6/(H17*10^9)</f>
        <v>56.887369998986237</v>
      </c>
      <c r="I39" cm="1">
        <f t="array" ref="I39:I42">907185*I34:I37*10^6/(I17*10^9)</f>
        <v>50.671214800772525</v>
      </c>
      <c r="J39" cm="1">
        <f t="array" ref="J39:J42">907185*J34:J37*10^6/(J17*10^9)</f>
        <v>42.938719306438479</v>
      </c>
      <c r="K39" cm="1">
        <f t="array" ref="K39:K42">907185*K34:K37*10^6/(K17*10^9)</f>
        <v>27.725155292046708</v>
      </c>
      <c r="L39" cm="1">
        <f t="array" ref="L39:L42">907185*L34:L37*10^6/(L17*10^9)</f>
        <v>25.084891674635649</v>
      </c>
      <c r="M39" cm="1">
        <f t="array" ref="M39:M42">907185*M34:M37*10^6/(M17*10^9)</f>
        <v>22.402392169171847</v>
      </c>
      <c r="N39" cm="1">
        <f t="array" ref="N39:N42">907185*N34:N37*10^6/(N17*10^9)</f>
        <v>21.427889079104329</v>
      </c>
      <c r="O39" cm="1">
        <f t="array" ref="O39:O42">907185*O34:O37*10^6/(O17*10^9)</f>
        <v>17.661951187476586</v>
      </c>
      <c r="P39" cm="1">
        <f t="array" ref="P39:P42">907185*P34:P37*10^6/(P17*10^9)</f>
        <v>14.618077007804715</v>
      </c>
      <c r="Q39" cm="1">
        <f t="array" ref="Q39:Q42">907185*Q34:Q37*10^6/(Q17*10^9)</f>
        <v>12.551228065712815</v>
      </c>
      <c r="R39" cm="1">
        <f t="array" ref="R39:R42">907185*R34:R37*10^6/(R17*10^9)</f>
        <v>8.1852724527120877</v>
      </c>
      <c r="S39" cm="1">
        <f t="array" ref="S39:S42">907185*S34:S37*10^6/(S17*10^9)</f>
        <v>8.0318225159417143</v>
      </c>
      <c r="T39" cm="1">
        <f t="array" ref="T39:T42">907185*T34:T37*10^6/(T17*10^9)</f>
        <v>7.3036446262214385</v>
      </c>
      <c r="U39" cm="1">
        <f t="array" ref="U39:U42">907185*U34:U37*10^6/(U17*10^9)</f>
        <v>7.1924861273028311</v>
      </c>
      <c r="V39" cm="1">
        <f t="array" ref="V39:V42">907185*V34:V37*10^6/(V17*10^9)</f>
        <v>7.1569737953494874</v>
      </c>
      <c r="W39" cm="1">
        <f t="array" ref="W39:W42">907185*W34:W37*10^6/(W17*10^9)</f>
        <v>6.8837765497250762</v>
      </c>
      <c r="X39" cm="1">
        <f t="array" ref="X39:X42">907185*X34:X37*10^6/(X17*10^9)</f>
        <v>6.5059232599716434</v>
      </c>
      <c r="Y39" cm="1">
        <f t="array" ref="Y39:Y42">907185*Y34:Y37*10^6/(Y17*10^9)</f>
        <v>5.6666069808345112</v>
      </c>
      <c r="Z39" cm="1">
        <f t="array" ref="Z39:Z42">907185*Z34:Z37*10^6/(Z17*10^9)</f>
        <v>5.5078408504256116</v>
      </c>
      <c r="AA39" cm="1">
        <f t="array" ref="AA39:AA42">907185*AA34:AA37*10^6/(AA17*10^9)</f>
        <v>5.7595171801612022</v>
      </c>
      <c r="AB39" cm="1">
        <f t="array" ref="AB39:AB42">907185*AB34:AB37*10^6/(AB17*10^9)</f>
        <v>6.2404783654977942</v>
      </c>
      <c r="AC39" cm="1">
        <f t="array" ref="AC39:AC42">907185*AC34:AC37*10^6/(AC17*10^9)</f>
        <v>6.2108417018444317</v>
      </c>
      <c r="AD39" s="4" cm="1">
        <f t="array" ref="AD39:AD43">(AC39:AC43-C39:C43)/C39:C43</f>
        <v>-0.94239511894236538</v>
      </c>
    </row>
    <row r="40" spans="1:30" x14ac:dyDescent="0.25">
      <c r="A40" t="s">
        <v>70</v>
      </c>
      <c r="B40" t="s">
        <v>67</v>
      </c>
      <c r="C40">
        <v>395.33288005179566</v>
      </c>
      <c r="D40">
        <v>387.70622806017792</v>
      </c>
      <c r="E40">
        <v>399.99354329776355</v>
      </c>
      <c r="F40">
        <v>346.4709952407776</v>
      </c>
      <c r="G40">
        <v>273.00779623453593</v>
      </c>
      <c r="H40">
        <v>208.58702182148747</v>
      </c>
      <c r="I40">
        <v>185.79456860601798</v>
      </c>
      <c r="J40">
        <v>157.44199429978983</v>
      </c>
      <c r="K40">
        <v>101.6589027375046</v>
      </c>
      <c r="L40">
        <v>91.977972846800412</v>
      </c>
      <c r="M40">
        <v>82.142095515663783</v>
      </c>
      <c r="N40">
        <v>78.568892740357896</v>
      </c>
      <c r="O40">
        <v>64.760475978851431</v>
      </c>
      <c r="P40">
        <v>53.599611013875155</v>
      </c>
      <c r="Q40">
        <v>46.021157812798144</v>
      </c>
      <c r="R40">
        <v>30.01266447834438</v>
      </c>
      <c r="S40">
        <v>29.450011103481337</v>
      </c>
      <c r="T40">
        <v>26.780017253787221</v>
      </c>
      <c r="U40">
        <v>26.372439998357528</v>
      </c>
      <c r="V40">
        <v>26.242229396723364</v>
      </c>
      <c r="W40">
        <v>25.240518465250386</v>
      </c>
      <c r="X40">
        <v>23.85506099128628</v>
      </c>
      <c r="Y40">
        <v>20.777560057609509</v>
      </c>
      <c r="Z40">
        <v>20.195418692500223</v>
      </c>
      <c r="AA40">
        <v>21.118236365789297</v>
      </c>
      <c r="AB40">
        <v>22.881755119915336</v>
      </c>
      <c r="AC40">
        <v>22.773085128289672</v>
      </c>
      <c r="AD40" s="4">
        <v>-0.94239516549874125</v>
      </c>
    </row>
    <row r="41" spans="1:30" x14ac:dyDescent="0.25">
      <c r="A41" t="s">
        <v>70</v>
      </c>
      <c r="B41" t="s">
        <v>68</v>
      </c>
      <c r="C41">
        <v>0.28638927296046052</v>
      </c>
      <c r="D41">
        <v>0.25115387150209417</v>
      </c>
      <c r="E41">
        <v>0.40340566991732763</v>
      </c>
      <c r="F41">
        <v>0.32189198272867897</v>
      </c>
      <c r="G41">
        <v>0.23266799436644914</v>
      </c>
      <c r="H41">
        <v>0.44010061970902198</v>
      </c>
      <c r="I41">
        <v>0.21673658041684604</v>
      </c>
      <c r="J41">
        <v>0.20385100802989864</v>
      </c>
      <c r="K41">
        <v>5.7956173164620012E-2</v>
      </c>
      <c r="L41">
        <v>5.4302633596188289E-2</v>
      </c>
      <c r="M41">
        <v>5.30777341367231E-2</v>
      </c>
      <c r="N41">
        <v>4.7341362047281156E-2</v>
      </c>
      <c r="O41">
        <v>4.2800650970454157E-2</v>
      </c>
      <c r="P41">
        <v>3.5212386655959209E-2</v>
      </c>
      <c r="Q41">
        <v>3.0866833818605569E-2</v>
      </c>
      <c r="R41">
        <v>7.4440796237723583E-4</v>
      </c>
      <c r="S41">
        <v>7.8647908773586878E-4</v>
      </c>
      <c r="T41">
        <v>8.074405303004446E-4</v>
      </c>
      <c r="U41">
        <v>8.1530644191425369E-4</v>
      </c>
      <c r="V41">
        <v>8.3128464932782041E-4</v>
      </c>
      <c r="W41">
        <v>8.5432162048689484E-4</v>
      </c>
      <c r="X41">
        <v>8.8459982102842051E-4</v>
      </c>
      <c r="Y41">
        <v>9.0005061010936277E-4</v>
      </c>
      <c r="Z41">
        <v>9.0758055722093168E-4</v>
      </c>
      <c r="AA41">
        <v>9.1525955727080684E-4</v>
      </c>
      <c r="AB41">
        <v>7.847285129303765E-4</v>
      </c>
      <c r="AC41">
        <v>6.9043188222773556E-4</v>
      </c>
      <c r="AD41" s="4">
        <v>-0.9975891838577241</v>
      </c>
    </row>
    <row r="42" spans="1:30" x14ac:dyDescent="0.25">
      <c r="A42" t="s">
        <v>70</v>
      </c>
      <c r="B42" t="s">
        <v>69</v>
      </c>
      <c r="C42">
        <v>0.1190231829544129</v>
      </c>
      <c r="D42">
        <v>0.10986383547350068</v>
      </c>
      <c r="E42">
        <v>0.12530819952403729</v>
      </c>
      <c r="F42">
        <v>0.117964729112843</v>
      </c>
      <c r="G42">
        <v>5.8632102028626676E-2</v>
      </c>
      <c r="H42">
        <v>4.835663980189802E-2</v>
      </c>
      <c r="I42">
        <v>5.3397909344381114E-2</v>
      </c>
      <c r="J42">
        <v>3.7991376885747455E-2</v>
      </c>
      <c r="K42">
        <v>1.440903351394481E-2</v>
      </c>
      <c r="L42">
        <v>1.3152386920445607E-2</v>
      </c>
      <c r="M42">
        <v>1.2086400285861299E-2</v>
      </c>
      <c r="N42">
        <v>1.2153840943572681E-2</v>
      </c>
      <c r="O42">
        <v>1.0116198177669924E-2</v>
      </c>
      <c r="P42">
        <v>8.1737397681795835E-3</v>
      </c>
      <c r="Q42">
        <v>6.5699639426432957E-3</v>
      </c>
      <c r="R42">
        <v>7.6319540142770889E-3</v>
      </c>
      <c r="S42">
        <v>7.3835662300682468E-3</v>
      </c>
      <c r="T42">
        <v>6.8045538963204862E-3</v>
      </c>
      <c r="U42">
        <v>7.2418395722971948E-3</v>
      </c>
      <c r="V42">
        <v>1.0062919439231511E-2</v>
      </c>
      <c r="W42">
        <v>1.1433226061672273E-2</v>
      </c>
      <c r="X42">
        <v>1.1757382295584637E-2</v>
      </c>
      <c r="Y42">
        <v>9.5452735756335044E-3</v>
      </c>
      <c r="Z42">
        <v>8.5783169704733986E-3</v>
      </c>
      <c r="AA42">
        <v>9.0218442073836651E-3</v>
      </c>
      <c r="AB42">
        <v>9.7406513711400366E-3</v>
      </c>
      <c r="AC42">
        <v>9.0756770605877699E-3</v>
      </c>
      <c r="AD42" s="4">
        <v>-0.92374866109853693</v>
      </c>
    </row>
    <row r="43" spans="1:30" x14ac:dyDescent="0.25">
      <c r="A43" t="s">
        <v>70</v>
      </c>
      <c r="B43" t="s">
        <v>65</v>
      </c>
      <c r="C43">
        <f>907185*C38/(C17*10^9)</f>
        <v>1.2203370864291855E-6</v>
      </c>
      <c r="D43">
        <f>907185*D38/(D17*10^9)</f>
        <v>1.277863718379774E-6</v>
      </c>
      <c r="E43">
        <f>907185*E38/(E17*10^9)</f>
        <v>1.1691443708545126E-6</v>
      </c>
      <c r="F43">
        <f>907185*F38/(F17*10^9)</f>
        <v>9.1583246490575447E-7</v>
      </c>
      <c r="G43">
        <f>907185*G38/(G17*10^9)</f>
        <v>6.8961758675068166E-7</v>
      </c>
      <c r="H43">
        <f>907185*H38/(H17*10^9)</f>
        <v>4.6461826857564677E-7</v>
      </c>
      <c r="I43">
        <f>907185*I38/(I17*10^9)</f>
        <v>4.1166105917595325E-7</v>
      </c>
      <c r="J43">
        <f>907185*J38/(J17*10^9)</f>
        <v>3.8377716588814157E-7</v>
      </c>
      <c r="K43">
        <f>907185*K38/(K17*10^9)</f>
        <v>1.3584569127874319E-7</v>
      </c>
      <c r="L43">
        <f>907185*L38/(L17*10^9)</f>
        <v>1.2513350224703391E-7</v>
      </c>
      <c r="M43">
        <f>907185*M38/(M17*10^9)</f>
        <v>1.1842282313985851E-7</v>
      </c>
      <c r="N43">
        <f>907185*N38/(N17*10^9)</f>
        <v>1.0259779865385581E-7</v>
      </c>
      <c r="O43">
        <f>907185*O38/(O17*10^9)</f>
        <v>9.1639407728205062E-8</v>
      </c>
      <c r="P43">
        <f>907185*P38/(P17*10^9)</f>
        <v>7.0933876519128923E-8</v>
      </c>
      <c r="Q43">
        <f>907185*Q38/(Q17*10^9)</f>
        <v>5.3971089402079419E-8</v>
      </c>
      <c r="R43">
        <f>907185*R38/(R17*10^9)</f>
        <v>0</v>
      </c>
      <c r="S43">
        <f>907185*S38/(S17*10^9)</f>
        <v>0</v>
      </c>
      <c r="T43">
        <f>907185*T38/(T17*10^9)</f>
        <v>0</v>
      </c>
      <c r="U43">
        <f>907185*U38/(U17*10^9)</f>
        <v>0</v>
      </c>
      <c r="V43">
        <f>907185*V38/(V17*10^9)</f>
        <v>0</v>
      </c>
      <c r="W43">
        <f>907185*W38/(W17*10^9)</f>
        <v>0</v>
      </c>
      <c r="X43">
        <f>907185*X38/(X17*10^9)</f>
        <v>0</v>
      </c>
      <c r="Y43">
        <f>907185*Y38/(Y17*10^9)</f>
        <v>0</v>
      </c>
      <c r="Z43">
        <f>907185*Z38/(Z17*10^9)</f>
        <v>0</v>
      </c>
      <c r="AA43">
        <f>907185*AA38/(AA17*10^9)</f>
        <v>0</v>
      </c>
      <c r="AB43">
        <f>907185*AB38/(AB17*10^9)</f>
        <v>0</v>
      </c>
      <c r="AC43">
        <f>907185*AC38/(AC17*10^9)</f>
        <v>0</v>
      </c>
      <c r="AD43" s="4">
        <v>-1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43"/>
  <sheetViews>
    <sheetView tabSelected="1" zoomScale="70" zoomScaleNormal="70" workbookViewId="0">
      <selection activeCell="B16" sqref="B16:B17"/>
    </sheetView>
  </sheetViews>
  <sheetFormatPr defaultRowHeight="15" x14ac:dyDescent="0.25"/>
  <cols>
    <col min="1" max="1" width="44.7109375" bestFit="1" customWidth="1"/>
    <col min="2" max="2" width="16.140625" bestFit="1" customWidth="1"/>
    <col min="3" max="29" width="12.7109375" bestFit="1" customWidth="1"/>
    <col min="30" max="30" width="19.42578125" bestFit="1" customWidth="1"/>
  </cols>
  <sheetData>
    <row r="1" spans="1:30" s="3" customFormat="1" ht="15.75" thickBot="1" x14ac:dyDescent="0.3">
      <c r="A1" s="3" t="s">
        <v>72</v>
      </c>
      <c r="B1" s="1" t="s">
        <v>73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</row>
    <row r="2" spans="1:30" ht="15.75" thickTop="1" x14ac:dyDescent="0.25">
      <c r="A2" t="s">
        <v>29</v>
      </c>
      <c r="B2" t="s">
        <v>30</v>
      </c>
      <c r="C2">
        <v>38.347389</v>
      </c>
      <c r="D2">
        <v>32.963267999999999</v>
      </c>
      <c r="E2">
        <v>49.729202000000001</v>
      </c>
      <c r="F2">
        <v>42.076259999999998</v>
      </c>
      <c r="G2">
        <v>35.168326999999998</v>
      </c>
      <c r="H2">
        <v>32.096789999999999</v>
      </c>
      <c r="I2">
        <v>24.385693</v>
      </c>
      <c r="J2">
        <v>24.118454</v>
      </c>
      <c r="K2">
        <v>20.071451</v>
      </c>
      <c r="L2">
        <v>18.524622000000001</v>
      </c>
      <c r="M2">
        <v>17.097853000000001</v>
      </c>
      <c r="N2">
        <v>15.827318</v>
      </c>
      <c r="O2">
        <v>15.867188000000001</v>
      </c>
      <c r="P2">
        <v>14.235270999999999</v>
      </c>
      <c r="Q2">
        <v>11.975263</v>
      </c>
      <c r="R2">
        <v>5.8692650000000004</v>
      </c>
      <c r="S2">
        <v>5.9160069999999996</v>
      </c>
      <c r="T2">
        <v>1.398423</v>
      </c>
      <c r="U2">
        <v>1.346768</v>
      </c>
      <c r="V2">
        <v>1.3412269999999999</v>
      </c>
      <c r="W2">
        <v>1.3529869999999999</v>
      </c>
      <c r="X2">
        <v>1.3524039999999999</v>
      </c>
      <c r="Y2">
        <v>2.2608679999999999</v>
      </c>
      <c r="Z2">
        <v>2.2611379999999999</v>
      </c>
      <c r="AA2">
        <v>2.2612809999999999</v>
      </c>
      <c r="AB2">
        <v>2.563161</v>
      </c>
      <c r="AC2">
        <v>4.5816889999999999</v>
      </c>
      <c r="AD2" s="4" cm="1">
        <f t="array" ref="AD2:AD17">(AC2:AC17-C2:C17)/C2:C17</f>
        <v>-0.88052148739513925</v>
      </c>
    </row>
    <row r="3" spans="1:30" x14ac:dyDescent="0.25">
      <c r="A3" t="s">
        <v>29</v>
      </c>
      <c r="B3" t="s">
        <v>32</v>
      </c>
      <c r="C3">
        <v>0.289271</v>
      </c>
      <c r="D3">
        <v>0.26627899999999999</v>
      </c>
      <c r="E3">
        <v>0.306753</v>
      </c>
      <c r="F3">
        <v>0.243646</v>
      </c>
      <c r="G3">
        <v>0.19275600000000001</v>
      </c>
      <c r="H3">
        <v>0.151287</v>
      </c>
      <c r="I3">
        <v>7.5818999999999998E-2</v>
      </c>
      <c r="J3">
        <v>7.4677999999999994E-2</v>
      </c>
      <c r="K3">
        <v>5.8386E-2</v>
      </c>
      <c r="L3">
        <v>5.8404999999999999E-2</v>
      </c>
      <c r="M3">
        <v>5.8410999999999998E-2</v>
      </c>
      <c r="N3">
        <v>5.8351E-2</v>
      </c>
      <c r="O3">
        <v>5.8276000000000001E-2</v>
      </c>
      <c r="P3">
        <v>5.8327999999999998E-2</v>
      </c>
      <c r="Q3">
        <v>5.8430000000000003E-2</v>
      </c>
      <c r="R3">
        <v>5.8458999999999997E-2</v>
      </c>
      <c r="S3">
        <v>5.8646999999999998E-2</v>
      </c>
      <c r="T3">
        <v>4.0503999999999998E-2</v>
      </c>
      <c r="U3">
        <v>4.1894000000000001E-2</v>
      </c>
      <c r="V3">
        <v>4.0273999999999997E-2</v>
      </c>
      <c r="W3">
        <v>4.0321000000000003E-2</v>
      </c>
      <c r="X3">
        <v>4.3753E-2</v>
      </c>
      <c r="Y3">
        <v>4.6443999999999999E-2</v>
      </c>
      <c r="Z3">
        <v>1.5103999999999999E-2</v>
      </c>
      <c r="AA3">
        <v>9.0810000000000005E-3</v>
      </c>
      <c r="AB3">
        <v>1.0293999999999999E-2</v>
      </c>
      <c r="AC3">
        <v>2.3321999999999999E-2</v>
      </c>
      <c r="AD3" s="4">
        <v>-0.91937663989822693</v>
      </c>
    </row>
    <row r="4" spans="1:30" x14ac:dyDescent="0.25">
      <c r="A4" t="s">
        <v>29</v>
      </c>
      <c r="B4" t="s">
        <v>33</v>
      </c>
      <c r="C4">
        <v>146.36511200000001</v>
      </c>
      <c r="D4">
        <v>145.11071799999999</v>
      </c>
      <c r="E4">
        <v>122.230835</v>
      </c>
      <c r="F4">
        <v>128.08836400000001</v>
      </c>
      <c r="G4">
        <v>125.770477</v>
      </c>
      <c r="H4">
        <v>106.787491</v>
      </c>
      <c r="I4">
        <v>96.854408000000006</v>
      </c>
      <c r="J4">
        <v>80.037848999999994</v>
      </c>
      <c r="K4">
        <v>87.004219000000006</v>
      </c>
      <c r="L4">
        <v>80.381020000000007</v>
      </c>
      <c r="M4">
        <v>77.172484999999995</v>
      </c>
      <c r="N4">
        <v>78.228133999999997</v>
      </c>
      <c r="O4">
        <v>75.339943000000005</v>
      </c>
      <c r="P4">
        <v>70.868026999999998</v>
      </c>
      <c r="Q4">
        <v>60.492592000000002</v>
      </c>
      <c r="R4">
        <v>44.398372999999999</v>
      </c>
      <c r="S4">
        <v>33.421047000000002</v>
      </c>
      <c r="T4">
        <v>27.404188000000001</v>
      </c>
      <c r="U4">
        <v>25.658246999999999</v>
      </c>
      <c r="V4">
        <v>28.160623999999999</v>
      </c>
      <c r="W4">
        <v>27.561506000000001</v>
      </c>
      <c r="X4">
        <v>24.579654999999999</v>
      </c>
      <c r="Y4">
        <v>23.512875000000001</v>
      </c>
      <c r="Z4">
        <v>18.106273999999999</v>
      </c>
      <c r="AA4">
        <v>21.929946999999999</v>
      </c>
      <c r="AB4">
        <v>18.691071000000001</v>
      </c>
      <c r="AC4">
        <v>18.339441000000001</v>
      </c>
      <c r="AD4" s="4">
        <v>-0.87470073469420773</v>
      </c>
    </row>
    <row r="5" spans="1:30" x14ac:dyDescent="0.25">
      <c r="A5" t="s">
        <v>29</v>
      </c>
      <c r="B5" t="s">
        <v>34</v>
      </c>
      <c r="C5">
        <v>62.215060999999999</v>
      </c>
      <c r="D5">
        <v>65.012778999999995</v>
      </c>
      <c r="E5">
        <v>65.598395999999994</v>
      </c>
      <c r="F5">
        <v>65.448738000000006</v>
      </c>
      <c r="G5">
        <v>65.448738000000006</v>
      </c>
      <c r="H5">
        <v>65.448738000000006</v>
      </c>
      <c r="I5">
        <v>65.448729999999998</v>
      </c>
      <c r="J5">
        <v>65.448738000000006</v>
      </c>
      <c r="K5">
        <v>65.448738000000006</v>
      </c>
      <c r="L5">
        <v>65.448738000000006</v>
      </c>
      <c r="M5">
        <v>65.448738000000006</v>
      </c>
      <c r="N5">
        <v>64.036643999999995</v>
      </c>
      <c r="O5">
        <v>59.461533000000003</v>
      </c>
      <c r="P5">
        <v>56.223922999999999</v>
      </c>
      <c r="Q5">
        <v>55.871803</v>
      </c>
      <c r="R5">
        <v>55.755955</v>
      </c>
      <c r="S5">
        <v>60.406925000000001</v>
      </c>
      <c r="T5">
        <v>64.843208000000004</v>
      </c>
      <c r="U5">
        <v>58.618907999999998</v>
      </c>
      <c r="V5">
        <v>58.667999000000002</v>
      </c>
      <c r="W5">
        <v>54.476097000000003</v>
      </c>
      <c r="X5">
        <v>54.494231999999997</v>
      </c>
      <c r="Y5">
        <v>54.402690999999997</v>
      </c>
      <c r="Z5">
        <v>54.464447</v>
      </c>
      <c r="AA5">
        <v>54.467342000000002</v>
      </c>
      <c r="AB5">
        <v>54.585616999999999</v>
      </c>
      <c r="AC5">
        <v>58.079700000000003</v>
      </c>
      <c r="AD5" s="4">
        <v>-6.6468808895003673E-2</v>
      </c>
    </row>
    <row r="6" spans="1:30" x14ac:dyDescent="0.25">
      <c r="A6" t="s">
        <v>29</v>
      </c>
      <c r="B6" t="s">
        <v>35</v>
      </c>
      <c r="C6">
        <v>-0.41156100000000001</v>
      </c>
      <c r="D6">
        <v>-0.40614400000000001</v>
      </c>
      <c r="E6">
        <v>-0.40765099999999999</v>
      </c>
      <c r="F6">
        <v>-0.40678900000000001</v>
      </c>
      <c r="G6">
        <v>-0.41671399999999997</v>
      </c>
      <c r="H6">
        <v>-0.416823</v>
      </c>
      <c r="I6">
        <v>-0.41679500000000003</v>
      </c>
      <c r="J6">
        <v>-1.0500320000000001</v>
      </c>
      <c r="K6">
        <v>-1.6665760000000001</v>
      </c>
      <c r="L6">
        <v>-2.2868040000000001</v>
      </c>
      <c r="M6">
        <v>-2.911626</v>
      </c>
      <c r="N6">
        <v>-3.5159549999999999</v>
      </c>
      <c r="O6">
        <v>-4.2628130000000004</v>
      </c>
      <c r="P6">
        <v>-4.9239740000000003</v>
      </c>
      <c r="Q6">
        <v>-5.7231969999999999</v>
      </c>
      <c r="R6">
        <v>-6.0191290000000004</v>
      </c>
      <c r="S6">
        <v>-7.0570940000000002</v>
      </c>
      <c r="T6">
        <v>-7.6724949999999996</v>
      </c>
      <c r="U6">
        <v>-7.444013</v>
      </c>
      <c r="V6">
        <v>-7.4941740000000001</v>
      </c>
      <c r="W6">
        <v>-7.8181830000000003</v>
      </c>
      <c r="X6">
        <v>-8.6272500000000001</v>
      </c>
      <c r="Y6">
        <v>-9.5287489999999995</v>
      </c>
      <c r="Z6">
        <v>-10.249248</v>
      </c>
      <c r="AA6">
        <v>-10.339459</v>
      </c>
      <c r="AB6">
        <v>-9.9449419999999993</v>
      </c>
      <c r="AC6">
        <v>-10.012123000000001</v>
      </c>
      <c r="AD6" s="4">
        <v>23.327190865995561</v>
      </c>
    </row>
    <row r="7" spans="1:30" x14ac:dyDescent="0.25">
      <c r="A7" t="s">
        <v>29</v>
      </c>
      <c r="B7" t="s">
        <v>36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 s="4" t="e">
        <v>#DIV/0!</v>
      </c>
    </row>
    <row r="8" spans="1:30" x14ac:dyDescent="0.25">
      <c r="A8" t="s">
        <v>29</v>
      </c>
      <c r="B8" t="s">
        <v>37</v>
      </c>
      <c r="C8">
        <v>10.377962999999999</v>
      </c>
      <c r="D8">
        <v>11.275223</v>
      </c>
      <c r="E8">
        <v>11.715040999999999</v>
      </c>
      <c r="F8">
        <v>12.149778</v>
      </c>
      <c r="G8">
        <v>12.157187</v>
      </c>
      <c r="H8">
        <v>12.17417</v>
      </c>
      <c r="I8">
        <v>11.945442999999999</v>
      </c>
      <c r="J8">
        <v>11.158910000000001</v>
      </c>
      <c r="K8">
        <v>10.733435999999999</v>
      </c>
      <c r="L8">
        <v>10.362252</v>
      </c>
      <c r="M8">
        <v>10.325388</v>
      </c>
      <c r="N8">
        <v>10.337122000000001</v>
      </c>
      <c r="O8">
        <v>10.324308</v>
      </c>
      <c r="P8">
        <v>10.54983</v>
      </c>
      <c r="Q8">
        <v>10.727938999999999</v>
      </c>
      <c r="R8">
        <v>10.76193</v>
      </c>
      <c r="S8">
        <v>10.809260999999999</v>
      </c>
      <c r="T8">
        <v>10.833644</v>
      </c>
      <c r="U8">
        <v>10.600379999999999</v>
      </c>
      <c r="V8">
        <v>10.585336</v>
      </c>
      <c r="W8">
        <v>10.573973000000001</v>
      </c>
      <c r="X8">
        <v>10.599218</v>
      </c>
      <c r="Y8">
        <v>10.478046000000001</v>
      </c>
      <c r="Z8">
        <v>10.883573999999999</v>
      </c>
      <c r="AA8">
        <v>10.614917</v>
      </c>
      <c r="AB8">
        <v>10.53617</v>
      </c>
      <c r="AC8">
        <v>10.568142999999999</v>
      </c>
      <c r="AD8" s="4">
        <v>1.8325368860921919E-2</v>
      </c>
    </row>
    <row r="9" spans="1:30" x14ac:dyDescent="0.25">
      <c r="A9" t="s">
        <v>29</v>
      </c>
      <c r="B9" t="s">
        <v>38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 s="4" t="e">
        <v>#DIV/0!</v>
      </c>
    </row>
    <row r="10" spans="1:30" x14ac:dyDescent="0.25">
      <c r="A10" t="s">
        <v>29</v>
      </c>
      <c r="B10" t="s">
        <v>39</v>
      </c>
      <c r="C10">
        <v>0.27060400000000001</v>
      </c>
      <c r="D10">
        <v>0.38471499999999997</v>
      </c>
      <c r="E10">
        <v>0.57388099999999997</v>
      </c>
      <c r="F10">
        <v>0.65899200000000002</v>
      </c>
      <c r="G10">
        <v>0.76342900000000002</v>
      </c>
      <c r="H10">
        <v>0.86795599999999995</v>
      </c>
      <c r="I10">
        <v>0.97666799999999998</v>
      </c>
      <c r="J10">
        <v>1.0864720000000001</v>
      </c>
      <c r="K10">
        <v>1.1937819999999999</v>
      </c>
      <c r="L10">
        <v>1.298354</v>
      </c>
      <c r="M10">
        <v>1.3931819999999999</v>
      </c>
      <c r="N10">
        <v>1.499458</v>
      </c>
      <c r="O10">
        <v>1.610703</v>
      </c>
      <c r="P10">
        <v>1.7286520000000001</v>
      </c>
      <c r="Q10">
        <v>1.846943</v>
      </c>
      <c r="R10">
        <v>1.928445</v>
      </c>
      <c r="S10">
        <v>2.0126019999999998</v>
      </c>
      <c r="T10">
        <v>2.0434540000000001</v>
      </c>
      <c r="U10">
        <v>2.127478</v>
      </c>
      <c r="V10">
        <v>2.210321</v>
      </c>
      <c r="W10">
        <v>2.2523430000000002</v>
      </c>
      <c r="X10">
        <v>2.295007</v>
      </c>
      <c r="Y10">
        <v>2.3373050000000002</v>
      </c>
      <c r="Z10">
        <v>2.3796659999999998</v>
      </c>
      <c r="AA10">
        <v>2.450148</v>
      </c>
      <c r="AB10">
        <v>2.450148</v>
      </c>
      <c r="AC10">
        <v>2.450148</v>
      </c>
      <c r="AD10" s="4">
        <v>8.0543672672983391</v>
      </c>
    </row>
    <row r="11" spans="1:30" x14ac:dyDescent="0.25">
      <c r="A11" t="s">
        <v>29</v>
      </c>
      <c r="B11" t="s">
        <v>40</v>
      </c>
      <c r="C11">
        <v>1.367292</v>
      </c>
      <c r="D11">
        <v>1.367291</v>
      </c>
      <c r="E11">
        <v>1.367292</v>
      </c>
      <c r="F11">
        <v>1.3810629999999999</v>
      </c>
      <c r="G11">
        <v>1.3810629999999999</v>
      </c>
      <c r="H11">
        <v>1.3810629999999999</v>
      </c>
      <c r="I11">
        <v>1.4206430000000001</v>
      </c>
      <c r="J11">
        <v>1.4363250000000001</v>
      </c>
      <c r="K11">
        <v>1.4994799999999999</v>
      </c>
      <c r="L11">
        <v>1.4599</v>
      </c>
      <c r="M11">
        <v>1.4599</v>
      </c>
      <c r="N11">
        <v>1.4206430000000001</v>
      </c>
      <c r="O11">
        <v>1.4206430000000001</v>
      </c>
      <c r="P11">
        <v>1.4068719999999999</v>
      </c>
      <c r="Q11">
        <v>1.4068719999999999</v>
      </c>
      <c r="R11">
        <v>1.4068719999999999</v>
      </c>
      <c r="S11">
        <v>1.4068719999999999</v>
      </c>
      <c r="T11">
        <v>1.4068719999999999</v>
      </c>
      <c r="U11">
        <v>1.367291</v>
      </c>
      <c r="V11">
        <v>1.5194240000000001</v>
      </c>
      <c r="W11">
        <v>1.8571820000000001</v>
      </c>
      <c r="X11">
        <v>1.923468</v>
      </c>
      <c r="Y11">
        <v>1.923468</v>
      </c>
      <c r="Z11">
        <v>1.923468</v>
      </c>
      <c r="AA11">
        <v>1.923468</v>
      </c>
      <c r="AB11">
        <v>1.923468</v>
      </c>
      <c r="AC11">
        <v>1.923468</v>
      </c>
      <c r="AD11" s="4">
        <v>0.40677192582125837</v>
      </c>
    </row>
    <row r="12" spans="1:30" x14ac:dyDescent="0.25">
      <c r="A12" t="s">
        <v>29</v>
      </c>
      <c r="B12" t="s">
        <v>41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 s="4" t="e">
        <v>#DIV/0!</v>
      </c>
    </row>
    <row r="13" spans="1:30" x14ac:dyDescent="0.25">
      <c r="A13" t="s">
        <v>29</v>
      </c>
      <c r="B13" t="s">
        <v>42</v>
      </c>
      <c r="C13">
        <v>9.7884010000000004</v>
      </c>
      <c r="D13">
        <v>11.807345</v>
      </c>
      <c r="E13">
        <v>13.611288</v>
      </c>
      <c r="F13">
        <v>14.143943999999999</v>
      </c>
      <c r="G13">
        <v>33.760693000000003</v>
      </c>
      <c r="H13">
        <v>63.295428999999999</v>
      </c>
      <c r="I13">
        <v>91.659537999999998</v>
      </c>
      <c r="J13">
        <v>111.374527</v>
      </c>
      <c r="K13">
        <v>139.282059</v>
      </c>
      <c r="L13">
        <v>154.923416</v>
      </c>
      <c r="M13">
        <v>160.35377500000001</v>
      </c>
      <c r="N13">
        <v>168.65498400000001</v>
      </c>
      <c r="O13">
        <v>171.89544699999999</v>
      </c>
      <c r="P13">
        <v>180.67984000000001</v>
      </c>
      <c r="Q13">
        <v>182.98358200000001</v>
      </c>
      <c r="R13">
        <v>189.816956</v>
      </c>
      <c r="S13">
        <v>194.40649400000001</v>
      </c>
      <c r="T13">
        <v>203.68351699999999</v>
      </c>
      <c r="U13">
        <v>204.40322900000001</v>
      </c>
      <c r="V13">
        <v>205.588348</v>
      </c>
      <c r="W13">
        <v>209.92692600000001</v>
      </c>
      <c r="X13">
        <v>214.1651</v>
      </c>
      <c r="Y13">
        <v>220.754074</v>
      </c>
      <c r="Z13">
        <v>225.21935999999999</v>
      </c>
      <c r="AA13">
        <v>226.471115</v>
      </c>
      <c r="AB13">
        <v>226.70162999999999</v>
      </c>
      <c r="AC13">
        <v>226.70129399999999</v>
      </c>
      <c r="AD13" s="4">
        <v>22.160196849311749</v>
      </c>
    </row>
    <row r="14" spans="1:30" x14ac:dyDescent="0.25">
      <c r="A14" t="s">
        <v>29</v>
      </c>
      <c r="B14" t="s">
        <v>43</v>
      </c>
      <c r="C14">
        <v>0</v>
      </c>
      <c r="D14">
        <v>0</v>
      </c>
      <c r="E14">
        <v>0</v>
      </c>
      <c r="F14">
        <v>0.72611899999999996</v>
      </c>
      <c r="G14">
        <v>0.90768800000000005</v>
      </c>
      <c r="H14">
        <v>0.90737199999999996</v>
      </c>
      <c r="I14">
        <v>0.88584600000000002</v>
      </c>
      <c r="J14">
        <v>0.80937999999999999</v>
      </c>
      <c r="K14">
        <v>0.77294200000000002</v>
      </c>
      <c r="L14">
        <v>0.73834299999999997</v>
      </c>
      <c r="M14">
        <v>0.73334500000000002</v>
      </c>
      <c r="N14">
        <v>0.73417600000000005</v>
      </c>
      <c r="O14">
        <v>0.73267800000000005</v>
      </c>
      <c r="P14">
        <v>0.74634699999999998</v>
      </c>
      <c r="Q14">
        <v>0.629691</v>
      </c>
      <c r="R14">
        <v>0.76842500000000002</v>
      </c>
      <c r="S14">
        <v>0.71528899999999995</v>
      </c>
      <c r="T14">
        <v>0.75337600000000005</v>
      </c>
      <c r="U14">
        <v>0.73181099999999999</v>
      </c>
      <c r="V14">
        <v>0.73075900000000005</v>
      </c>
      <c r="W14">
        <v>0.72970800000000002</v>
      </c>
      <c r="X14">
        <v>0.73203099999999999</v>
      </c>
      <c r="Y14">
        <v>0.73708600000000002</v>
      </c>
      <c r="Z14">
        <v>0.76424999999999998</v>
      </c>
      <c r="AA14">
        <v>0.76771</v>
      </c>
      <c r="AB14">
        <v>0.76920999999999995</v>
      </c>
      <c r="AC14">
        <v>0.68364599999999998</v>
      </c>
      <c r="AD14" s="4" t="e">
        <v>#DIV/0!</v>
      </c>
    </row>
    <row r="15" spans="1:30" x14ac:dyDescent="0.25">
      <c r="A15" t="s">
        <v>29</v>
      </c>
      <c r="B15" t="s">
        <v>44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 s="4" t="e">
        <v>#DIV/0!</v>
      </c>
    </row>
    <row r="16" spans="1:30" x14ac:dyDescent="0.25">
      <c r="A16" t="s">
        <v>29</v>
      </c>
      <c r="B16" s="5" t="s">
        <v>45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 s="4" t="e">
        <v>#DIV/0!</v>
      </c>
    </row>
    <row r="17" spans="1:30" x14ac:dyDescent="0.25">
      <c r="A17" t="s">
        <v>29</v>
      </c>
      <c r="B17" s="5" t="s">
        <v>46</v>
      </c>
      <c r="C17">
        <v>268.60952800000001</v>
      </c>
      <c r="D17">
        <v>267.78149400000001</v>
      </c>
      <c r="E17">
        <v>264.72500600000001</v>
      </c>
      <c r="F17">
        <v>264.51010100000002</v>
      </c>
      <c r="G17">
        <v>275.13363600000002</v>
      </c>
      <c r="H17">
        <v>282.69348100000002</v>
      </c>
      <c r="I17">
        <v>293.23599200000001</v>
      </c>
      <c r="J17">
        <v>294.49529999999999</v>
      </c>
      <c r="K17">
        <v>324.39788800000002</v>
      </c>
      <c r="L17">
        <v>330.90823399999999</v>
      </c>
      <c r="M17">
        <v>331.13146999999998</v>
      </c>
      <c r="N17">
        <v>337.28088400000001</v>
      </c>
      <c r="O17">
        <v>332.44787600000001</v>
      </c>
      <c r="P17">
        <v>331.57312000000002</v>
      </c>
      <c r="Q17">
        <v>320.26992799999999</v>
      </c>
      <c r="R17">
        <v>304.745544</v>
      </c>
      <c r="S17">
        <v>302.09603900000002</v>
      </c>
      <c r="T17">
        <v>304.73468000000003</v>
      </c>
      <c r="U17">
        <v>297.45199600000001</v>
      </c>
      <c r="V17">
        <v>301.35012799999998</v>
      </c>
      <c r="W17">
        <v>300.95285000000001</v>
      </c>
      <c r="X17">
        <v>301.55761699999999</v>
      </c>
      <c r="Y17">
        <v>306.924103</v>
      </c>
      <c r="Z17">
        <v>305.768036</v>
      </c>
      <c r="AA17">
        <v>310.555542</v>
      </c>
      <c r="AB17">
        <v>308.28582799999998</v>
      </c>
      <c r="AC17">
        <v>313.33874500000002</v>
      </c>
      <c r="AD17" s="4">
        <v>0.16652133426927435</v>
      </c>
    </row>
    <row r="18" spans="1:30" x14ac:dyDescent="0.25">
      <c r="A18" t="s">
        <v>74</v>
      </c>
      <c r="B18" t="s">
        <v>47</v>
      </c>
      <c r="C18">
        <v>14.531891</v>
      </c>
      <c r="D18">
        <v>14.60139</v>
      </c>
      <c r="E18">
        <v>13.929399</v>
      </c>
      <c r="F18">
        <v>13.450206</v>
      </c>
      <c r="G18">
        <v>13.466335000000001</v>
      </c>
      <c r="H18">
        <v>13.502307999999999</v>
      </c>
      <c r="I18">
        <v>13.499453000000001</v>
      </c>
      <c r="J18">
        <v>13.741161</v>
      </c>
      <c r="K18">
        <v>14.134178</v>
      </c>
      <c r="L18">
        <v>14.735089</v>
      </c>
      <c r="M18">
        <v>15.020113</v>
      </c>
      <c r="N18">
        <v>15.127008999999999</v>
      </c>
      <c r="O18">
        <v>15.136229999999999</v>
      </c>
      <c r="P18">
        <v>14.908436</v>
      </c>
      <c r="Q18">
        <v>14.604638</v>
      </c>
      <c r="R18">
        <v>14.330299999999999</v>
      </c>
      <c r="S18">
        <v>14.239003</v>
      </c>
      <c r="T18">
        <v>14.285368</v>
      </c>
      <c r="U18">
        <v>14.399856</v>
      </c>
      <c r="V18">
        <v>14.508160999999999</v>
      </c>
      <c r="W18">
        <v>14.655554</v>
      </c>
      <c r="X18">
        <v>14.547257999999999</v>
      </c>
      <c r="Y18">
        <v>14.399277</v>
      </c>
      <c r="Z18">
        <v>14.265162</v>
      </c>
      <c r="AA18">
        <v>14.154966999999999</v>
      </c>
      <c r="AB18">
        <v>14.095065999999999</v>
      </c>
      <c r="AC18">
        <v>14.047096</v>
      </c>
      <c r="AD18" s="4" cm="1">
        <f t="array" ref="AD18:AD22">(AC18:AC22-C18:C22)/C18:C22</f>
        <v>-3.3360764954815589E-2</v>
      </c>
    </row>
    <row r="19" spans="1:30" x14ac:dyDescent="0.25">
      <c r="A19" t="s">
        <v>74</v>
      </c>
      <c r="B19" t="s">
        <v>49</v>
      </c>
      <c r="C19">
        <v>12.301586</v>
      </c>
      <c r="D19">
        <v>12.025366</v>
      </c>
      <c r="E19">
        <v>11.302077000000001</v>
      </c>
      <c r="F19">
        <v>10.969058</v>
      </c>
      <c r="G19">
        <v>11.065047</v>
      </c>
      <c r="H19">
        <v>11.068403</v>
      </c>
      <c r="I19">
        <v>11.126974000000001</v>
      </c>
      <c r="J19">
        <v>11.416993</v>
      </c>
      <c r="K19">
        <v>11.860497000000001</v>
      </c>
      <c r="L19">
        <v>12.538895</v>
      </c>
      <c r="M19">
        <v>12.824384999999999</v>
      </c>
      <c r="N19">
        <v>13.0245</v>
      </c>
      <c r="O19">
        <v>13.064026999999999</v>
      </c>
      <c r="P19">
        <v>12.881830000000001</v>
      </c>
      <c r="Q19">
        <v>12.620426</v>
      </c>
      <c r="R19">
        <v>12.399417</v>
      </c>
      <c r="S19">
        <v>12.34132</v>
      </c>
      <c r="T19">
        <v>12.446638999999999</v>
      </c>
      <c r="U19">
        <v>12.616263</v>
      </c>
      <c r="V19">
        <v>12.77665</v>
      </c>
      <c r="W19">
        <v>12.970261000000001</v>
      </c>
      <c r="X19">
        <v>12.896019000000001</v>
      </c>
      <c r="Y19">
        <v>12.780905000000001</v>
      </c>
      <c r="Z19">
        <v>12.658052</v>
      </c>
      <c r="AA19">
        <v>12.563179999999999</v>
      </c>
      <c r="AB19">
        <v>12.515718</v>
      </c>
      <c r="AC19">
        <v>12.476813</v>
      </c>
      <c r="AD19" s="4">
        <v>1.4244260861973373E-2</v>
      </c>
    </row>
    <row r="20" spans="1:30" x14ac:dyDescent="0.25">
      <c r="A20" t="s">
        <v>74</v>
      </c>
      <c r="B20" t="s">
        <v>50</v>
      </c>
      <c r="C20">
        <v>7.8858230000000002</v>
      </c>
      <c r="D20">
        <v>7.7153689999999999</v>
      </c>
      <c r="E20">
        <v>7.0174709999999996</v>
      </c>
      <c r="F20">
        <v>6.8486330000000004</v>
      </c>
      <c r="G20">
        <v>6.9917449999999999</v>
      </c>
      <c r="H20">
        <v>6.9991029999999999</v>
      </c>
      <c r="I20">
        <v>7.127033</v>
      </c>
      <c r="J20">
        <v>7.4378859999999998</v>
      </c>
      <c r="K20">
        <v>7.878317</v>
      </c>
      <c r="L20">
        <v>8.5132930000000009</v>
      </c>
      <c r="M20">
        <v>8.770797</v>
      </c>
      <c r="N20">
        <v>9.1123960000000004</v>
      </c>
      <c r="O20">
        <v>9.2737700000000007</v>
      </c>
      <c r="P20">
        <v>9.1916639999999994</v>
      </c>
      <c r="Q20">
        <v>9.000731</v>
      </c>
      <c r="R20">
        <v>8.844004</v>
      </c>
      <c r="S20">
        <v>8.7277830000000005</v>
      </c>
      <c r="T20">
        <v>8.8116640000000004</v>
      </c>
      <c r="U20">
        <v>8.97715</v>
      </c>
      <c r="V20">
        <v>9.1390609999999999</v>
      </c>
      <c r="W20">
        <v>9.3201389999999993</v>
      </c>
      <c r="X20">
        <v>9.350339</v>
      </c>
      <c r="Y20">
        <v>9.3006799999999998</v>
      </c>
      <c r="Z20">
        <v>9.2018339999999998</v>
      </c>
      <c r="AA20">
        <v>9.1334119999999999</v>
      </c>
      <c r="AB20">
        <v>9.0981660000000009</v>
      </c>
      <c r="AC20">
        <v>9.0664549999999995</v>
      </c>
      <c r="AD20" s="4">
        <v>0.1497157620707438</v>
      </c>
    </row>
    <row r="21" spans="1:30" x14ac:dyDescent="0.25">
      <c r="A21" t="s">
        <v>74</v>
      </c>
      <c r="B21" t="s">
        <v>51</v>
      </c>
      <c r="C21">
        <v>11.929081999999999</v>
      </c>
      <c r="D21">
        <v>11.673272000000001</v>
      </c>
      <c r="E21">
        <v>11.027882999999999</v>
      </c>
      <c r="F21">
        <v>10.629782000000001</v>
      </c>
      <c r="G21">
        <v>10.664875</v>
      </c>
      <c r="H21">
        <v>10.691787</v>
      </c>
      <c r="I21">
        <v>10.705189000000001</v>
      </c>
      <c r="J21">
        <v>10.952113000000001</v>
      </c>
      <c r="K21">
        <v>11.346107999999999</v>
      </c>
      <c r="L21">
        <v>11.922625999999999</v>
      </c>
      <c r="M21">
        <v>12.225004999999999</v>
      </c>
      <c r="N21">
        <v>12.360614999999999</v>
      </c>
      <c r="O21">
        <v>12.416437999999999</v>
      </c>
      <c r="P21">
        <v>12.255057000000001</v>
      </c>
      <c r="Q21">
        <v>12.02004</v>
      </c>
      <c r="R21">
        <v>11.803435</v>
      </c>
      <c r="S21">
        <v>11.76239</v>
      </c>
      <c r="T21">
        <v>11.827286000000001</v>
      </c>
      <c r="U21">
        <v>11.975040999999999</v>
      </c>
      <c r="V21">
        <v>12.122949999999999</v>
      </c>
      <c r="W21">
        <v>12.301117</v>
      </c>
      <c r="X21">
        <v>12.305804999999999</v>
      </c>
      <c r="Y21">
        <v>12.202491999999999</v>
      </c>
      <c r="Z21">
        <v>12.094286</v>
      </c>
      <c r="AA21">
        <v>11.995899</v>
      </c>
      <c r="AB21">
        <v>11.951463</v>
      </c>
      <c r="AC21">
        <v>11.921174000000001</v>
      </c>
      <c r="AD21" s="4">
        <v>-6.6291773331750878E-4</v>
      </c>
    </row>
    <row r="22" spans="1:30" x14ac:dyDescent="0.25">
      <c r="A22" t="s">
        <v>74</v>
      </c>
      <c r="B22" t="s">
        <v>52</v>
      </c>
      <c r="C22">
        <v>12.077679</v>
      </c>
      <c r="D22">
        <v>11.966150000000001</v>
      </c>
      <c r="E22">
        <v>11.291831</v>
      </c>
      <c r="F22">
        <v>10.934842</v>
      </c>
      <c r="G22">
        <v>10.953956</v>
      </c>
      <c r="H22">
        <v>10.913119999999999</v>
      </c>
      <c r="I22">
        <v>10.900517000000001</v>
      </c>
      <c r="J22">
        <v>11.127636000000001</v>
      </c>
      <c r="K22">
        <v>11.495758</v>
      </c>
      <c r="L22">
        <v>12.083864</v>
      </c>
      <c r="M22">
        <v>12.323108</v>
      </c>
      <c r="N22">
        <v>12.529434999999999</v>
      </c>
      <c r="O22">
        <v>12.602978999999999</v>
      </c>
      <c r="P22">
        <v>12.456982</v>
      </c>
      <c r="Q22">
        <v>12.215966999999999</v>
      </c>
      <c r="R22">
        <v>12.006173</v>
      </c>
      <c r="S22">
        <v>11.898073999999999</v>
      </c>
      <c r="T22">
        <v>11.968989000000001</v>
      </c>
      <c r="U22">
        <v>12.132960000000001</v>
      </c>
      <c r="V22">
        <v>12.295159999999999</v>
      </c>
      <c r="W22">
        <v>12.482203</v>
      </c>
      <c r="X22">
        <v>12.478752</v>
      </c>
      <c r="Y22">
        <v>12.391062</v>
      </c>
      <c r="Z22">
        <v>12.273595</v>
      </c>
      <c r="AA22">
        <v>12.182299</v>
      </c>
      <c r="AB22">
        <v>12.13477</v>
      </c>
      <c r="AC22">
        <v>12.095518</v>
      </c>
      <c r="AD22" s="4">
        <v>1.4770221993812207E-3</v>
      </c>
    </row>
    <row r="23" spans="1:30" x14ac:dyDescent="0.25">
      <c r="A23" t="s">
        <v>75</v>
      </c>
      <c r="B23" t="s">
        <v>47</v>
      </c>
      <c r="C23">
        <v>14.531891</v>
      </c>
      <c r="D23">
        <v>14.936424000000001</v>
      </c>
      <c r="E23">
        <v>14.504332</v>
      </c>
      <c r="F23">
        <v>14.246409</v>
      </c>
      <c r="G23">
        <v>14.513737000000001</v>
      </c>
      <c r="H23">
        <v>14.769380999999999</v>
      </c>
      <c r="I23">
        <v>14.998592</v>
      </c>
      <c r="J23">
        <v>15.534046</v>
      </c>
      <c r="K23">
        <v>16.258476000000002</v>
      </c>
      <c r="L23">
        <v>17.247126000000002</v>
      </c>
      <c r="M23">
        <v>17.888262000000001</v>
      </c>
      <c r="N23">
        <v>18.327418999999999</v>
      </c>
      <c r="O23">
        <v>18.653220999999998</v>
      </c>
      <c r="P23">
        <v>18.701502000000001</v>
      </c>
      <c r="Q23">
        <v>18.662134000000002</v>
      </c>
      <c r="R23">
        <v>18.669163000000001</v>
      </c>
      <c r="S23">
        <v>18.936605</v>
      </c>
      <c r="T23">
        <v>19.416739</v>
      </c>
      <c r="U23">
        <v>20.019507999999998</v>
      </c>
      <c r="V23">
        <v>20.644945</v>
      </c>
      <c r="W23">
        <v>21.360146</v>
      </c>
      <c r="X23">
        <v>21.720283999999999</v>
      </c>
      <c r="Y23">
        <v>22.025829000000002</v>
      </c>
      <c r="Z23">
        <v>22.352633999999998</v>
      </c>
      <c r="AA23">
        <v>22.71199</v>
      </c>
      <c r="AB23">
        <v>23.152348</v>
      </c>
      <c r="AC23">
        <v>23.608958999999999</v>
      </c>
      <c r="AD23" s="4" cm="1">
        <f t="array" ref="AD23:AD27">(AC23:AC27-C23:C27)/C23:C27</f>
        <v>0.62463088940042277</v>
      </c>
    </row>
    <row r="24" spans="1:30" x14ac:dyDescent="0.25">
      <c r="A24" t="s">
        <v>75</v>
      </c>
      <c r="B24" t="s">
        <v>49</v>
      </c>
      <c r="C24">
        <v>12.301586</v>
      </c>
      <c r="D24">
        <v>12.301292999999999</v>
      </c>
      <c r="E24">
        <v>11.768568</v>
      </c>
      <c r="F24">
        <v>11.618385999999999</v>
      </c>
      <c r="G24">
        <v>11.925678</v>
      </c>
      <c r="H24">
        <v>12.107075</v>
      </c>
      <c r="I24">
        <v>12.362646</v>
      </c>
      <c r="J24">
        <v>12.906631000000001</v>
      </c>
      <c r="K24">
        <v>13.643071000000001</v>
      </c>
      <c r="L24">
        <v>14.676523</v>
      </c>
      <c r="M24">
        <v>15.273251999999999</v>
      </c>
      <c r="N24">
        <v>15.780085</v>
      </c>
      <c r="O24">
        <v>16.099526999999998</v>
      </c>
      <c r="P24">
        <v>16.159279000000002</v>
      </c>
      <c r="Q24">
        <v>16.126664999999999</v>
      </c>
      <c r="R24">
        <v>16.153654</v>
      </c>
      <c r="S24">
        <v>16.412856999999999</v>
      </c>
      <c r="T24">
        <v>16.917529999999999</v>
      </c>
      <c r="U24">
        <v>17.539856</v>
      </c>
      <c r="V24">
        <v>18.181025999999999</v>
      </c>
      <c r="W24">
        <v>18.903867999999999</v>
      </c>
      <c r="X24">
        <v>19.254845</v>
      </c>
      <c r="Y24">
        <v>19.550288999999999</v>
      </c>
      <c r="Z24">
        <v>19.834392999999999</v>
      </c>
      <c r="AA24">
        <v>20.15793</v>
      </c>
      <c r="AB24">
        <v>20.558136000000001</v>
      </c>
      <c r="AC24">
        <v>20.969784000000001</v>
      </c>
      <c r="AD24" s="4">
        <v>0.70464068616843389</v>
      </c>
    </row>
    <row r="25" spans="1:30" x14ac:dyDescent="0.25">
      <c r="A25" t="s">
        <v>75</v>
      </c>
      <c r="B25" t="s">
        <v>50</v>
      </c>
      <c r="C25">
        <v>7.8858230000000002</v>
      </c>
      <c r="D25">
        <v>7.8924010000000004</v>
      </c>
      <c r="E25">
        <v>7.3071159999999997</v>
      </c>
      <c r="F25">
        <v>7.2540469999999999</v>
      </c>
      <c r="G25">
        <v>7.535558</v>
      </c>
      <c r="H25">
        <v>7.655907</v>
      </c>
      <c r="I25">
        <v>7.9185040000000004</v>
      </c>
      <c r="J25">
        <v>8.4083469999999991</v>
      </c>
      <c r="K25">
        <v>9.0623889999999996</v>
      </c>
      <c r="L25">
        <v>9.964639</v>
      </c>
      <c r="M25">
        <v>10.445615</v>
      </c>
      <c r="N25">
        <v>11.040298999999999</v>
      </c>
      <c r="O25">
        <v>11.428584000000001</v>
      </c>
      <c r="P25">
        <v>11.530246</v>
      </c>
      <c r="Q25">
        <v>11.501338000000001</v>
      </c>
      <c r="R25">
        <v>11.521749</v>
      </c>
      <c r="S25">
        <v>11.607174000000001</v>
      </c>
      <c r="T25">
        <v>11.976853</v>
      </c>
      <c r="U25">
        <v>12.480551</v>
      </c>
      <c r="V25">
        <v>13.004778999999999</v>
      </c>
      <c r="W25">
        <v>13.583897</v>
      </c>
      <c r="X25">
        <v>13.960845000000001</v>
      </c>
      <c r="Y25">
        <v>14.226769000000001</v>
      </c>
      <c r="Z25">
        <v>14.418710000000001</v>
      </c>
      <c r="AA25">
        <v>14.654783</v>
      </c>
      <c r="AB25">
        <v>14.944514</v>
      </c>
      <c r="AC25">
        <v>15.237994</v>
      </c>
      <c r="AD25" s="4">
        <v>0.93232767207683964</v>
      </c>
    </row>
    <row r="26" spans="1:30" x14ac:dyDescent="0.25">
      <c r="A26" t="s">
        <v>75</v>
      </c>
      <c r="B26" t="s">
        <v>51</v>
      </c>
      <c r="C26">
        <v>11.929081999999999</v>
      </c>
      <c r="D26">
        <v>11.941121000000001</v>
      </c>
      <c r="E26">
        <v>11.483055999999999</v>
      </c>
      <c r="F26">
        <v>11.259026</v>
      </c>
      <c r="G26">
        <v>11.494382</v>
      </c>
      <c r="H26">
        <v>11.695116000000001</v>
      </c>
      <c r="I26">
        <v>11.894019999999999</v>
      </c>
      <c r="J26">
        <v>12.381095999999999</v>
      </c>
      <c r="K26">
        <v>13.051373</v>
      </c>
      <c r="L26">
        <v>13.955194000000001</v>
      </c>
      <c r="M26">
        <v>14.559418000000001</v>
      </c>
      <c r="N26">
        <v>14.975740999999999</v>
      </c>
      <c r="O26">
        <v>15.301469000000001</v>
      </c>
      <c r="P26">
        <v>15.37304</v>
      </c>
      <c r="Q26">
        <v>15.359477</v>
      </c>
      <c r="R26">
        <v>15.377224</v>
      </c>
      <c r="S26">
        <v>15.642932</v>
      </c>
      <c r="T26">
        <v>16.075700999999999</v>
      </c>
      <c r="U26">
        <v>16.648394</v>
      </c>
      <c r="V26">
        <v>17.250817999999999</v>
      </c>
      <c r="W26">
        <v>17.928604</v>
      </c>
      <c r="X26">
        <v>18.373605999999999</v>
      </c>
      <c r="Y26">
        <v>18.665520000000001</v>
      </c>
      <c r="Z26">
        <v>18.951006</v>
      </c>
      <c r="AA26">
        <v>19.247713000000001</v>
      </c>
      <c r="AB26">
        <v>19.631295999999999</v>
      </c>
      <c r="AC26">
        <v>20.035923</v>
      </c>
      <c r="AD26" s="4">
        <v>0.67958632525118035</v>
      </c>
    </row>
    <row r="27" spans="1:30" x14ac:dyDescent="0.25">
      <c r="A27" t="s">
        <v>75</v>
      </c>
      <c r="B27" t="s">
        <v>52</v>
      </c>
      <c r="C27">
        <v>12.077679</v>
      </c>
      <c r="D27">
        <v>12.240719</v>
      </c>
      <c r="E27">
        <v>11.757899</v>
      </c>
      <c r="F27">
        <v>11.582145000000001</v>
      </c>
      <c r="G27">
        <v>11.805946</v>
      </c>
      <c r="H27">
        <v>11.93722</v>
      </c>
      <c r="I27">
        <v>12.111039</v>
      </c>
      <c r="J27">
        <v>12.579518999999999</v>
      </c>
      <c r="K27">
        <v>13.223515000000001</v>
      </c>
      <c r="L27">
        <v>14.14392</v>
      </c>
      <c r="M27">
        <v>14.676253000000001</v>
      </c>
      <c r="N27">
        <v>15.180279000000001</v>
      </c>
      <c r="O27">
        <v>15.531352999999999</v>
      </c>
      <c r="P27">
        <v>15.626339</v>
      </c>
      <c r="Q27">
        <v>15.609838</v>
      </c>
      <c r="R27">
        <v>15.641346</v>
      </c>
      <c r="S27">
        <v>15.82338</v>
      </c>
      <c r="T27">
        <v>16.268305000000002</v>
      </c>
      <c r="U27">
        <v>16.867940999999998</v>
      </c>
      <c r="V27">
        <v>17.495871000000001</v>
      </c>
      <c r="W27">
        <v>18.192533000000001</v>
      </c>
      <c r="X27">
        <v>18.631830000000001</v>
      </c>
      <c r="Y27">
        <v>18.953966000000001</v>
      </c>
      <c r="Z27">
        <v>19.231971999999999</v>
      </c>
      <c r="AA27">
        <v>19.546794999999999</v>
      </c>
      <c r="AB27">
        <v>19.932396000000001</v>
      </c>
      <c r="AC27">
        <v>20.328941</v>
      </c>
      <c r="AD27" s="4">
        <v>0.68318275390495153</v>
      </c>
    </row>
    <row r="28" spans="1:30" x14ac:dyDescent="0.25">
      <c r="A28" t="s">
        <v>76</v>
      </c>
      <c r="B28" t="s">
        <v>54</v>
      </c>
      <c r="C28">
        <v>8.0190560000000009</v>
      </c>
      <c r="D28">
        <v>7.8974700000000002</v>
      </c>
      <c r="E28">
        <v>7.1552740000000004</v>
      </c>
      <c r="F28">
        <v>6.7447689999999998</v>
      </c>
      <c r="G28">
        <v>6.7076640000000003</v>
      </c>
      <c r="H28">
        <v>6.5840719999999999</v>
      </c>
      <c r="I28">
        <v>6.4965830000000002</v>
      </c>
      <c r="J28">
        <v>6.6461519999999998</v>
      </c>
      <c r="K28">
        <v>6.9289040000000002</v>
      </c>
      <c r="L28">
        <v>7.4420359999999999</v>
      </c>
      <c r="M28">
        <v>7.6289720000000001</v>
      </c>
      <c r="N28">
        <v>7.8119509999999996</v>
      </c>
      <c r="O28">
        <v>7.8434100000000004</v>
      </c>
      <c r="P28">
        <v>7.6740760000000003</v>
      </c>
      <c r="Q28">
        <v>7.4244640000000004</v>
      </c>
      <c r="R28">
        <v>7.2153559999999999</v>
      </c>
      <c r="S28">
        <v>7.1283050000000001</v>
      </c>
      <c r="T28">
        <v>7.1915490000000002</v>
      </c>
      <c r="U28">
        <v>7.3185079999999996</v>
      </c>
      <c r="V28">
        <v>7.4579079999999998</v>
      </c>
      <c r="W28">
        <v>7.6346819999999997</v>
      </c>
      <c r="X28">
        <v>7.6392160000000002</v>
      </c>
      <c r="Y28">
        <v>7.5466379999999997</v>
      </c>
      <c r="Z28">
        <v>7.4221899999999996</v>
      </c>
      <c r="AA28">
        <v>7.3334429999999999</v>
      </c>
      <c r="AB28">
        <v>7.290171</v>
      </c>
      <c r="AC28">
        <v>7.2493369999999997</v>
      </c>
      <c r="AD28" s="4" cm="1">
        <f t="array" ref="AD28:AD30">(AC28:AC30-C28:C30)/C28:C30</f>
        <v>-9.5986235786357038E-2</v>
      </c>
    </row>
    <row r="29" spans="1:30" x14ac:dyDescent="0.25">
      <c r="A29" t="s">
        <v>76</v>
      </c>
      <c r="B29" t="s">
        <v>55</v>
      </c>
      <c r="C29">
        <v>0.93633699999999997</v>
      </c>
      <c r="D29">
        <v>0.94512200000000002</v>
      </c>
      <c r="E29">
        <v>0.97154600000000002</v>
      </c>
      <c r="F29">
        <v>1.0023610000000001</v>
      </c>
      <c r="G29">
        <v>1.04314</v>
      </c>
      <c r="H29">
        <v>1.1096109999999999</v>
      </c>
      <c r="I29">
        <v>1.17269</v>
      </c>
      <c r="J29">
        <v>1.2394289999999999</v>
      </c>
      <c r="K29">
        <v>1.315788</v>
      </c>
      <c r="L29">
        <v>1.3842080000000001</v>
      </c>
      <c r="M29">
        <v>1.4286350000000001</v>
      </c>
      <c r="N29">
        <v>1.4349000000000001</v>
      </c>
      <c r="O29">
        <v>1.452326</v>
      </c>
      <c r="P29">
        <v>1.455891</v>
      </c>
      <c r="Q29">
        <v>1.454866</v>
      </c>
      <c r="R29">
        <v>1.450987</v>
      </c>
      <c r="S29">
        <v>1.4426730000000001</v>
      </c>
      <c r="T29">
        <v>1.446604</v>
      </c>
      <c r="U29">
        <v>1.467319</v>
      </c>
      <c r="V29">
        <v>1.4722249999999999</v>
      </c>
      <c r="W29">
        <v>1.46593</v>
      </c>
      <c r="X29">
        <v>1.4618640000000001</v>
      </c>
      <c r="Y29">
        <v>1.463114</v>
      </c>
      <c r="Z29">
        <v>1.4600200000000001</v>
      </c>
      <c r="AA29">
        <v>1.450523</v>
      </c>
      <c r="AB29">
        <v>1.438734</v>
      </c>
      <c r="AC29">
        <v>1.4316340000000001</v>
      </c>
      <c r="AD29" s="4">
        <v>0.52897300864966368</v>
      </c>
    </row>
    <row r="30" spans="1:30" x14ac:dyDescent="0.25">
      <c r="A30" t="s">
        <v>76</v>
      </c>
      <c r="B30" t="s">
        <v>56</v>
      </c>
      <c r="C30">
        <v>3.1222850000000002</v>
      </c>
      <c r="D30">
        <v>3.1235569999999999</v>
      </c>
      <c r="E30">
        <v>3.1650109999999998</v>
      </c>
      <c r="F30">
        <v>3.1877110000000002</v>
      </c>
      <c r="G30">
        <v>3.2031520000000002</v>
      </c>
      <c r="H30">
        <v>3.2194370000000001</v>
      </c>
      <c r="I30">
        <v>3.2312439999999998</v>
      </c>
      <c r="J30">
        <v>3.242054</v>
      </c>
      <c r="K30">
        <v>3.2510669999999999</v>
      </c>
      <c r="L30">
        <v>3.2576209999999999</v>
      </c>
      <c r="M30">
        <v>3.265501</v>
      </c>
      <c r="N30">
        <v>3.2825839999999999</v>
      </c>
      <c r="O30">
        <v>3.3072409999999999</v>
      </c>
      <c r="P30">
        <v>3.3270149999999998</v>
      </c>
      <c r="Q30">
        <v>3.3366380000000002</v>
      </c>
      <c r="R30">
        <v>3.3398300000000001</v>
      </c>
      <c r="S30">
        <v>3.3270970000000002</v>
      </c>
      <c r="T30">
        <v>3.3308369999999998</v>
      </c>
      <c r="U30">
        <v>3.3471329999999999</v>
      </c>
      <c r="V30">
        <v>3.365027</v>
      </c>
      <c r="W30">
        <v>3.3815900000000001</v>
      </c>
      <c r="X30">
        <v>3.3776709999999999</v>
      </c>
      <c r="Y30">
        <v>3.38131</v>
      </c>
      <c r="Z30">
        <v>3.391384</v>
      </c>
      <c r="AA30">
        <v>3.3983319999999999</v>
      </c>
      <c r="AB30">
        <v>3.4058660000000001</v>
      </c>
      <c r="AC30">
        <v>3.4145460000000001</v>
      </c>
      <c r="AD30" s="4">
        <v>9.3604843888370176E-2</v>
      </c>
    </row>
    <row r="31" spans="1:30" x14ac:dyDescent="0.25">
      <c r="A31" t="s">
        <v>77</v>
      </c>
      <c r="B31" t="s">
        <v>54</v>
      </c>
      <c r="C31">
        <v>8.0190560000000009</v>
      </c>
      <c r="D31">
        <v>8.0786809999999996</v>
      </c>
      <c r="E31">
        <v>7.4506069999999998</v>
      </c>
      <c r="F31">
        <v>7.1440349999999997</v>
      </c>
      <c r="G31">
        <v>7.2293820000000002</v>
      </c>
      <c r="H31">
        <v>7.2019289999999998</v>
      </c>
      <c r="I31">
        <v>7.2180400000000002</v>
      </c>
      <c r="J31">
        <v>7.513312</v>
      </c>
      <c r="K31">
        <v>7.9702840000000004</v>
      </c>
      <c r="L31">
        <v>8.7107519999999994</v>
      </c>
      <c r="M31">
        <v>9.0857539999999997</v>
      </c>
      <c r="N31">
        <v>9.4647199999999998</v>
      </c>
      <c r="O31">
        <v>9.6658720000000002</v>
      </c>
      <c r="P31">
        <v>9.6265459999999994</v>
      </c>
      <c r="Q31">
        <v>9.4871470000000002</v>
      </c>
      <c r="R31">
        <v>9.3999869999999994</v>
      </c>
      <c r="S31">
        <v>9.4800109999999993</v>
      </c>
      <c r="T31">
        <v>9.7747869999999999</v>
      </c>
      <c r="U31">
        <v>10.174612</v>
      </c>
      <c r="V31">
        <v>10.612517</v>
      </c>
      <c r="W31">
        <v>11.12738</v>
      </c>
      <c r="X31">
        <v>11.405994</v>
      </c>
      <c r="Y31">
        <v>11.543702</v>
      </c>
      <c r="Z31">
        <v>11.630117</v>
      </c>
      <c r="AA31">
        <v>11.766688</v>
      </c>
      <c r="AB31">
        <v>11.974727</v>
      </c>
      <c r="AC31">
        <v>12.183964</v>
      </c>
      <c r="AD31" s="4" cm="1">
        <f t="array" ref="AD31:AD33">(AC31:AC33-C31:C33)/C31:C33</f>
        <v>0.51937634554491185</v>
      </c>
    </row>
    <row r="32" spans="1:30" x14ac:dyDescent="0.25">
      <c r="A32" t="s">
        <v>77</v>
      </c>
      <c r="B32" t="s">
        <v>55</v>
      </c>
      <c r="C32">
        <v>0.93633699999999997</v>
      </c>
      <c r="D32">
        <v>0.966808</v>
      </c>
      <c r="E32">
        <v>1.011646</v>
      </c>
      <c r="F32">
        <v>1.0616969999999999</v>
      </c>
      <c r="G32">
        <v>1.1242749999999999</v>
      </c>
      <c r="H32">
        <v>1.213738</v>
      </c>
      <c r="I32">
        <v>1.3029200000000001</v>
      </c>
      <c r="J32">
        <v>1.4011450000000001</v>
      </c>
      <c r="K32">
        <v>1.5135449999999999</v>
      </c>
      <c r="L32">
        <v>1.620188</v>
      </c>
      <c r="M32">
        <v>1.701438</v>
      </c>
      <c r="N32">
        <v>1.7384809999999999</v>
      </c>
      <c r="O32">
        <v>1.7897829999999999</v>
      </c>
      <c r="P32">
        <v>1.8263050000000001</v>
      </c>
      <c r="Q32">
        <v>1.8590610000000001</v>
      </c>
      <c r="R32">
        <v>1.8903099999999999</v>
      </c>
      <c r="S32">
        <v>1.9186259999999999</v>
      </c>
      <c r="T32">
        <v>1.9662310000000001</v>
      </c>
      <c r="U32">
        <v>2.039952</v>
      </c>
      <c r="V32">
        <v>2.0949589999999998</v>
      </c>
      <c r="W32">
        <v>2.1365599999999998</v>
      </c>
      <c r="X32">
        <v>2.182687</v>
      </c>
      <c r="Y32">
        <v>2.2380490000000002</v>
      </c>
      <c r="Z32">
        <v>2.2877619999999999</v>
      </c>
      <c r="AA32">
        <v>2.3273990000000002</v>
      </c>
      <c r="AB32">
        <v>2.3632439999999999</v>
      </c>
      <c r="AC32">
        <v>2.406148</v>
      </c>
      <c r="AD32" s="4">
        <v>1.5697457218928654</v>
      </c>
    </row>
    <row r="33" spans="1:30" x14ac:dyDescent="0.25">
      <c r="A33" t="s">
        <v>77</v>
      </c>
      <c r="B33" t="s">
        <v>56</v>
      </c>
      <c r="C33">
        <v>3.1222850000000002</v>
      </c>
      <c r="D33">
        <v>3.1952289999999999</v>
      </c>
      <c r="E33">
        <v>3.2956460000000001</v>
      </c>
      <c r="F33">
        <v>3.3764120000000002</v>
      </c>
      <c r="G33">
        <v>3.4522910000000002</v>
      </c>
      <c r="H33">
        <v>3.5215529999999999</v>
      </c>
      <c r="I33">
        <v>3.5900799999999999</v>
      </c>
      <c r="J33">
        <v>3.665063</v>
      </c>
      <c r="K33">
        <v>3.7396859999999998</v>
      </c>
      <c r="L33">
        <v>3.8129789999999999</v>
      </c>
      <c r="M33">
        <v>3.8890609999999999</v>
      </c>
      <c r="N33">
        <v>3.9770780000000001</v>
      </c>
      <c r="O33">
        <v>4.0756969999999999</v>
      </c>
      <c r="P33">
        <v>4.1734879999999999</v>
      </c>
      <c r="Q33">
        <v>4.2636320000000003</v>
      </c>
      <c r="R33">
        <v>4.3510479999999996</v>
      </c>
      <c r="S33">
        <v>4.4247430000000003</v>
      </c>
      <c r="T33">
        <v>4.5272889999999997</v>
      </c>
      <c r="U33">
        <v>4.653378</v>
      </c>
      <c r="V33">
        <v>4.7883940000000003</v>
      </c>
      <c r="W33">
        <v>4.9285930000000002</v>
      </c>
      <c r="X33">
        <v>5.0431480000000004</v>
      </c>
      <c r="Y33">
        <v>5.1722149999999996</v>
      </c>
      <c r="Z33">
        <v>5.3140919999999996</v>
      </c>
      <c r="AA33">
        <v>5.4527070000000002</v>
      </c>
      <c r="AB33">
        <v>5.5944260000000003</v>
      </c>
      <c r="AC33">
        <v>5.738829</v>
      </c>
      <c r="AD33" s="4">
        <v>0.83802215364708843</v>
      </c>
    </row>
    <row r="34" spans="1:30" x14ac:dyDescent="0.25">
      <c r="A34" t="s">
        <v>57</v>
      </c>
      <c r="B34" t="s">
        <v>58</v>
      </c>
      <c r="C34">
        <v>28.664767999999999</v>
      </c>
      <c r="D34">
        <v>27.036487999999999</v>
      </c>
      <c r="E34">
        <v>28.461500000000001</v>
      </c>
      <c r="F34">
        <v>27.058033000000002</v>
      </c>
      <c r="G34">
        <v>24.522203000000001</v>
      </c>
      <c r="H34">
        <v>20.113384</v>
      </c>
      <c r="I34">
        <v>17.713101999999999</v>
      </c>
      <c r="J34">
        <v>15.715043</v>
      </c>
      <c r="K34">
        <v>15.348825</v>
      </c>
      <c r="L34">
        <v>14.105877</v>
      </c>
      <c r="M34">
        <v>13.268919</v>
      </c>
      <c r="N34">
        <v>12.989843</v>
      </c>
      <c r="O34">
        <v>12.696308</v>
      </c>
      <c r="P34">
        <v>11.648250000000001</v>
      </c>
      <c r="Q34">
        <v>9.6683020000000006</v>
      </c>
      <c r="R34">
        <v>5.603084</v>
      </c>
      <c r="S34">
        <v>4.3100500000000004</v>
      </c>
      <c r="T34">
        <v>3.417011</v>
      </c>
      <c r="U34">
        <v>3.2129370000000002</v>
      </c>
      <c r="V34">
        <v>3.5173960000000002</v>
      </c>
      <c r="W34">
        <v>3.4350160000000001</v>
      </c>
      <c r="X34">
        <v>3.0799729999999998</v>
      </c>
      <c r="Y34">
        <v>2.9902259999999998</v>
      </c>
      <c r="Z34">
        <v>2.300354</v>
      </c>
      <c r="AA34">
        <v>2.7491699999999999</v>
      </c>
      <c r="AB34">
        <v>2.368363</v>
      </c>
      <c r="AC34">
        <v>2.418113</v>
      </c>
      <c r="AD34" s="4" cm="1">
        <f t="array" ref="AD34:AD38">(AC34:AC38-C34:C38)/C34:C38</f>
        <v>-0.91564163365982931</v>
      </c>
    </row>
    <row r="35" spans="1:30" x14ac:dyDescent="0.25">
      <c r="A35" t="s">
        <v>57</v>
      </c>
      <c r="B35" t="s">
        <v>60</v>
      </c>
      <c r="C35">
        <v>105.104156</v>
      </c>
      <c r="D35">
        <v>99.133765999999994</v>
      </c>
      <c r="E35">
        <v>104.358841</v>
      </c>
      <c r="F35">
        <v>99.212790999999996</v>
      </c>
      <c r="G35">
        <v>89.914779999999993</v>
      </c>
      <c r="H35">
        <v>73.749129999999994</v>
      </c>
      <c r="I35">
        <v>64.948036000000002</v>
      </c>
      <c r="J35">
        <v>57.621819000000002</v>
      </c>
      <c r="K35">
        <v>56.279034000000003</v>
      </c>
      <c r="L35">
        <v>51.721527000000002</v>
      </c>
      <c r="M35">
        <v>48.652724999999997</v>
      </c>
      <c r="N35">
        <v>47.629432999999999</v>
      </c>
      <c r="O35">
        <v>46.553139000000002</v>
      </c>
      <c r="P35">
        <v>42.710251</v>
      </c>
      <c r="Q35">
        <v>35.450454999999998</v>
      </c>
      <c r="R35">
        <v>20.544633999999999</v>
      </c>
      <c r="S35">
        <v>15.803512</v>
      </c>
      <c r="T35">
        <v>12.529040999999999</v>
      </c>
      <c r="U35">
        <v>11.780771</v>
      </c>
      <c r="V35">
        <v>12.897119</v>
      </c>
      <c r="W35">
        <v>12.595058999999999</v>
      </c>
      <c r="X35">
        <v>11.293227</v>
      </c>
      <c r="Y35">
        <v>10.964162999999999</v>
      </c>
      <c r="Z35">
        <v>8.4346289999999993</v>
      </c>
      <c r="AA35">
        <v>10.080285999999999</v>
      </c>
      <c r="AB35">
        <v>8.6839969999999997</v>
      </c>
      <c r="AC35">
        <v>8.8664100000000001</v>
      </c>
      <c r="AD35" s="4">
        <v>-0.91564168023955206</v>
      </c>
    </row>
    <row r="36" spans="1:30" x14ac:dyDescent="0.25">
      <c r="A36" t="s">
        <v>57</v>
      </c>
      <c r="B36" t="s">
        <v>61</v>
      </c>
      <c r="C36">
        <v>1.4961E-2</v>
      </c>
      <c r="D36">
        <v>1.3044999999999999E-2</v>
      </c>
      <c r="E36">
        <v>1.6275000000000001E-2</v>
      </c>
      <c r="F36">
        <v>1.4966E-2</v>
      </c>
      <c r="G36">
        <v>3.1158000000000002E-2</v>
      </c>
      <c r="H36">
        <v>4.6392000000000003E-2</v>
      </c>
      <c r="I36">
        <v>4.9362999999999997E-2</v>
      </c>
      <c r="J36">
        <v>5.0207000000000002E-2</v>
      </c>
      <c r="K36">
        <v>1.8275E-2</v>
      </c>
      <c r="L36">
        <v>1.6348999999999999E-2</v>
      </c>
      <c r="M36">
        <v>1.5056999999999999E-2</v>
      </c>
      <c r="N36">
        <v>1.4331E-2</v>
      </c>
      <c r="O36">
        <v>1.4651000000000001E-2</v>
      </c>
      <c r="P36">
        <v>1.312E-2</v>
      </c>
      <c r="Q36">
        <v>1.0026E-2</v>
      </c>
      <c r="R36">
        <v>2.1580000000000002E-3</v>
      </c>
      <c r="S36">
        <v>2.2060000000000001E-3</v>
      </c>
      <c r="T36">
        <v>1.2340000000000001E-3</v>
      </c>
      <c r="U36">
        <v>1.2780000000000001E-3</v>
      </c>
      <c r="V36">
        <v>1.3159999999999999E-3</v>
      </c>
      <c r="W36">
        <v>1.361E-3</v>
      </c>
      <c r="X36">
        <v>1.3829999999999999E-3</v>
      </c>
      <c r="Y36">
        <v>1.5969999999999999E-3</v>
      </c>
      <c r="Z36">
        <v>1.6130000000000001E-3</v>
      </c>
      <c r="AA36">
        <v>1.635E-3</v>
      </c>
      <c r="AB36">
        <v>4.7419999999999997E-3</v>
      </c>
      <c r="AC36">
        <v>6.7990000000000004E-3</v>
      </c>
      <c r="AD36" s="4">
        <v>-0.54555176792995108</v>
      </c>
    </row>
    <row r="37" spans="1:30" x14ac:dyDescent="0.25">
      <c r="A37" t="s">
        <v>57</v>
      </c>
      <c r="B37" t="s">
        <v>62</v>
      </c>
      <c r="C37">
        <v>1.9751000000000001E-2</v>
      </c>
      <c r="D37">
        <v>2.5259E-2</v>
      </c>
      <c r="E37">
        <v>1.5951E-2</v>
      </c>
      <c r="F37">
        <v>1.5889E-2</v>
      </c>
      <c r="G37">
        <v>9.9710000000000007E-3</v>
      </c>
      <c r="H37">
        <v>1.0394E-2</v>
      </c>
      <c r="I37">
        <v>1.2115000000000001E-2</v>
      </c>
      <c r="J37">
        <v>9.4090000000000007E-3</v>
      </c>
      <c r="K37">
        <v>7.4949999999999999E-3</v>
      </c>
      <c r="L37">
        <v>6.881E-3</v>
      </c>
      <c r="M37">
        <v>6.7520000000000002E-3</v>
      </c>
      <c r="N37">
        <v>6.3330000000000001E-3</v>
      </c>
      <c r="O37">
        <v>5.9280000000000001E-3</v>
      </c>
      <c r="P37">
        <v>5.3449999999999999E-3</v>
      </c>
      <c r="Q37">
        <v>4.4450000000000002E-3</v>
      </c>
      <c r="R37">
        <v>3.7880000000000001E-3</v>
      </c>
      <c r="S37">
        <v>3.493E-3</v>
      </c>
      <c r="T37">
        <v>2.3019999999999998E-3</v>
      </c>
      <c r="U37">
        <v>2.2179999999999999E-3</v>
      </c>
      <c r="V37">
        <v>2.3189999999999999E-3</v>
      </c>
      <c r="W37">
        <v>2.555E-3</v>
      </c>
      <c r="X37">
        <v>2.6329999999999999E-3</v>
      </c>
      <c r="Y37">
        <v>2.7989999999999998E-3</v>
      </c>
      <c r="Z37">
        <v>1.864E-3</v>
      </c>
      <c r="AA37">
        <v>2.104E-3</v>
      </c>
      <c r="AB37">
        <v>1.923E-3</v>
      </c>
      <c r="AC37">
        <v>2.3519999999999999E-3</v>
      </c>
      <c r="AD37" s="4">
        <v>-0.88091742190268851</v>
      </c>
    </row>
    <row r="38" spans="1:30" x14ac:dyDescent="0.25">
      <c r="A38" t="s">
        <v>57</v>
      </c>
      <c r="B38" t="s">
        <v>63</v>
      </c>
      <c r="C38">
        <v>0.14663699999999999</v>
      </c>
      <c r="D38">
        <v>0.11819399999999999</v>
      </c>
      <c r="E38">
        <v>0.17468400000000001</v>
      </c>
      <c r="F38">
        <v>0.14960699999999999</v>
      </c>
      <c r="G38">
        <v>0.121785</v>
      </c>
      <c r="H38">
        <v>0.12003800000000001</v>
      </c>
      <c r="I38">
        <v>9.9906999999999996E-2</v>
      </c>
      <c r="J38">
        <v>9.9371000000000001E-2</v>
      </c>
      <c r="K38">
        <v>8.3695000000000006E-2</v>
      </c>
      <c r="L38">
        <v>7.9687999999999995E-2</v>
      </c>
      <c r="M38">
        <v>7.4463000000000001E-2</v>
      </c>
      <c r="N38">
        <v>6.9379999999999997E-2</v>
      </c>
      <c r="O38">
        <v>6.9771E-2</v>
      </c>
      <c r="P38">
        <v>6.3454999999999998E-2</v>
      </c>
      <c r="Q38">
        <v>5.4805E-2</v>
      </c>
      <c r="R38">
        <v>3.1480000000000001E-2</v>
      </c>
      <c r="S38">
        <v>3.1764000000000001E-2</v>
      </c>
      <c r="T38">
        <v>7.7130000000000002E-3</v>
      </c>
      <c r="U38">
        <v>7.6530000000000001E-3</v>
      </c>
      <c r="V38">
        <v>7.6470000000000002E-3</v>
      </c>
      <c r="W38">
        <v>8.0029999999999997E-3</v>
      </c>
      <c r="X38">
        <v>8.0870000000000004E-3</v>
      </c>
      <c r="Y38">
        <v>1.3013E-2</v>
      </c>
      <c r="Z38">
        <v>1.3077999999999999E-2</v>
      </c>
      <c r="AA38">
        <v>1.3565000000000001E-2</v>
      </c>
      <c r="AB38">
        <v>1.4905E-2</v>
      </c>
      <c r="AC38">
        <v>2.5838E-2</v>
      </c>
      <c r="AD38" s="4">
        <v>-0.82379617695397478</v>
      </c>
    </row>
    <row r="39" spans="1:30" x14ac:dyDescent="0.25">
      <c r="A39" t="s">
        <v>70</v>
      </c>
      <c r="B39" t="s">
        <v>66</v>
      </c>
      <c r="C39" cm="1">
        <f t="array" ref="C39:C42">907185*C34:C37*10^6/(C17*10^9)</f>
        <v>96.81059250467095</v>
      </c>
      <c r="D39" cm="1">
        <f t="array" ref="D39:D42">907185*D34:D37*10^6/(D17*10^9)</f>
        <v>91.593694545150299</v>
      </c>
      <c r="E39" cm="1">
        <f t="array" ref="E39:E42">907185*E34:E37*10^6/(E17*10^9)</f>
        <v>97.5345936057888</v>
      </c>
      <c r="F39" cm="1">
        <f t="array" ref="F39:F42">907185*F34:F37*10^6/(F17*10^9)</f>
        <v>92.80039429233365</v>
      </c>
      <c r="G39" cm="1">
        <f t="array" ref="G39:G42">907185*G34:G37*10^6/(G17*10^9)</f>
        <v>80.855888985362014</v>
      </c>
      <c r="H39" cm="1">
        <f t="array" ref="H39:H42">907185*H34:H37*10^6/(H17*10^9)</f>
        <v>64.545387461693892</v>
      </c>
      <c r="I39" cm="1">
        <f t="array" ref="I39:I42">907185*I34:I37*10^6/(I17*10^9)</f>
        <v>54.799072679557014</v>
      </c>
      <c r="J39" cm="1">
        <f t="array" ref="J39:J42">907185*J34:J37*10^6/(J17*10^9)</f>
        <v>48.409775245835839</v>
      </c>
      <c r="K39" cm="1">
        <f t="array" ref="K39:K42">907185*K34:K37*10^6/(K17*10^9)</f>
        <v>42.923287489544322</v>
      </c>
      <c r="L39" cm="1">
        <f t="array" ref="L39:L42">907185*L34:L37*10^6/(L17*10^9)</f>
        <v>38.671265056054786</v>
      </c>
      <c r="M39" cm="1">
        <f t="array" ref="M39:M42">907185*M34:M37*10^6/(M17*10^9)</f>
        <v>36.352220714675653</v>
      </c>
      <c r="N39" cm="1">
        <f t="array" ref="N39:N42">907185*N34:N37*10^6/(N17*10^9)</f>
        <v>34.938804067991597</v>
      </c>
      <c r="O39" cm="1">
        <f t="array" ref="O39:O42">907185*O34:O37*10^6/(O17*10^9)</f>
        <v>34.645732472599704</v>
      </c>
      <c r="P39" cm="1">
        <f t="array" ref="P39:P42">907185*P34:P37*10^6/(P17*10^9)</f>
        <v>31.869645151724004</v>
      </c>
      <c r="Q39" cm="1">
        <f t="array" ref="Q39:Q42">907185*Q34:Q37*10^6/(Q17*10^9)</f>
        <v>27.386082123420596</v>
      </c>
      <c r="R39" cm="1">
        <f t="array" ref="R39:R42">907185*R34:R37*10^6/(R17*10^9)</f>
        <v>16.679599943682852</v>
      </c>
      <c r="S39" cm="1">
        <f t="array" ref="S39:S42">907185*S34:S37*10^6/(S17*10^9)</f>
        <v>12.942945965769516</v>
      </c>
      <c r="T39" cm="1">
        <f t="array" ref="T39:T42">907185*T34:T37*10^6/(T17*10^9)</f>
        <v>10.172328020017282</v>
      </c>
      <c r="U39" cm="1">
        <f t="array" ref="U39:U42">907185*U34:U37*10^6/(U17*10^9)</f>
        <v>9.7989870350206019</v>
      </c>
      <c r="V39" cm="1">
        <f t="array" ref="V39:V42">907185*V34:V37*10^6/(V17*10^9)</f>
        <v>10.588775626005377</v>
      </c>
      <c r="W39" cm="1">
        <f t="array" ref="W39:W42">907185*W34:W37*10^6/(W17*10^9)</f>
        <v>10.354429240194934</v>
      </c>
      <c r="X39" cm="1">
        <f t="array" ref="X39:X42">907185*X34:X37*10^6/(X17*10^9)</f>
        <v>9.2655769527618972</v>
      </c>
      <c r="Y39" cm="1">
        <f t="array" ref="Y39:Y42">907185*Y34:Y37*10^6/(Y17*10^9)</f>
        <v>8.8383028484732584</v>
      </c>
      <c r="Z39" cm="1">
        <f t="array" ref="Z39:Z42">907185*Z34:Z37*10^6/(Z17*10^9)</f>
        <v>6.8249339296210803</v>
      </c>
      <c r="AA39" cm="1">
        <f t="array" ref="AA39:AA42">907185*AA34:AA37*10^6/(AA17*10^9)</f>
        <v>8.0307882138841364</v>
      </c>
      <c r="AB39" cm="1">
        <f t="array" ref="AB39:AB42">907185*AB34:AB37*10^6/(AB17*10^9)</f>
        <v>6.9693225993995407</v>
      </c>
      <c r="AC39" cm="1">
        <f t="array" ref="AC39:AC42">907185*AC34:AC37*10^6/(AC17*10^9)</f>
        <v>7.0009721967355176</v>
      </c>
      <c r="AD39" s="4" cm="1">
        <f t="array" ref="AD39:AD43">(AC39:AC43-C39:C43)/C39:C43</f>
        <v>-0.92768382037949271</v>
      </c>
    </row>
    <row r="40" spans="1:30" x14ac:dyDescent="0.25">
      <c r="A40" t="s">
        <v>70</v>
      </c>
      <c r="B40" t="s">
        <v>67</v>
      </c>
      <c r="C40">
        <v>354.97219503270935</v>
      </c>
      <c r="D40">
        <v>335.84346761733281</v>
      </c>
      <c r="E40">
        <v>357.62686949409306</v>
      </c>
      <c r="F40">
        <v>340.26812383749001</v>
      </c>
      <c r="G40">
        <v>296.47171054832421</v>
      </c>
      <c r="H40">
        <v>236.66659826177596</v>
      </c>
      <c r="I40">
        <v>200.92991872109619</v>
      </c>
      <c r="J40">
        <v>177.50249280553882</v>
      </c>
      <c r="K40">
        <v>157.3854126303375</v>
      </c>
      <c r="L40">
        <v>141.79457822586247</v>
      </c>
      <c r="M40">
        <v>133.2915362261551</v>
      </c>
      <c r="N40">
        <v>128.1089715600514</v>
      </c>
      <c r="O40">
        <v>127.03437877796819</v>
      </c>
      <c r="P40">
        <v>116.85536829232417</v>
      </c>
      <c r="Q40">
        <v>100.4156750526231</v>
      </c>
      <c r="R40">
        <v>61.158511296526115</v>
      </c>
      <c r="S40">
        <v>47.457454527300172</v>
      </c>
      <c r="T40">
        <v>37.298538058041181</v>
      </c>
      <c r="U40">
        <v>35.929625228115803</v>
      </c>
      <c r="V40">
        <v>38.825511632153678</v>
      </c>
      <c r="W40">
        <v>37.966241552173372</v>
      </c>
      <c r="X40">
        <v>33.973760099036063</v>
      </c>
      <c r="Y40">
        <v>32.407113400132673</v>
      </c>
      <c r="Z40">
        <v>25.024750819163451</v>
      </c>
      <c r="AA40">
        <v>29.446211766235361</v>
      </c>
      <c r="AB40">
        <v>25.554180902681651</v>
      </c>
      <c r="AC40">
        <v>25.670218842071382</v>
      </c>
      <c r="AD40" s="4">
        <v>-0.92768386030994354</v>
      </c>
    </row>
    <row r="41" spans="1:30" x14ac:dyDescent="0.25">
      <c r="A41" t="s">
        <v>70</v>
      </c>
      <c r="B41" t="s">
        <v>68</v>
      </c>
      <c r="C41">
        <v>5.0528344567881446E-2</v>
      </c>
      <c r="D41">
        <v>4.4193600342673417E-2</v>
      </c>
      <c r="E41">
        <v>5.5772728455429715E-2</v>
      </c>
      <c r="F41">
        <v>5.1328590699075034E-2</v>
      </c>
      <c r="G41">
        <v>0.10273578556567325</v>
      </c>
      <c r="H41">
        <v>0.14887547590812683</v>
      </c>
      <c r="I41">
        <v>0.1527144497152996</v>
      </c>
      <c r="J41">
        <v>0.15466133855107364</v>
      </c>
      <c r="K41">
        <v>5.1106392761102064E-2</v>
      </c>
      <c r="L41">
        <v>4.4820787279049694E-2</v>
      </c>
      <c r="M41">
        <v>4.1250940434625558E-2</v>
      </c>
      <c r="N41">
        <v>3.8546116461791534E-2</v>
      </c>
      <c r="O41">
        <v>3.9979703269332971E-2</v>
      </c>
      <c r="P41">
        <v>3.5896357340426149E-2</v>
      </c>
      <c r="Q41">
        <v>2.8399284524771248E-2</v>
      </c>
      <c r="R41">
        <v>6.4240651538452036E-3</v>
      </c>
      <c r="S41">
        <v>6.6245493208866605E-3</v>
      </c>
      <c r="T41">
        <v>3.673576929281564E-3</v>
      </c>
      <c r="U41">
        <v>3.8977127253837624E-3</v>
      </c>
      <c r="V41">
        <v>3.9616889095862601E-3</v>
      </c>
      <c r="W41">
        <v>4.1025655181534254E-3</v>
      </c>
      <c r="X41">
        <v>4.1605211882278538E-3</v>
      </c>
      <c r="Y41">
        <v>4.7203019601233468E-3</v>
      </c>
      <c r="Z41">
        <v>4.7856192692423876E-3</v>
      </c>
      <c r="AA41">
        <v>4.7761101458624108E-3</v>
      </c>
      <c r="AB41">
        <v>1.3954164866767732E-2</v>
      </c>
      <c r="AC41">
        <v>1.9684609431240303E-2</v>
      </c>
      <c r="AD41" s="4">
        <v>-0.61042441426523786</v>
      </c>
    </row>
    <row r="42" spans="1:30" x14ac:dyDescent="0.25">
      <c r="A42" t="s">
        <v>70</v>
      </c>
      <c r="B42" t="s">
        <v>69</v>
      </c>
      <c r="C42">
        <v>6.6705790626310171E-2</v>
      </c>
      <c r="D42">
        <v>8.5571954852862231E-2</v>
      </c>
      <c r="E42">
        <v>5.4662414229957559E-2</v>
      </c>
      <c r="F42">
        <v>5.4494185327916826E-2</v>
      </c>
      <c r="G42">
        <v>3.2876902172004889E-2</v>
      </c>
      <c r="H42">
        <v>3.3355140899057376E-2</v>
      </c>
      <c r="I42">
        <v>3.7480209029047154E-2</v>
      </c>
      <c r="J42">
        <v>2.8984176199076863E-2</v>
      </c>
      <c r="K42">
        <v>2.0959913200791245E-2</v>
      </c>
      <c r="L42">
        <v>1.8864263090534038E-2</v>
      </c>
      <c r="M42">
        <v>1.8498130425356429E-2</v>
      </c>
      <c r="N42">
        <v>1.7033881484371346E-2</v>
      </c>
      <c r="O42">
        <v>1.617634843905575E-2</v>
      </c>
      <c r="P42">
        <v>1.4623935212239158E-2</v>
      </c>
      <c r="Q42">
        <v>1.2590746031578713E-2</v>
      </c>
      <c r="R42">
        <v>1.1276347916017436E-2</v>
      </c>
      <c r="S42">
        <v>1.0489370252881734E-2</v>
      </c>
      <c r="T42">
        <v>6.8529773834733864E-3</v>
      </c>
      <c r="U42">
        <v>6.7645749803608643E-3</v>
      </c>
      <c r="V42">
        <v>6.9811220222876415E-3</v>
      </c>
      <c r="W42">
        <v>7.7017302710374732E-3</v>
      </c>
      <c r="X42">
        <v>7.920934409691929E-3</v>
      </c>
      <c r="Y42">
        <v>8.273090285776611E-3</v>
      </c>
      <c r="Z42">
        <v>5.5303126583185428E-3</v>
      </c>
      <c r="AA42">
        <v>6.1461380714951143E-3</v>
      </c>
      <c r="AB42">
        <v>5.6587640317997366E-3</v>
      </c>
      <c r="AC42">
        <v>6.8095604327514615E-3</v>
      </c>
      <c r="AD42" s="4">
        <v>-0.89791650216846952</v>
      </c>
    </row>
    <row r="43" spans="1:30" x14ac:dyDescent="0.25">
      <c r="A43" t="s">
        <v>70</v>
      </c>
      <c r="B43" t="s">
        <v>65</v>
      </c>
      <c r="C43">
        <f>907185*C38/(C17*10^9)</f>
        <v>4.9524262164296721E-7</v>
      </c>
      <c r="D43">
        <f>907185*D38/(D17*10^9)</f>
        <v>4.0041536212356781E-7</v>
      </c>
      <c r="E43">
        <f>907185*E38/(E17*10^9)</f>
        <v>5.9862385852585459E-7</v>
      </c>
      <c r="F43">
        <f>907185*F38/(F17*10^9)</f>
        <v>5.1310413395139108E-7</v>
      </c>
      <c r="G43">
        <f>907185*G38/(G17*10^9)</f>
        <v>4.0155586511058215E-7</v>
      </c>
      <c r="H43">
        <f>907185*H38/(H17*10^9)</f>
        <v>3.8521112211285834E-7</v>
      </c>
      <c r="I43">
        <f>907185*I38/(I17*10^9)</f>
        <v>3.0908256239909322E-7</v>
      </c>
      <c r="J43">
        <f>907185*J38/(J17*10^9)</f>
        <v>3.0610974312663053E-7</v>
      </c>
      <c r="K43">
        <f>907185*K38/(K17*10^9)</f>
        <v>2.3405469450836873E-7</v>
      </c>
      <c r="L43">
        <f>907185*L38/(L17*10^9)</f>
        <v>2.1846467041977564E-7</v>
      </c>
      <c r="M43">
        <f>907185*M38/(M17*10^9)</f>
        <v>2.0400270821435365E-7</v>
      </c>
      <c r="N43">
        <f>907185*N38/(N17*10^9)</f>
        <v>1.8661151071935639E-7</v>
      </c>
      <c r="O43">
        <f>907185*O38/(O17*10^9)</f>
        <v>1.9039136419388645E-7</v>
      </c>
      <c r="P43">
        <f>907185*P38/(P17*10^9)</f>
        <v>1.7361306059731259E-7</v>
      </c>
      <c r="Q43">
        <f>907185*Q38/(Q17*10^9)</f>
        <v>1.5523865832636027E-7</v>
      </c>
      <c r="R43">
        <f>907185*R38/(R17*10^9)</f>
        <v>9.371157138232021E-8</v>
      </c>
      <c r="S43">
        <f>907185*S38/(S17*10^9)</f>
        <v>9.5386303095486797E-8</v>
      </c>
      <c r="T43">
        <f>907185*T38/(T17*10^9)</f>
        <v>2.2961344291368478E-8</v>
      </c>
      <c r="U43">
        <f>907185*U38/(U17*10^9)</f>
        <v>2.3340528550361453E-8</v>
      </c>
      <c r="V43">
        <f>907185*V38/(V17*10^9)</f>
        <v>2.3020543382679432E-8</v>
      </c>
      <c r="W43">
        <f>907185*W38/(W17*10^9)</f>
        <v>2.4124049847010918E-8</v>
      </c>
      <c r="X43">
        <f>907185*X38/(X17*10^9)</f>
        <v>2.4328369377583988E-8</v>
      </c>
      <c r="Y43">
        <f>907185*Y38/(Y17*10^9)</f>
        <v>3.8462923861668827E-8</v>
      </c>
      <c r="Z43">
        <f>907185*Z38/(Z17*10^9)</f>
        <v>3.8801195786207032E-8</v>
      </c>
      <c r="AA43">
        <f>907185*AA38/(AA17*10^9)</f>
        <v>3.9625647785090894E-8</v>
      </c>
      <c r="AB43">
        <f>907185*AB38/(AB17*10^9)</f>
        <v>4.3860570927704147E-8</v>
      </c>
      <c r="AC43">
        <f>907185*AC38/(AC17*10^9)</f>
        <v>7.4806727237003516E-8</v>
      </c>
      <c r="AD43" s="4">
        <v>-0.84894933519891269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43"/>
  <sheetViews>
    <sheetView tabSelected="1" topLeftCell="A9" zoomScale="70" zoomScaleNormal="70" workbookViewId="0">
      <selection activeCell="B16" sqref="B16:B17"/>
    </sheetView>
  </sheetViews>
  <sheetFormatPr defaultRowHeight="15" x14ac:dyDescent="0.25"/>
  <cols>
    <col min="1" max="1" width="44.7109375" bestFit="1" customWidth="1"/>
    <col min="2" max="2" width="16.140625" bestFit="1" customWidth="1"/>
    <col min="3" max="29" width="12.7109375" bestFit="1" customWidth="1"/>
    <col min="30" max="30" width="19.42578125" bestFit="1" customWidth="1"/>
  </cols>
  <sheetData>
    <row r="1" spans="1:30" s="3" customFormat="1" ht="15.75" thickBot="1" x14ac:dyDescent="0.3">
      <c r="A1" s="3" t="s">
        <v>72</v>
      </c>
      <c r="B1" s="1" t="s">
        <v>73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</row>
    <row r="2" spans="1:30" ht="15.75" thickTop="1" x14ac:dyDescent="0.25">
      <c r="A2" t="s">
        <v>29</v>
      </c>
      <c r="B2" t="s">
        <v>30</v>
      </c>
      <c r="C2">
        <v>38.216892000000001</v>
      </c>
      <c r="D2">
        <v>39.744480000000003</v>
      </c>
      <c r="E2">
        <v>58.407944000000001</v>
      </c>
      <c r="F2">
        <v>43.235171999999999</v>
      </c>
      <c r="G2">
        <v>53.633713</v>
      </c>
      <c r="H2">
        <v>56.729098999999998</v>
      </c>
      <c r="I2">
        <v>32.002116999999998</v>
      </c>
      <c r="J2">
        <v>33.856358</v>
      </c>
      <c r="K2">
        <v>23.009350000000001</v>
      </c>
      <c r="L2">
        <v>18.318055999999999</v>
      </c>
      <c r="M2">
        <v>18.334229000000001</v>
      </c>
      <c r="N2">
        <v>14.423145</v>
      </c>
      <c r="O2">
        <v>11.87453</v>
      </c>
      <c r="P2">
        <v>11.065977999999999</v>
      </c>
      <c r="Q2">
        <v>12.407802</v>
      </c>
      <c r="R2">
        <v>8.3041140000000002</v>
      </c>
      <c r="S2">
        <v>8.3095870000000005</v>
      </c>
      <c r="T2">
        <v>6.7201820000000003</v>
      </c>
      <c r="U2">
        <v>6.7221909999999996</v>
      </c>
      <c r="V2">
        <v>6.7233049999999999</v>
      </c>
      <c r="W2">
        <v>3.2499750000000001</v>
      </c>
      <c r="X2">
        <v>3.2505130000000002</v>
      </c>
      <c r="Y2">
        <v>3.2512029999999998</v>
      </c>
      <c r="Z2">
        <v>3.2430639999999999</v>
      </c>
      <c r="AA2">
        <v>1.1812819999999999</v>
      </c>
      <c r="AB2">
        <v>1.181521</v>
      </c>
      <c r="AC2">
        <v>1.1817599999999999</v>
      </c>
      <c r="AD2" s="4" cm="1">
        <f t="array" ref="AD2:AD17">(AC2:AC17-C2:C17)/C2:C17</f>
        <v>-0.96907754822134684</v>
      </c>
    </row>
    <row r="3" spans="1:30" x14ac:dyDescent="0.25">
      <c r="A3" t="s">
        <v>29</v>
      </c>
      <c r="B3" t="s">
        <v>32</v>
      </c>
      <c r="C3">
        <v>0.168932</v>
      </c>
      <c r="D3">
        <v>0.17219699999999999</v>
      </c>
      <c r="E3">
        <v>0.24529599999999999</v>
      </c>
      <c r="F3">
        <v>0.18263299999999999</v>
      </c>
      <c r="G3">
        <v>0.22439400000000001</v>
      </c>
      <c r="H3">
        <v>0.234538</v>
      </c>
      <c r="I3">
        <v>0.107877</v>
      </c>
      <c r="J3">
        <v>0.11240799999999999</v>
      </c>
      <c r="K3">
        <v>4.9176999999999998E-2</v>
      </c>
      <c r="L3">
        <v>4.5638999999999999E-2</v>
      </c>
      <c r="M3">
        <v>4.5650999999999997E-2</v>
      </c>
      <c r="N3">
        <v>6.2091E-2</v>
      </c>
      <c r="O3">
        <v>7.2699E-2</v>
      </c>
      <c r="P3">
        <v>6.7029000000000005E-2</v>
      </c>
      <c r="Q3">
        <v>5.8498000000000001E-2</v>
      </c>
      <c r="R3">
        <v>5.3183000000000001E-2</v>
      </c>
      <c r="S3">
        <v>5.3192000000000003E-2</v>
      </c>
      <c r="T3">
        <v>4.6800000000000001E-2</v>
      </c>
      <c r="U3">
        <v>4.6802999999999997E-2</v>
      </c>
      <c r="V3">
        <v>4.7704000000000003E-2</v>
      </c>
      <c r="W3">
        <v>3.2100999999999998E-2</v>
      </c>
      <c r="X3">
        <v>3.2522000000000002E-2</v>
      </c>
      <c r="Y3">
        <v>3.1970999999999999E-2</v>
      </c>
      <c r="Z3">
        <v>3.2302999999999998E-2</v>
      </c>
      <c r="AA3">
        <v>2.3261E-2</v>
      </c>
      <c r="AB3">
        <v>2.2931E-2</v>
      </c>
      <c r="AC3">
        <v>2.1670999999999999E-2</v>
      </c>
      <c r="AD3" s="4">
        <v>-0.87171761418795735</v>
      </c>
    </row>
    <row r="4" spans="1:30" x14ac:dyDescent="0.25">
      <c r="A4" t="s">
        <v>29</v>
      </c>
      <c r="B4" t="s">
        <v>33</v>
      </c>
      <c r="C4">
        <v>189.48152200000001</v>
      </c>
      <c r="D4">
        <v>159.43647799999999</v>
      </c>
      <c r="E4">
        <v>107.749771</v>
      </c>
      <c r="F4">
        <v>109.14141100000001</v>
      </c>
      <c r="G4">
        <v>100.833168</v>
      </c>
      <c r="H4">
        <v>94.983840999999998</v>
      </c>
      <c r="I4">
        <v>102.53183</v>
      </c>
      <c r="J4">
        <v>93.031891000000002</v>
      </c>
      <c r="K4">
        <v>104.306595</v>
      </c>
      <c r="L4">
        <v>87.107239000000007</v>
      </c>
      <c r="M4">
        <v>85.725448999999998</v>
      </c>
      <c r="N4">
        <v>70.430633999999998</v>
      </c>
      <c r="O4">
        <v>65.950539000000006</v>
      </c>
      <c r="P4">
        <v>67.432807999999994</v>
      </c>
      <c r="Q4">
        <v>68.966980000000007</v>
      </c>
      <c r="R4">
        <v>69.771889000000002</v>
      </c>
      <c r="S4">
        <v>67.573227000000003</v>
      </c>
      <c r="T4">
        <v>68.905440999999996</v>
      </c>
      <c r="U4">
        <v>70.986419999999995</v>
      </c>
      <c r="V4">
        <v>73.945366000000007</v>
      </c>
      <c r="W4">
        <v>76.496230999999995</v>
      </c>
      <c r="X4">
        <v>79.904021999999998</v>
      </c>
      <c r="Y4">
        <v>77.975814999999997</v>
      </c>
      <c r="Z4">
        <v>78.592628000000005</v>
      </c>
      <c r="AA4">
        <v>83.990784000000005</v>
      </c>
      <c r="AB4">
        <v>82.965652000000006</v>
      </c>
      <c r="AC4">
        <v>86.262009000000006</v>
      </c>
      <c r="AD4" s="4">
        <v>-0.54474711787463903</v>
      </c>
    </row>
    <row r="5" spans="1:30" x14ac:dyDescent="0.25">
      <c r="A5" t="s">
        <v>29</v>
      </c>
      <c r="B5" t="s">
        <v>34</v>
      </c>
      <c r="C5">
        <v>40.659267</v>
      </c>
      <c r="D5">
        <v>41.290030999999999</v>
      </c>
      <c r="E5">
        <v>41.196060000000003</v>
      </c>
      <c r="F5">
        <v>41.102069999999998</v>
      </c>
      <c r="G5">
        <v>41.102074000000002</v>
      </c>
      <c r="H5">
        <v>41.102069999999998</v>
      </c>
      <c r="I5">
        <v>41.102074000000002</v>
      </c>
      <c r="J5">
        <v>41.101596999999998</v>
      </c>
      <c r="K5">
        <v>41.101596999999998</v>
      </c>
      <c r="L5">
        <v>41.101596999999998</v>
      </c>
      <c r="M5">
        <v>41.101596999999998</v>
      </c>
      <c r="N5">
        <v>29.778943999999999</v>
      </c>
      <c r="O5">
        <v>29.063752999999998</v>
      </c>
      <c r="P5">
        <v>32.335419000000002</v>
      </c>
      <c r="Q5">
        <v>33.017338000000002</v>
      </c>
      <c r="R5">
        <v>45.831547</v>
      </c>
      <c r="S5">
        <v>49.943249000000002</v>
      </c>
      <c r="T5">
        <v>51.657859999999999</v>
      </c>
      <c r="U5">
        <v>52.057975999999996</v>
      </c>
      <c r="V5">
        <v>51.677264999999998</v>
      </c>
      <c r="W5">
        <v>54.865906000000003</v>
      </c>
      <c r="X5">
        <v>55.622379000000002</v>
      </c>
      <c r="Y5">
        <v>64.002646999999996</v>
      </c>
      <c r="Z5">
        <v>65.292418999999995</v>
      </c>
      <c r="AA5">
        <v>64.929810000000003</v>
      </c>
      <c r="AB5">
        <v>69.617683</v>
      </c>
      <c r="AC5">
        <v>69.862044999999995</v>
      </c>
      <c r="AD5" s="4">
        <v>0.71823178711018065</v>
      </c>
    </row>
    <row r="6" spans="1:30" x14ac:dyDescent="0.25">
      <c r="A6" t="s">
        <v>29</v>
      </c>
      <c r="B6" t="s">
        <v>35</v>
      </c>
      <c r="C6">
        <v>-0.60127900000000001</v>
      </c>
      <c r="D6">
        <v>-1.298867</v>
      </c>
      <c r="E6">
        <v>-2.4977420000000001</v>
      </c>
      <c r="F6">
        <v>-2.859829</v>
      </c>
      <c r="G6">
        <v>-3.0291920000000001</v>
      </c>
      <c r="H6">
        <v>-3.4777469999999999</v>
      </c>
      <c r="I6">
        <v>-3.4259569999999999</v>
      </c>
      <c r="J6">
        <v>-3.3768959999999999</v>
      </c>
      <c r="K6">
        <v>-3.6540520000000001</v>
      </c>
      <c r="L6">
        <v>-3.4284490000000001</v>
      </c>
      <c r="M6">
        <v>-3.57666</v>
      </c>
      <c r="N6">
        <v>-4.1084690000000004</v>
      </c>
      <c r="O6">
        <v>-4.9400769999999996</v>
      </c>
      <c r="P6">
        <v>-5.0045890000000002</v>
      </c>
      <c r="Q6">
        <v>-5.1510670000000003</v>
      </c>
      <c r="R6">
        <v>-6.1177229999999998</v>
      </c>
      <c r="S6">
        <v>-6.4024900000000002</v>
      </c>
      <c r="T6">
        <v>-6.4950809999999999</v>
      </c>
      <c r="U6">
        <v>-6.5680670000000001</v>
      </c>
      <c r="V6">
        <v>-6.6624100000000004</v>
      </c>
      <c r="W6">
        <v>-6.5284389999999997</v>
      </c>
      <c r="X6">
        <v>-6.7731849999999998</v>
      </c>
      <c r="Y6">
        <v>-6.7960409999999998</v>
      </c>
      <c r="Z6">
        <v>-7.0282960000000001</v>
      </c>
      <c r="AA6">
        <v>-7.3738250000000001</v>
      </c>
      <c r="AB6">
        <v>-7.409198</v>
      </c>
      <c r="AC6">
        <v>-7.4121379999999997</v>
      </c>
      <c r="AD6" s="4">
        <v>11.327285669381435</v>
      </c>
    </row>
    <row r="7" spans="1:30" x14ac:dyDescent="0.25">
      <c r="A7" t="s">
        <v>29</v>
      </c>
      <c r="B7" t="s">
        <v>36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8.0350000000000005E-3</v>
      </c>
      <c r="M7">
        <v>8.9800000000000001E-3</v>
      </c>
      <c r="N7">
        <v>2.5749999999999999E-2</v>
      </c>
      <c r="O7">
        <v>0</v>
      </c>
      <c r="P7">
        <v>0</v>
      </c>
      <c r="Q7">
        <v>7.6969999999999998E-3</v>
      </c>
      <c r="R7">
        <v>1.4580000000000001E-3</v>
      </c>
      <c r="S7">
        <v>0</v>
      </c>
      <c r="T7">
        <v>8.9800000000000001E-3</v>
      </c>
      <c r="U7">
        <v>0</v>
      </c>
      <c r="V7">
        <v>0</v>
      </c>
      <c r="W7">
        <v>0</v>
      </c>
      <c r="X7">
        <v>8.907E-3</v>
      </c>
      <c r="Y7">
        <v>8.907E-3</v>
      </c>
      <c r="Z7">
        <v>8.9800000000000001E-3</v>
      </c>
      <c r="AA7">
        <v>8.907E-3</v>
      </c>
      <c r="AB7">
        <v>7.3010000000000002E-3</v>
      </c>
      <c r="AC7">
        <v>4.9259999999999998E-3</v>
      </c>
      <c r="AD7" s="4" t="e">
        <v>#DIV/0!</v>
      </c>
    </row>
    <row r="8" spans="1:30" x14ac:dyDescent="0.25">
      <c r="A8" t="s">
        <v>29</v>
      </c>
      <c r="B8" t="s">
        <v>37</v>
      </c>
      <c r="C8">
        <v>0.71189000000000002</v>
      </c>
      <c r="D8">
        <v>0.77690099999999995</v>
      </c>
      <c r="E8">
        <v>0.80567999999999995</v>
      </c>
      <c r="F8">
        <v>0.835314</v>
      </c>
      <c r="G8">
        <v>0.83761200000000002</v>
      </c>
      <c r="H8">
        <v>0.83691899999999997</v>
      </c>
      <c r="I8">
        <v>0.78986100000000004</v>
      </c>
      <c r="J8">
        <v>0.79633200000000004</v>
      </c>
      <c r="K8">
        <v>0.79371700000000001</v>
      </c>
      <c r="L8">
        <v>0.76601600000000003</v>
      </c>
      <c r="M8">
        <v>0.757795</v>
      </c>
      <c r="N8">
        <v>0.738232</v>
      </c>
      <c r="O8">
        <v>0.720943</v>
      </c>
      <c r="P8">
        <v>0.72132099999999999</v>
      </c>
      <c r="Q8">
        <v>0.72196000000000005</v>
      </c>
      <c r="R8">
        <v>0.66610999999999998</v>
      </c>
      <c r="S8">
        <v>0.68295099999999997</v>
      </c>
      <c r="T8">
        <v>0.68325599999999997</v>
      </c>
      <c r="U8">
        <v>0.68840599999999996</v>
      </c>
      <c r="V8">
        <v>0.67875300000000005</v>
      </c>
      <c r="W8">
        <v>0.68208299999999999</v>
      </c>
      <c r="X8">
        <v>0.672983</v>
      </c>
      <c r="Y8">
        <v>0.68064400000000003</v>
      </c>
      <c r="Z8">
        <v>0.67917899999999998</v>
      </c>
      <c r="AA8">
        <v>0.67340900000000004</v>
      </c>
      <c r="AB8">
        <v>0.67047100000000004</v>
      </c>
      <c r="AC8">
        <v>0.67140699999999998</v>
      </c>
      <c r="AD8" s="4">
        <v>-5.6866931688884584E-2</v>
      </c>
    </row>
    <row r="9" spans="1:30" x14ac:dyDescent="0.25">
      <c r="A9" t="s">
        <v>29</v>
      </c>
      <c r="B9" t="s">
        <v>38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 s="4" t="e">
        <v>#DIV/0!</v>
      </c>
    </row>
    <row r="10" spans="1:30" x14ac:dyDescent="0.25">
      <c r="A10" t="s">
        <v>29</v>
      </c>
      <c r="B10" t="s">
        <v>39</v>
      </c>
      <c r="C10">
        <v>0.13234099999999999</v>
      </c>
      <c r="D10">
        <v>0.189717</v>
      </c>
      <c r="E10">
        <v>0.27951599999999999</v>
      </c>
      <c r="F10">
        <v>0.33279199999999998</v>
      </c>
      <c r="G10">
        <v>0.393766</v>
      </c>
      <c r="H10">
        <v>0.459343</v>
      </c>
      <c r="I10">
        <v>0.52961100000000005</v>
      </c>
      <c r="J10">
        <v>0.59369799999999995</v>
      </c>
      <c r="K10">
        <v>0.66112000000000004</v>
      </c>
      <c r="L10">
        <v>0.72679400000000005</v>
      </c>
      <c r="M10">
        <v>0.78634700000000002</v>
      </c>
      <c r="N10">
        <v>0.48287099999999999</v>
      </c>
      <c r="O10">
        <v>0.521756</v>
      </c>
      <c r="P10">
        <v>0.56295200000000001</v>
      </c>
      <c r="Q10">
        <v>0.60427299999999995</v>
      </c>
      <c r="R10">
        <v>0.632768</v>
      </c>
      <c r="S10">
        <v>0.66225299999999998</v>
      </c>
      <c r="T10">
        <v>0.69149300000000002</v>
      </c>
      <c r="U10">
        <v>0.72082299999999999</v>
      </c>
      <c r="V10">
        <v>0.74972899999999998</v>
      </c>
      <c r="W10">
        <v>0.76440300000000005</v>
      </c>
      <c r="X10">
        <v>0.77929599999999999</v>
      </c>
      <c r="Y10">
        <v>0.79406500000000002</v>
      </c>
      <c r="Z10">
        <v>0.80885499999999999</v>
      </c>
      <c r="AA10">
        <v>0.823932</v>
      </c>
      <c r="AB10">
        <v>0.82394900000000004</v>
      </c>
      <c r="AC10">
        <v>0.82396599999999998</v>
      </c>
      <c r="AD10" s="4">
        <v>5.2260826198985955</v>
      </c>
    </row>
    <row r="11" spans="1:30" x14ac:dyDescent="0.25">
      <c r="A11" t="s">
        <v>29</v>
      </c>
      <c r="B11" t="s">
        <v>40</v>
      </c>
      <c r="C11">
        <v>0.19351199999999999</v>
      </c>
      <c r="D11">
        <v>0.193521</v>
      </c>
      <c r="E11">
        <v>0.19339500000000001</v>
      </c>
      <c r="F11">
        <v>0.19339500000000001</v>
      </c>
      <c r="G11">
        <v>0.19339500000000001</v>
      </c>
      <c r="H11">
        <v>0.19339500000000001</v>
      </c>
      <c r="I11">
        <v>0.19534799999999999</v>
      </c>
      <c r="J11">
        <v>0.19534799999999999</v>
      </c>
      <c r="K11">
        <v>1.10517</v>
      </c>
      <c r="L11">
        <v>1.10517</v>
      </c>
      <c r="M11">
        <v>1.10517</v>
      </c>
      <c r="N11">
        <v>1.791712</v>
      </c>
      <c r="O11">
        <v>1.1115759999999999</v>
      </c>
      <c r="P11">
        <v>2.0126599999999999</v>
      </c>
      <c r="Q11">
        <v>2.0126599999999999</v>
      </c>
      <c r="R11">
        <v>2.7857310000000002</v>
      </c>
      <c r="S11">
        <v>4.61714</v>
      </c>
      <c r="T11">
        <v>5.3744589999999999</v>
      </c>
      <c r="U11">
        <v>5.756081</v>
      </c>
      <c r="V11">
        <v>5.5368820000000003</v>
      </c>
      <c r="W11">
        <v>5.5368820000000003</v>
      </c>
      <c r="X11">
        <v>5.8740610000000002</v>
      </c>
      <c r="Y11">
        <v>5.5382530000000001</v>
      </c>
      <c r="Z11">
        <v>5.7916990000000004</v>
      </c>
      <c r="AA11">
        <v>5.8800410000000003</v>
      </c>
      <c r="AB11">
        <v>6.5328160000000004</v>
      </c>
      <c r="AC11">
        <v>6.3898039999999998</v>
      </c>
      <c r="AD11" s="4">
        <v>32.020195130017775</v>
      </c>
    </row>
    <row r="12" spans="1:30" x14ac:dyDescent="0.25">
      <c r="A12" t="s">
        <v>29</v>
      </c>
      <c r="B12" t="s">
        <v>41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 s="4" t="e">
        <v>#DIV/0!</v>
      </c>
    </row>
    <row r="13" spans="1:30" x14ac:dyDescent="0.25">
      <c r="A13" t="s">
        <v>29</v>
      </c>
      <c r="B13" t="s">
        <v>42</v>
      </c>
      <c r="C13">
        <v>39.650322000000003</v>
      </c>
      <c r="D13">
        <v>65.966453999999999</v>
      </c>
      <c r="E13">
        <v>94.541060999999999</v>
      </c>
      <c r="F13">
        <v>109.36436500000001</v>
      </c>
      <c r="G13">
        <v>109.347717</v>
      </c>
      <c r="H13">
        <v>114.175247</v>
      </c>
      <c r="I13">
        <v>120.844261</v>
      </c>
      <c r="J13">
        <v>122.260941</v>
      </c>
      <c r="K13">
        <v>132.16511499999999</v>
      </c>
      <c r="L13">
        <v>139.13940400000001</v>
      </c>
      <c r="M13">
        <v>146.86599699999999</v>
      </c>
      <c r="N13">
        <v>165.040955</v>
      </c>
      <c r="O13">
        <v>161.72854599999999</v>
      </c>
      <c r="P13">
        <v>151.42669699999999</v>
      </c>
      <c r="Q13">
        <v>154.937668</v>
      </c>
      <c r="R13">
        <v>148.91366600000001</v>
      </c>
      <c r="S13">
        <v>157.68974299999999</v>
      </c>
      <c r="T13">
        <v>181.395355</v>
      </c>
      <c r="U13">
        <v>183.667068</v>
      </c>
      <c r="V13">
        <v>184.040695</v>
      </c>
      <c r="W13">
        <v>183.745667</v>
      </c>
      <c r="X13">
        <v>183.921707</v>
      </c>
      <c r="Y13">
        <v>184.02603099999999</v>
      </c>
      <c r="Z13">
        <v>184.02076700000001</v>
      </c>
      <c r="AA13">
        <v>183.98165900000001</v>
      </c>
      <c r="AB13">
        <v>183.91297900000001</v>
      </c>
      <c r="AC13">
        <v>183.923462</v>
      </c>
      <c r="AD13" s="4">
        <v>3.6386372852154896</v>
      </c>
    </row>
    <row r="14" spans="1:30" x14ac:dyDescent="0.25">
      <c r="A14" t="s">
        <v>29</v>
      </c>
      <c r="B14" t="s">
        <v>43</v>
      </c>
      <c r="C14">
        <v>113.782051</v>
      </c>
      <c r="D14">
        <v>117.547028</v>
      </c>
      <c r="E14">
        <v>125.49424</v>
      </c>
      <c r="F14">
        <v>130.144226</v>
      </c>
      <c r="G14">
        <v>130.14473000000001</v>
      </c>
      <c r="H14">
        <v>130.16722100000001</v>
      </c>
      <c r="I14">
        <v>143.457245</v>
      </c>
      <c r="J14">
        <v>150.759354</v>
      </c>
      <c r="K14">
        <v>148.15181000000001</v>
      </c>
      <c r="L14">
        <v>171.91619900000001</v>
      </c>
      <c r="M14">
        <v>174.96466100000001</v>
      </c>
      <c r="N14">
        <v>197.92146299999999</v>
      </c>
      <c r="O14">
        <v>221.92796300000001</v>
      </c>
      <c r="P14">
        <v>238.20135500000001</v>
      </c>
      <c r="Q14">
        <v>240.41563400000001</v>
      </c>
      <c r="R14">
        <v>246.57626300000001</v>
      </c>
      <c r="S14">
        <v>241.49388099999999</v>
      </c>
      <c r="T14">
        <v>221.118347</v>
      </c>
      <c r="U14">
        <v>223.34960899999999</v>
      </c>
      <c r="V14">
        <v>227.90858499999999</v>
      </c>
      <c r="W14">
        <v>233.09423799999999</v>
      </c>
      <c r="X14">
        <v>235.36012299999999</v>
      </c>
      <c r="Y14">
        <v>234.72924800000001</v>
      </c>
      <c r="Z14">
        <v>238.29347200000001</v>
      </c>
      <c r="AA14">
        <v>241.19271900000001</v>
      </c>
      <c r="AB14">
        <v>242.80427599999999</v>
      </c>
      <c r="AC14">
        <v>245.265793</v>
      </c>
      <c r="AD14" s="4">
        <v>1.1555754255124124</v>
      </c>
    </row>
    <row r="15" spans="1:30" x14ac:dyDescent="0.25">
      <c r="A15" t="s">
        <v>29</v>
      </c>
      <c r="B15" t="s">
        <v>44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 s="4" t="e">
        <v>#DIV/0!</v>
      </c>
    </row>
    <row r="16" spans="1:30" x14ac:dyDescent="0.25">
      <c r="A16" t="s">
        <v>29</v>
      </c>
      <c r="B16" s="5" t="s">
        <v>45</v>
      </c>
      <c r="C16">
        <v>0</v>
      </c>
      <c r="D16">
        <v>0</v>
      </c>
      <c r="E16">
        <v>4.045E-3</v>
      </c>
      <c r="F16">
        <v>2.1558000000000001E-2</v>
      </c>
      <c r="G16">
        <v>3.6033999999999997E-2</v>
      </c>
      <c r="H16">
        <v>4.9888000000000002E-2</v>
      </c>
      <c r="I16">
        <v>8.3714999999999998E-2</v>
      </c>
      <c r="J16">
        <v>8.9450000000000002E-2</v>
      </c>
      <c r="K16">
        <v>0.21478</v>
      </c>
      <c r="L16">
        <v>0.305535</v>
      </c>
      <c r="M16">
        <v>0.42766100000000001</v>
      </c>
      <c r="N16">
        <v>0.55998400000000004</v>
      </c>
      <c r="O16">
        <v>0.70334200000000002</v>
      </c>
      <c r="P16">
        <v>0.82628400000000002</v>
      </c>
      <c r="Q16">
        <v>0.921485</v>
      </c>
      <c r="R16">
        <v>1.1131169999999999</v>
      </c>
      <c r="S16">
        <v>1.1900010000000001</v>
      </c>
      <c r="T16">
        <v>1.2779020000000001</v>
      </c>
      <c r="U16">
        <v>1.390063</v>
      </c>
      <c r="V16">
        <v>1.520284</v>
      </c>
      <c r="W16">
        <v>1.6463920000000001</v>
      </c>
      <c r="X16">
        <v>1.763339</v>
      </c>
      <c r="Y16">
        <v>1.8571249999999999</v>
      </c>
      <c r="Z16">
        <v>1.9540919999999999</v>
      </c>
      <c r="AA16">
        <v>2.0507650000000002</v>
      </c>
      <c r="AB16">
        <v>2.1510359999999999</v>
      </c>
      <c r="AC16">
        <v>2.2451989999999999</v>
      </c>
      <c r="AD16" s="4" t="e">
        <v>#DIV/0!</v>
      </c>
    </row>
    <row r="17" spans="1:30" x14ac:dyDescent="0.25">
      <c r="A17" t="s">
        <v>29</v>
      </c>
      <c r="B17" s="5" t="s">
        <v>46</v>
      </c>
      <c r="C17">
        <v>422.39544699999999</v>
      </c>
      <c r="D17">
        <v>424.017944</v>
      </c>
      <c r="E17">
        <v>426.41928100000001</v>
      </c>
      <c r="F17">
        <v>431.693085</v>
      </c>
      <c r="G17">
        <v>433.71743800000002</v>
      </c>
      <c r="H17">
        <v>435.45382699999999</v>
      </c>
      <c r="I17">
        <v>438.21798699999999</v>
      </c>
      <c r="J17">
        <v>439.42044099999998</v>
      </c>
      <c r="K17">
        <v>447.90441900000002</v>
      </c>
      <c r="L17">
        <v>457.11120599999998</v>
      </c>
      <c r="M17">
        <v>466.546875</v>
      </c>
      <c r="N17">
        <v>477.14733899999999</v>
      </c>
      <c r="O17">
        <v>488.73556500000001</v>
      </c>
      <c r="P17">
        <v>499.647919</v>
      </c>
      <c r="Q17">
        <v>508.920929</v>
      </c>
      <c r="R17">
        <v>518.53216599999996</v>
      </c>
      <c r="S17">
        <v>525.81274399999995</v>
      </c>
      <c r="T17">
        <v>531.38500999999997</v>
      </c>
      <c r="U17">
        <v>538.81738299999995</v>
      </c>
      <c r="V17">
        <v>546.16613800000005</v>
      </c>
      <c r="W17">
        <v>553.58538799999997</v>
      </c>
      <c r="X17">
        <v>560.41668700000002</v>
      </c>
      <c r="Y17">
        <v>566.09985400000005</v>
      </c>
      <c r="Z17">
        <v>571.68920900000001</v>
      </c>
      <c r="AA17">
        <v>577.36279300000001</v>
      </c>
      <c r="AB17">
        <v>583.28149399999995</v>
      </c>
      <c r="AC17">
        <v>589.239868</v>
      </c>
      <c r="AD17" s="4">
        <v>0.39499578460181656</v>
      </c>
    </row>
    <row r="18" spans="1:30" x14ac:dyDescent="0.25">
      <c r="A18" t="s">
        <v>74</v>
      </c>
      <c r="B18" t="s">
        <v>47</v>
      </c>
      <c r="C18">
        <v>12.261024000000001</v>
      </c>
      <c r="D18">
        <v>11.68887</v>
      </c>
      <c r="E18">
        <v>11.738564</v>
      </c>
      <c r="F18">
        <v>11.667092</v>
      </c>
      <c r="G18">
        <v>11.769094000000001</v>
      </c>
      <c r="H18">
        <v>12.54754</v>
      </c>
      <c r="I18">
        <v>12.979941</v>
      </c>
      <c r="J18">
        <v>14.325182</v>
      </c>
      <c r="K18">
        <v>14.480929</v>
      </c>
      <c r="L18">
        <v>14.303461</v>
      </c>
      <c r="M18">
        <v>13.870787</v>
      </c>
      <c r="N18">
        <v>13.149305999999999</v>
      </c>
      <c r="O18">
        <v>12.634007</v>
      </c>
      <c r="P18">
        <v>12.076275000000001</v>
      </c>
      <c r="Q18">
        <v>12.348931</v>
      </c>
      <c r="R18">
        <v>12.359329000000001</v>
      </c>
      <c r="S18">
        <v>12.460176000000001</v>
      </c>
      <c r="T18">
        <v>12.454609</v>
      </c>
      <c r="U18">
        <v>12.383782999999999</v>
      </c>
      <c r="V18">
        <v>12.300585</v>
      </c>
      <c r="W18">
        <v>12.315512999999999</v>
      </c>
      <c r="X18">
        <v>12.256766000000001</v>
      </c>
      <c r="Y18">
        <v>12.476212</v>
      </c>
      <c r="Z18">
        <v>12.657698</v>
      </c>
      <c r="AA18">
        <v>12.773258</v>
      </c>
      <c r="AB18">
        <v>12.904456</v>
      </c>
      <c r="AC18">
        <v>13.089708</v>
      </c>
      <c r="AD18" s="4" cm="1">
        <f t="array" ref="AD18:AD22">(AC18:AC22-C18:C22)/C18:C22</f>
        <v>6.7586850820942776E-2</v>
      </c>
    </row>
    <row r="19" spans="1:30" x14ac:dyDescent="0.25">
      <c r="A19" t="s">
        <v>74</v>
      </c>
      <c r="B19" t="s">
        <v>49</v>
      </c>
      <c r="C19">
        <v>9.4878879999999999</v>
      </c>
      <c r="D19">
        <v>8.8174569999999992</v>
      </c>
      <c r="E19">
        <v>8.8637779999999999</v>
      </c>
      <c r="F19">
        <v>8.813841</v>
      </c>
      <c r="G19">
        <v>8.9268920000000005</v>
      </c>
      <c r="H19">
        <v>9.6606749999999995</v>
      </c>
      <c r="I19">
        <v>10.045545000000001</v>
      </c>
      <c r="J19">
        <v>11.295534999999999</v>
      </c>
      <c r="K19">
        <v>11.38837</v>
      </c>
      <c r="L19">
        <v>11.168798000000001</v>
      </c>
      <c r="M19">
        <v>10.710016</v>
      </c>
      <c r="N19">
        <v>10.010412000000001</v>
      </c>
      <c r="O19">
        <v>9.472512</v>
      </c>
      <c r="P19">
        <v>8.9044089999999994</v>
      </c>
      <c r="Q19">
        <v>9.1814389999999992</v>
      </c>
      <c r="R19">
        <v>9.2266189999999995</v>
      </c>
      <c r="S19">
        <v>9.3328480000000003</v>
      </c>
      <c r="T19">
        <v>9.3176570000000005</v>
      </c>
      <c r="U19">
        <v>9.2541429999999991</v>
      </c>
      <c r="V19">
        <v>9.1532809999999998</v>
      </c>
      <c r="W19">
        <v>9.1689410000000002</v>
      </c>
      <c r="X19">
        <v>9.1137040000000002</v>
      </c>
      <c r="Y19">
        <v>9.2916919999999994</v>
      </c>
      <c r="Z19">
        <v>9.4252610000000008</v>
      </c>
      <c r="AA19">
        <v>9.5353449999999995</v>
      </c>
      <c r="AB19">
        <v>9.6575019999999991</v>
      </c>
      <c r="AC19">
        <v>9.8159410000000005</v>
      </c>
      <c r="AD19" s="4">
        <v>3.4575977288096214E-2</v>
      </c>
    </row>
    <row r="20" spans="1:30" x14ac:dyDescent="0.25">
      <c r="A20" t="s">
        <v>74</v>
      </c>
      <c r="B20" t="s">
        <v>50</v>
      </c>
      <c r="C20">
        <v>7.9432859999999996</v>
      </c>
      <c r="D20">
        <v>7.5176559999999997</v>
      </c>
      <c r="E20">
        <v>7.5094709999999996</v>
      </c>
      <c r="F20">
        <v>7.4605160000000001</v>
      </c>
      <c r="G20">
        <v>7.5683559999999996</v>
      </c>
      <c r="H20">
        <v>8.2153840000000002</v>
      </c>
      <c r="I20">
        <v>8.6793410000000009</v>
      </c>
      <c r="J20">
        <v>9.7970089999999992</v>
      </c>
      <c r="K20">
        <v>10.009252999999999</v>
      </c>
      <c r="L20">
        <v>9.7809849999999994</v>
      </c>
      <c r="M20">
        <v>9.2857450000000004</v>
      </c>
      <c r="N20">
        <v>8.5857519999999994</v>
      </c>
      <c r="O20">
        <v>7.9057029999999999</v>
      </c>
      <c r="P20">
        <v>7.351502</v>
      </c>
      <c r="Q20">
        <v>7.606636</v>
      </c>
      <c r="R20">
        <v>7.6985939999999999</v>
      </c>
      <c r="S20">
        <v>7.809177</v>
      </c>
      <c r="T20">
        <v>7.8063690000000001</v>
      </c>
      <c r="U20">
        <v>7.7440369999999996</v>
      </c>
      <c r="V20">
        <v>7.6521420000000004</v>
      </c>
      <c r="W20">
        <v>7.6668450000000004</v>
      </c>
      <c r="X20">
        <v>7.617388</v>
      </c>
      <c r="Y20">
        <v>7.7704510000000004</v>
      </c>
      <c r="Z20">
        <v>7.8744889999999996</v>
      </c>
      <c r="AA20">
        <v>7.978834</v>
      </c>
      <c r="AB20">
        <v>8.1016379999999995</v>
      </c>
      <c r="AC20">
        <v>8.2542419999999996</v>
      </c>
      <c r="AD20" s="4">
        <v>3.9147023033036958E-2</v>
      </c>
    </row>
    <row r="21" spans="1:30" x14ac:dyDescent="0.25">
      <c r="A21" t="s">
        <v>74</v>
      </c>
      <c r="B21" t="s">
        <v>51</v>
      </c>
      <c r="C21">
        <v>10.071042</v>
      </c>
      <c r="D21">
        <v>9.4222570000000001</v>
      </c>
      <c r="E21">
        <v>9.4738919999999993</v>
      </c>
      <c r="F21">
        <v>9.4085750000000008</v>
      </c>
      <c r="G21">
        <v>9.5066640000000007</v>
      </c>
      <c r="H21">
        <v>10.217319</v>
      </c>
      <c r="I21">
        <v>10.651840999999999</v>
      </c>
      <c r="J21">
        <v>11.907298000000001</v>
      </c>
      <c r="K21">
        <v>12.051691999999999</v>
      </c>
      <c r="L21">
        <v>11.851231</v>
      </c>
      <c r="M21">
        <v>11.39589</v>
      </c>
      <c r="N21">
        <v>10.664508</v>
      </c>
      <c r="O21">
        <v>10.046963999999999</v>
      </c>
      <c r="P21">
        <v>9.5085630000000005</v>
      </c>
      <c r="Q21">
        <v>9.8045430000000007</v>
      </c>
      <c r="R21">
        <v>9.86083</v>
      </c>
      <c r="S21">
        <v>9.9738849999999992</v>
      </c>
      <c r="T21">
        <v>9.8909490000000009</v>
      </c>
      <c r="U21">
        <v>9.8384090000000004</v>
      </c>
      <c r="V21">
        <v>9.7711430000000004</v>
      </c>
      <c r="W21">
        <v>9.7778100000000006</v>
      </c>
      <c r="X21">
        <v>9.7362079999999995</v>
      </c>
      <c r="Y21">
        <v>9.9070180000000008</v>
      </c>
      <c r="Z21">
        <v>10.055736</v>
      </c>
      <c r="AA21">
        <v>10.166982000000001</v>
      </c>
      <c r="AB21">
        <v>10.281473999999999</v>
      </c>
      <c r="AC21">
        <v>10.444630999999999</v>
      </c>
      <c r="AD21" s="4">
        <v>3.7095367093097124E-2</v>
      </c>
    </row>
    <row r="22" spans="1:30" x14ac:dyDescent="0.25">
      <c r="A22" t="s">
        <v>74</v>
      </c>
      <c r="B22" t="s">
        <v>52</v>
      </c>
      <c r="C22">
        <v>10.013339</v>
      </c>
      <c r="D22">
        <v>9.4618129999999994</v>
      </c>
      <c r="E22">
        <v>9.5106660000000005</v>
      </c>
      <c r="F22">
        <v>9.4525349999999992</v>
      </c>
      <c r="G22">
        <v>9.5583849999999995</v>
      </c>
      <c r="H22">
        <v>10.273296</v>
      </c>
      <c r="I22">
        <v>10.687863</v>
      </c>
      <c r="J22">
        <v>11.919454</v>
      </c>
      <c r="K22">
        <v>12.055631999999999</v>
      </c>
      <c r="L22">
        <v>11.840070000000001</v>
      </c>
      <c r="M22">
        <v>11.374278</v>
      </c>
      <c r="N22">
        <v>10.667083</v>
      </c>
      <c r="O22">
        <v>10.094408</v>
      </c>
      <c r="P22">
        <v>9.5400749999999999</v>
      </c>
      <c r="Q22">
        <v>9.8141499999999997</v>
      </c>
      <c r="R22">
        <v>9.8639449999999993</v>
      </c>
      <c r="S22">
        <v>9.9741280000000003</v>
      </c>
      <c r="T22">
        <v>9.9702179999999991</v>
      </c>
      <c r="U22">
        <v>9.9091869999999993</v>
      </c>
      <c r="V22">
        <v>9.8229410000000001</v>
      </c>
      <c r="W22">
        <v>9.8416370000000004</v>
      </c>
      <c r="X22">
        <v>9.7900609999999997</v>
      </c>
      <c r="Y22">
        <v>9.9783039999999996</v>
      </c>
      <c r="Z22">
        <v>10.119859999999999</v>
      </c>
      <c r="AA22">
        <v>10.228548</v>
      </c>
      <c r="AB22">
        <v>10.352036</v>
      </c>
      <c r="AC22">
        <v>10.515433</v>
      </c>
      <c r="AD22" s="4">
        <v>5.0142514899375684E-2</v>
      </c>
    </row>
    <row r="23" spans="1:30" x14ac:dyDescent="0.25">
      <c r="A23" t="s">
        <v>75</v>
      </c>
      <c r="B23" t="s">
        <v>47</v>
      </c>
      <c r="C23">
        <v>12.261024000000001</v>
      </c>
      <c r="D23">
        <v>11.957076000000001</v>
      </c>
      <c r="E23">
        <v>12.223072</v>
      </c>
      <c r="F23">
        <v>12.357741000000001</v>
      </c>
      <c r="G23">
        <v>12.684485</v>
      </c>
      <c r="H23">
        <v>13.725016</v>
      </c>
      <c r="I23">
        <v>14.421388</v>
      </c>
      <c r="J23">
        <v>16.194267</v>
      </c>
      <c r="K23">
        <v>16.657343000000001</v>
      </c>
      <c r="L23">
        <v>16.741914999999999</v>
      </c>
      <c r="M23">
        <v>16.519468</v>
      </c>
      <c r="N23">
        <v>15.931295</v>
      </c>
      <c r="O23">
        <v>15.569591000000001</v>
      </c>
      <c r="P23">
        <v>15.148770000000001</v>
      </c>
      <c r="Q23">
        <v>15.779743</v>
      </c>
      <c r="R23">
        <v>16.101429</v>
      </c>
      <c r="S23">
        <v>16.570924999999999</v>
      </c>
      <c r="T23">
        <v>16.928362</v>
      </c>
      <c r="U23">
        <v>17.216650000000001</v>
      </c>
      <c r="V23">
        <v>17.503589999999999</v>
      </c>
      <c r="W23">
        <v>17.949587000000001</v>
      </c>
      <c r="X23">
        <v>18.300386</v>
      </c>
      <c r="Y23">
        <v>19.084215</v>
      </c>
      <c r="Z23">
        <v>19.833838</v>
      </c>
      <c r="AA23">
        <v>20.495004999999999</v>
      </c>
      <c r="AB23">
        <v>21.196669</v>
      </c>
      <c r="AC23">
        <v>21.999877999999999</v>
      </c>
      <c r="AD23" s="4" cm="1">
        <f t="array" ref="AD23:AD27">(AC23:AC27-C23:C27)/C23:C27</f>
        <v>0.79429369031493602</v>
      </c>
    </row>
    <row r="24" spans="1:30" x14ac:dyDescent="0.25">
      <c r="A24" t="s">
        <v>75</v>
      </c>
      <c r="B24" t="s">
        <v>49</v>
      </c>
      <c r="C24">
        <v>9.4878879999999999</v>
      </c>
      <c r="D24">
        <v>9.0197769999999995</v>
      </c>
      <c r="E24">
        <v>9.2296300000000002</v>
      </c>
      <c r="F24">
        <v>9.3355879999999996</v>
      </c>
      <c r="G24">
        <v>9.6212199999999992</v>
      </c>
      <c r="H24">
        <v>10.567245</v>
      </c>
      <c r="I24">
        <v>11.16112</v>
      </c>
      <c r="J24">
        <v>12.769326</v>
      </c>
      <c r="K24">
        <v>13.099987</v>
      </c>
      <c r="L24">
        <v>13.072854</v>
      </c>
      <c r="M24">
        <v>12.755136</v>
      </c>
      <c r="N24">
        <v>12.128308000000001</v>
      </c>
      <c r="O24">
        <v>11.673505</v>
      </c>
      <c r="P24">
        <v>11.169907</v>
      </c>
      <c r="Q24">
        <v>11.732250000000001</v>
      </c>
      <c r="R24">
        <v>12.020211</v>
      </c>
      <c r="S24">
        <v>12.411856</v>
      </c>
      <c r="T24">
        <v>12.664602</v>
      </c>
      <c r="U24">
        <v>12.865643</v>
      </c>
      <c r="V24">
        <v>13.025014000000001</v>
      </c>
      <c r="W24">
        <v>13.363526999999999</v>
      </c>
      <c r="X24">
        <v>13.607529</v>
      </c>
      <c r="Y24">
        <v>14.213018999999999</v>
      </c>
      <c r="Z24">
        <v>14.768806</v>
      </c>
      <c r="AA24">
        <v>15.299694000000001</v>
      </c>
      <c r="AB24">
        <v>15.863270999999999</v>
      </c>
      <c r="AC24">
        <v>16.497654000000001</v>
      </c>
      <c r="AD24" s="4">
        <v>0.7388120517442871</v>
      </c>
    </row>
    <row r="25" spans="1:30" x14ac:dyDescent="0.25">
      <c r="A25" t="s">
        <v>75</v>
      </c>
      <c r="B25" t="s">
        <v>50</v>
      </c>
      <c r="C25">
        <v>7.9432859999999996</v>
      </c>
      <c r="D25">
        <v>7.6901520000000003</v>
      </c>
      <c r="E25">
        <v>7.8194239999999997</v>
      </c>
      <c r="F25">
        <v>7.9021509999999999</v>
      </c>
      <c r="G25">
        <v>8.1570180000000008</v>
      </c>
      <c r="H25">
        <v>8.9863250000000008</v>
      </c>
      <c r="I25">
        <v>9.6431989999999992</v>
      </c>
      <c r="J25">
        <v>11.075278000000001</v>
      </c>
      <c r="K25">
        <v>11.513595</v>
      </c>
      <c r="L25">
        <v>11.448445</v>
      </c>
      <c r="M25">
        <v>11.058894</v>
      </c>
      <c r="N25">
        <v>10.402234</v>
      </c>
      <c r="O25">
        <v>9.7426390000000005</v>
      </c>
      <c r="P25">
        <v>9.221902</v>
      </c>
      <c r="Q25">
        <v>9.7199310000000008</v>
      </c>
      <c r="R25">
        <v>10.029538000000001</v>
      </c>
      <c r="S25">
        <v>10.385509000000001</v>
      </c>
      <c r="T25">
        <v>10.610452</v>
      </c>
      <c r="U25">
        <v>10.766207</v>
      </c>
      <c r="V25">
        <v>10.888909999999999</v>
      </c>
      <c r="W25">
        <v>11.174256</v>
      </c>
      <c r="X25">
        <v>11.373404000000001</v>
      </c>
      <c r="Y25">
        <v>11.886056999999999</v>
      </c>
      <c r="Z25">
        <v>12.338842</v>
      </c>
      <c r="AA25">
        <v>12.802234</v>
      </c>
      <c r="AB25">
        <v>13.307631000000001</v>
      </c>
      <c r="AC25">
        <v>13.872907</v>
      </c>
      <c r="AD25" s="4">
        <v>0.7464947126415945</v>
      </c>
    </row>
    <row r="26" spans="1:30" x14ac:dyDescent="0.25">
      <c r="A26" t="s">
        <v>75</v>
      </c>
      <c r="B26" t="s">
        <v>51</v>
      </c>
      <c r="C26">
        <v>10.071042</v>
      </c>
      <c r="D26">
        <v>9.6384550000000004</v>
      </c>
      <c r="E26">
        <v>9.8649249999999995</v>
      </c>
      <c r="F26">
        <v>9.9655280000000008</v>
      </c>
      <c r="G26">
        <v>10.246086</v>
      </c>
      <c r="H26">
        <v>11.176124</v>
      </c>
      <c r="I26">
        <v>11.834747999999999</v>
      </c>
      <c r="J26">
        <v>13.460908999999999</v>
      </c>
      <c r="K26">
        <v>13.863003000000001</v>
      </c>
      <c r="L26">
        <v>13.871627</v>
      </c>
      <c r="M26">
        <v>13.57198</v>
      </c>
      <c r="N26">
        <v>12.920790999999999</v>
      </c>
      <c r="O26">
        <v>12.381432999999999</v>
      </c>
      <c r="P26">
        <v>11.927771999999999</v>
      </c>
      <c r="Q26">
        <v>12.528466</v>
      </c>
      <c r="R26">
        <v>12.846447</v>
      </c>
      <c r="S26">
        <v>13.264379</v>
      </c>
      <c r="T26">
        <v>13.443823999999999</v>
      </c>
      <c r="U26">
        <v>13.677924000000001</v>
      </c>
      <c r="V26">
        <v>13.904223999999999</v>
      </c>
      <c r="W26">
        <v>14.250942</v>
      </c>
      <c r="X26">
        <v>14.53698</v>
      </c>
      <c r="Y26">
        <v>15.154252</v>
      </c>
      <c r="Z26">
        <v>15.756721000000001</v>
      </c>
      <c r="AA26">
        <v>16.313171000000001</v>
      </c>
      <c r="AB26">
        <v>16.888197000000002</v>
      </c>
      <c r="AC26">
        <v>17.554295</v>
      </c>
      <c r="AD26" s="4">
        <v>0.74304654870866382</v>
      </c>
    </row>
    <row r="27" spans="1:30" x14ac:dyDescent="0.25">
      <c r="A27" t="s">
        <v>75</v>
      </c>
      <c r="B27" t="s">
        <v>52</v>
      </c>
      <c r="C27">
        <v>10.013339</v>
      </c>
      <c r="D27">
        <v>9.6789190000000005</v>
      </c>
      <c r="E27">
        <v>9.9032169999999997</v>
      </c>
      <c r="F27">
        <v>10.012090000000001</v>
      </c>
      <c r="G27">
        <v>10.301828</v>
      </c>
      <c r="H27">
        <v>11.237354</v>
      </c>
      <c r="I27">
        <v>11.874771000000001</v>
      </c>
      <c r="J27">
        <v>13.474648999999999</v>
      </c>
      <c r="K27">
        <v>13.867535</v>
      </c>
      <c r="L27">
        <v>13.858563</v>
      </c>
      <c r="M27">
        <v>13.546241</v>
      </c>
      <c r="N27">
        <v>12.923909999999999</v>
      </c>
      <c r="O27">
        <v>12.439901000000001</v>
      </c>
      <c r="P27">
        <v>11.967301000000001</v>
      </c>
      <c r="Q27">
        <v>12.540741000000001</v>
      </c>
      <c r="R27">
        <v>12.850505</v>
      </c>
      <c r="S27">
        <v>13.264702</v>
      </c>
      <c r="T27">
        <v>13.551565</v>
      </c>
      <c r="U27">
        <v>13.776323</v>
      </c>
      <c r="V27">
        <v>13.977931999999999</v>
      </c>
      <c r="W27">
        <v>14.343966999999999</v>
      </c>
      <c r="X27">
        <v>14.617387000000001</v>
      </c>
      <c r="Y27">
        <v>15.263294999999999</v>
      </c>
      <c r="Z27">
        <v>15.857200000000001</v>
      </c>
      <c r="AA27">
        <v>16.411954999999999</v>
      </c>
      <c r="AB27">
        <v>17.004100999999999</v>
      </c>
      <c r="AC27">
        <v>17.673292</v>
      </c>
      <c r="AD27" s="4">
        <v>0.76497489998091539</v>
      </c>
    </row>
    <row r="28" spans="1:30" x14ac:dyDescent="0.25">
      <c r="A28" t="s">
        <v>76</v>
      </c>
      <c r="B28" t="s">
        <v>54</v>
      </c>
      <c r="C28">
        <v>6.3911579999999999</v>
      </c>
      <c r="D28">
        <v>5.8051599999999999</v>
      </c>
      <c r="E28">
        <v>5.7498089999999999</v>
      </c>
      <c r="F28">
        <v>5.607647</v>
      </c>
      <c r="G28">
        <v>5.6575530000000001</v>
      </c>
      <c r="H28">
        <v>6.3119990000000001</v>
      </c>
      <c r="I28">
        <v>6.6747730000000001</v>
      </c>
      <c r="J28">
        <v>7.8537980000000003</v>
      </c>
      <c r="K28">
        <v>7.9545469999999998</v>
      </c>
      <c r="L28">
        <v>7.7108420000000004</v>
      </c>
      <c r="M28">
        <v>7.2118760000000002</v>
      </c>
      <c r="N28">
        <v>6.4868779999999999</v>
      </c>
      <c r="O28">
        <v>5.8870250000000004</v>
      </c>
      <c r="P28">
        <v>5.3259489999999996</v>
      </c>
      <c r="Q28">
        <v>5.5994570000000001</v>
      </c>
      <c r="R28">
        <v>5.6413739999999999</v>
      </c>
      <c r="S28">
        <v>5.7391059999999996</v>
      </c>
      <c r="T28">
        <v>5.7239240000000002</v>
      </c>
      <c r="U28">
        <v>5.658074</v>
      </c>
      <c r="V28">
        <v>5.5682489999999998</v>
      </c>
      <c r="W28">
        <v>5.6190160000000002</v>
      </c>
      <c r="X28">
        <v>5.5827960000000001</v>
      </c>
      <c r="Y28">
        <v>5.7629140000000003</v>
      </c>
      <c r="Z28">
        <v>5.8918080000000002</v>
      </c>
      <c r="AA28">
        <v>6.0226519999999999</v>
      </c>
      <c r="AB28">
        <v>6.1544889999999999</v>
      </c>
      <c r="AC28">
        <v>6.3027170000000003</v>
      </c>
      <c r="AD28" s="4" cm="1">
        <f t="array" ref="AD28:AD30">(AC28:AC30-C28:C30)/C28:C30</f>
        <v>-1.3838024345509773E-2</v>
      </c>
    </row>
    <row r="29" spans="1:30" x14ac:dyDescent="0.25">
      <c r="A29" t="s">
        <v>76</v>
      </c>
      <c r="B29" t="s">
        <v>55</v>
      </c>
      <c r="C29">
        <v>2.3409490000000002</v>
      </c>
      <c r="D29">
        <v>2.3648829999999998</v>
      </c>
      <c r="E29">
        <v>2.436134</v>
      </c>
      <c r="F29">
        <v>2.4916770000000001</v>
      </c>
      <c r="G29">
        <v>2.5201829999999998</v>
      </c>
      <c r="H29">
        <v>2.5521250000000002</v>
      </c>
      <c r="I29">
        <v>2.578268</v>
      </c>
      <c r="J29">
        <v>2.610671</v>
      </c>
      <c r="K29">
        <v>2.632628</v>
      </c>
      <c r="L29">
        <v>2.6518549999999999</v>
      </c>
      <c r="M29">
        <v>2.679341</v>
      </c>
      <c r="N29">
        <v>2.6938659999999999</v>
      </c>
      <c r="O29">
        <v>2.718448</v>
      </c>
      <c r="P29">
        <v>2.7232590000000001</v>
      </c>
      <c r="Q29">
        <v>2.719757</v>
      </c>
      <c r="R29">
        <v>2.7217220000000002</v>
      </c>
      <c r="S29">
        <v>2.728361</v>
      </c>
      <c r="T29">
        <v>2.733765</v>
      </c>
      <c r="U29">
        <v>2.7329500000000002</v>
      </c>
      <c r="V29">
        <v>2.731128</v>
      </c>
      <c r="W29">
        <v>2.7044830000000002</v>
      </c>
      <c r="X29">
        <v>2.689578</v>
      </c>
      <c r="Y29">
        <v>2.6901220000000001</v>
      </c>
      <c r="Z29">
        <v>2.6940810000000002</v>
      </c>
      <c r="AA29">
        <v>2.6737169999999999</v>
      </c>
      <c r="AB29">
        <v>2.6635939999999998</v>
      </c>
      <c r="AC29">
        <v>2.6710060000000002</v>
      </c>
      <c r="AD29" s="4">
        <v>0.14099281957872642</v>
      </c>
    </row>
    <row r="30" spans="1:30" x14ac:dyDescent="0.25">
      <c r="A30" t="s">
        <v>76</v>
      </c>
      <c r="B30" t="s">
        <v>56</v>
      </c>
      <c r="C30">
        <v>1.2812319999999999</v>
      </c>
      <c r="D30">
        <v>1.291771</v>
      </c>
      <c r="E30">
        <v>1.324724</v>
      </c>
      <c r="F30">
        <v>1.35321</v>
      </c>
      <c r="G30">
        <v>1.380649</v>
      </c>
      <c r="H30">
        <v>1.409173</v>
      </c>
      <c r="I30">
        <v>1.434823</v>
      </c>
      <c r="J30">
        <v>1.4549840000000001</v>
      </c>
      <c r="K30">
        <v>1.468456</v>
      </c>
      <c r="L30">
        <v>1.477373</v>
      </c>
      <c r="M30">
        <v>1.483061</v>
      </c>
      <c r="N30">
        <v>1.4863379999999999</v>
      </c>
      <c r="O30">
        <v>1.488934</v>
      </c>
      <c r="P30">
        <v>1.4908669999999999</v>
      </c>
      <c r="Q30">
        <v>1.494936</v>
      </c>
      <c r="R30">
        <v>1.50085</v>
      </c>
      <c r="S30">
        <v>1.506661</v>
      </c>
      <c r="T30">
        <v>1.512529</v>
      </c>
      <c r="U30">
        <v>1.518162</v>
      </c>
      <c r="V30">
        <v>1.5235639999999999</v>
      </c>
      <c r="W30">
        <v>1.518138</v>
      </c>
      <c r="X30">
        <v>1.517687</v>
      </c>
      <c r="Y30">
        <v>1.5252680000000001</v>
      </c>
      <c r="Z30">
        <v>1.5339700000000001</v>
      </c>
      <c r="AA30">
        <v>1.532179</v>
      </c>
      <c r="AB30">
        <v>1.533954</v>
      </c>
      <c r="AC30">
        <v>1.5417110000000001</v>
      </c>
      <c r="AD30" s="4">
        <v>0.2033035390936225</v>
      </c>
    </row>
    <row r="31" spans="1:30" x14ac:dyDescent="0.25">
      <c r="A31" t="s">
        <v>77</v>
      </c>
      <c r="B31" t="s">
        <v>54</v>
      </c>
      <c r="C31">
        <v>6.3911579999999999</v>
      </c>
      <c r="D31">
        <v>5.9383609999999996</v>
      </c>
      <c r="E31">
        <v>5.9871309999999998</v>
      </c>
      <c r="F31">
        <v>5.9395990000000003</v>
      </c>
      <c r="G31">
        <v>6.097594</v>
      </c>
      <c r="H31">
        <v>6.9043239999999999</v>
      </c>
      <c r="I31">
        <v>7.4160190000000004</v>
      </c>
      <c r="J31">
        <v>8.8785270000000001</v>
      </c>
      <c r="K31">
        <v>9.1500769999999996</v>
      </c>
      <c r="L31">
        <v>9.025385</v>
      </c>
      <c r="M31">
        <v>8.5890120000000003</v>
      </c>
      <c r="N31">
        <v>7.8593029999999997</v>
      </c>
      <c r="O31">
        <v>7.2549099999999997</v>
      </c>
      <c r="P31">
        <v>6.6809989999999999</v>
      </c>
      <c r="Q31">
        <v>7.1551130000000001</v>
      </c>
      <c r="R31">
        <v>7.3494429999999999</v>
      </c>
      <c r="S31">
        <v>7.6325000000000003</v>
      </c>
      <c r="T31">
        <v>7.7799839999999998</v>
      </c>
      <c r="U31">
        <v>7.8661810000000001</v>
      </c>
      <c r="V31">
        <v>7.9235540000000002</v>
      </c>
      <c r="W31">
        <v>8.1895910000000001</v>
      </c>
      <c r="X31">
        <v>8.335585</v>
      </c>
      <c r="Y31">
        <v>8.8152310000000007</v>
      </c>
      <c r="Z31">
        <v>9.2321010000000001</v>
      </c>
      <c r="AA31">
        <v>9.6634930000000008</v>
      </c>
      <c r="AB31">
        <v>10.109272000000001</v>
      </c>
      <c r="AC31">
        <v>10.592978</v>
      </c>
      <c r="AD31" s="4" cm="1">
        <f t="array" ref="AD31:AD33">(AC31:AC33-C31:C33)/C31:C33</f>
        <v>0.65744267314311433</v>
      </c>
    </row>
    <row r="32" spans="1:30" x14ac:dyDescent="0.25">
      <c r="A32" t="s">
        <v>77</v>
      </c>
      <c r="B32" t="s">
        <v>55</v>
      </c>
      <c r="C32">
        <v>2.3409490000000002</v>
      </c>
      <c r="D32">
        <v>2.419146</v>
      </c>
      <c r="E32">
        <v>2.5366849999999999</v>
      </c>
      <c r="F32">
        <v>2.6391749999999998</v>
      </c>
      <c r="G32">
        <v>2.7162009999999999</v>
      </c>
      <c r="H32">
        <v>2.79162</v>
      </c>
      <c r="I32">
        <v>2.8645890000000001</v>
      </c>
      <c r="J32">
        <v>2.9512990000000001</v>
      </c>
      <c r="K32">
        <v>3.0283000000000002</v>
      </c>
      <c r="L32">
        <v>3.1039430000000001</v>
      </c>
      <c r="M32">
        <v>3.1909709999999998</v>
      </c>
      <c r="N32">
        <v>3.2638060000000002</v>
      </c>
      <c r="O32">
        <v>3.350095</v>
      </c>
      <c r="P32">
        <v>3.4161220000000001</v>
      </c>
      <c r="Q32">
        <v>3.4753669999999999</v>
      </c>
      <c r="R32">
        <v>3.5457920000000001</v>
      </c>
      <c r="S32">
        <v>3.6284770000000002</v>
      </c>
      <c r="T32">
        <v>3.7157460000000002</v>
      </c>
      <c r="U32">
        <v>3.7995049999999999</v>
      </c>
      <c r="V32">
        <v>3.8863639999999999</v>
      </c>
      <c r="W32">
        <v>3.9417239999999998</v>
      </c>
      <c r="X32">
        <v>4.0157660000000002</v>
      </c>
      <c r="Y32">
        <v>4.1149399999999998</v>
      </c>
      <c r="Z32">
        <v>4.2214600000000004</v>
      </c>
      <c r="AA32">
        <v>4.2900429999999998</v>
      </c>
      <c r="AB32">
        <v>4.3751800000000003</v>
      </c>
      <c r="AC32">
        <v>4.4891610000000002</v>
      </c>
      <c r="AD32" s="4">
        <v>0.91766715122798481</v>
      </c>
    </row>
    <row r="33" spans="1:30" x14ac:dyDescent="0.25">
      <c r="A33" t="s">
        <v>77</v>
      </c>
      <c r="B33" t="s">
        <v>56</v>
      </c>
      <c r="C33">
        <v>1.2812319999999999</v>
      </c>
      <c r="D33">
        <v>1.3214109999999999</v>
      </c>
      <c r="E33">
        <v>1.3794010000000001</v>
      </c>
      <c r="F33">
        <v>1.433316</v>
      </c>
      <c r="G33">
        <v>1.488035</v>
      </c>
      <c r="H33">
        <v>1.5414110000000001</v>
      </c>
      <c r="I33">
        <v>1.5941620000000001</v>
      </c>
      <c r="J33">
        <v>1.6448240000000001</v>
      </c>
      <c r="K33">
        <v>1.6891579999999999</v>
      </c>
      <c r="L33">
        <v>1.729236</v>
      </c>
      <c r="M33">
        <v>1.766257</v>
      </c>
      <c r="N33">
        <v>1.8008010000000001</v>
      </c>
      <c r="O33">
        <v>1.834897</v>
      </c>
      <c r="P33">
        <v>1.870179</v>
      </c>
      <c r="Q33">
        <v>1.9102619999999999</v>
      </c>
      <c r="R33">
        <v>1.955271</v>
      </c>
      <c r="S33">
        <v>2.0037240000000001</v>
      </c>
      <c r="T33">
        <v>2.0558360000000002</v>
      </c>
      <c r="U33">
        <v>2.110636</v>
      </c>
      <c r="V33">
        <v>2.1680139999999999</v>
      </c>
      <c r="W33">
        <v>2.2126519999999998</v>
      </c>
      <c r="X33">
        <v>2.266035</v>
      </c>
      <c r="Y33">
        <v>2.3331230000000001</v>
      </c>
      <c r="Z33">
        <v>2.4036369999999998</v>
      </c>
      <c r="AA33">
        <v>2.4584190000000001</v>
      </c>
      <c r="AB33">
        <v>2.5196499999999999</v>
      </c>
      <c r="AC33">
        <v>2.591154</v>
      </c>
      <c r="AD33" s="4">
        <v>1.0223925097094049</v>
      </c>
    </row>
    <row r="34" spans="1:30" x14ac:dyDescent="0.25">
      <c r="A34" t="s">
        <v>57</v>
      </c>
      <c r="B34" t="s">
        <v>58</v>
      </c>
      <c r="C34">
        <v>37.811751999999998</v>
      </c>
      <c r="D34">
        <v>34.382660000000001</v>
      </c>
      <c r="E34">
        <v>33.328625000000002</v>
      </c>
      <c r="F34">
        <v>28.781556999999999</v>
      </c>
      <c r="G34">
        <v>31.024623999999999</v>
      </c>
      <c r="H34">
        <v>30.818498999999999</v>
      </c>
      <c r="I34">
        <v>24.121127999999999</v>
      </c>
      <c r="J34">
        <v>23.701794</v>
      </c>
      <c r="K34">
        <v>19.226063</v>
      </c>
      <c r="L34">
        <v>16.294813000000001</v>
      </c>
      <c r="M34">
        <v>16.138121000000002</v>
      </c>
      <c r="N34">
        <v>13.032921</v>
      </c>
      <c r="O34">
        <v>11.762411</v>
      </c>
      <c r="P34">
        <v>11.957627</v>
      </c>
      <c r="Q34">
        <v>12.673208000000001</v>
      </c>
      <c r="R34">
        <v>11.158628999999999</v>
      </c>
      <c r="S34">
        <v>10.942871999999999</v>
      </c>
      <c r="T34">
        <v>11.076472000000001</v>
      </c>
      <c r="U34">
        <v>11.338406000000001</v>
      </c>
      <c r="V34">
        <v>11.641576000000001</v>
      </c>
      <c r="W34">
        <v>11.885687000000001</v>
      </c>
      <c r="X34">
        <v>12.283783</v>
      </c>
      <c r="Y34">
        <v>12.116585000000001</v>
      </c>
      <c r="Z34">
        <v>12.167085999999999</v>
      </c>
      <c r="AA34">
        <v>12.629375</v>
      </c>
      <c r="AB34">
        <v>12.522251000000001</v>
      </c>
      <c r="AC34">
        <v>12.827437</v>
      </c>
      <c r="AD34" s="4" cm="1">
        <f t="array" ref="AD34:AD38">(AC34:AC38-C34:C38)/C34:C38</f>
        <v>-0.66075528581695975</v>
      </c>
    </row>
    <row r="35" spans="1:30" x14ac:dyDescent="0.25">
      <c r="A35" t="s">
        <v>57</v>
      </c>
      <c r="B35" t="s">
        <v>60</v>
      </c>
      <c r="C35">
        <v>138.64309700000001</v>
      </c>
      <c r="D35">
        <v>126.069817</v>
      </c>
      <c r="E35">
        <v>122.20491</v>
      </c>
      <c r="F35">
        <v>105.532471</v>
      </c>
      <c r="G35">
        <v>113.756981</v>
      </c>
      <c r="H35">
        <v>113.00116</v>
      </c>
      <c r="I35">
        <v>88.444182999999995</v>
      </c>
      <c r="J35">
        <v>86.906647000000007</v>
      </c>
      <c r="K35">
        <v>70.495559999999998</v>
      </c>
      <c r="L35">
        <v>59.747619999999998</v>
      </c>
      <c r="M35">
        <v>59.173152999999999</v>
      </c>
      <c r="N35">
        <v>47.787399000000001</v>
      </c>
      <c r="O35">
        <v>43.128841000000001</v>
      </c>
      <c r="P35">
        <v>43.844631</v>
      </c>
      <c r="Q35">
        <v>46.468429999999998</v>
      </c>
      <c r="R35">
        <v>40.914993000000003</v>
      </c>
      <c r="S35">
        <v>40.123871000000001</v>
      </c>
      <c r="T35">
        <v>40.613739000000002</v>
      </c>
      <c r="U35">
        <v>41.574145999999999</v>
      </c>
      <c r="V35">
        <v>42.685783000000001</v>
      </c>
      <c r="W35">
        <v>43.580849000000001</v>
      </c>
      <c r="X35">
        <v>45.040545999999999</v>
      </c>
      <c r="Y35">
        <v>44.427464000000001</v>
      </c>
      <c r="Z35">
        <v>44.612639999999999</v>
      </c>
      <c r="AA35">
        <v>46.307701000000002</v>
      </c>
      <c r="AB35">
        <v>45.914928000000003</v>
      </c>
      <c r="AC35">
        <v>47.033912999999998</v>
      </c>
      <c r="AD35" s="4">
        <v>-0.66075546480327119</v>
      </c>
    </row>
    <row r="36" spans="1:30" x14ac:dyDescent="0.25">
      <c r="A36" t="s">
        <v>57</v>
      </c>
      <c r="B36" t="s">
        <v>61</v>
      </c>
      <c r="C36">
        <v>1.5056E-2</v>
      </c>
      <c r="D36">
        <v>1.2952E-2</v>
      </c>
      <c r="E36">
        <v>1.4862999999999999E-2</v>
      </c>
      <c r="F36">
        <v>1.1021E-2</v>
      </c>
      <c r="G36">
        <v>1.1395000000000001E-2</v>
      </c>
      <c r="H36">
        <v>1.0581999999999999E-2</v>
      </c>
      <c r="I36">
        <v>9.0259999999999993E-3</v>
      </c>
      <c r="J36">
        <v>1.0118E-2</v>
      </c>
      <c r="K36">
        <v>6.7860000000000004E-3</v>
      </c>
      <c r="L36">
        <v>4.9179999999999996E-3</v>
      </c>
      <c r="M36">
        <v>4.3379999999999998E-3</v>
      </c>
      <c r="N36">
        <v>4.065E-3</v>
      </c>
      <c r="O36">
        <v>3.0270000000000002E-3</v>
      </c>
      <c r="P36">
        <v>2.222E-3</v>
      </c>
      <c r="Q36">
        <v>2.101E-3</v>
      </c>
      <c r="R36">
        <v>5.8999999999999999E-3</v>
      </c>
      <c r="S36">
        <v>5.9160000000000003E-3</v>
      </c>
      <c r="T36">
        <v>5.5820000000000002E-3</v>
      </c>
      <c r="U36">
        <v>5.6429999999999996E-3</v>
      </c>
      <c r="V36">
        <v>5.6610000000000002E-3</v>
      </c>
      <c r="W36">
        <v>2.5339999999999998E-3</v>
      </c>
      <c r="X36">
        <v>2.5439999999999998E-3</v>
      </c>
      <c r="Y36">
        <v>2.5539999999999998E-3</v>
      </c>
      <c r="Z36">
        <v>2.5530000000000001E-3</v>
      </c>
      <c r="AA36">
        <v>6.3299999999999999E-4</v>
      </c>
      <c r="AB36">
        <v>5.4500000000000002E-4</v>
      </c>
      <c r="AC36">
        <v>4.8099999999999998E-4</v>
      </c>
      <c r="AD36" s="4">
        <v>-0.96805260361317746</v>
      </c>
    </row>
    <row r="37" spans="1:30" x14ac:dyDescent="0.25">
      <c r="A37" t="s">
        <v>57</v>
      </c>
      <c r="B37" t="s">
        <v>62</v>
      </c>
      <c r="C37">
        <v>5.0698E-2</v>
      </c>
      <c r="D37">
        <v>4.9399999999999999E-2</v>
      </c>
      <c r="E37">
        <v>6.0425E-2</v>
      </c>
      <c r="F37">
        <v>4.7618000000000001E-2</v>
      </c>
      <c r="G37">
        <v>5.8376999999999998E-2</v>
      </c>
      <c r="H37">
        <v>5.9254000000000001E-2</v>
      </c>
      <c r="I37">
        <v>5.9958999999999998E-2</v>
      </c>
      <c r="J37">
        <v>4.9805000000000002E-2</v>
      </c>
      <c r="K37">
        <v>2.7550000000000002E-2</v>
      </c>
      <c r="L37">
        <v>2.4934999999999999E-2</v>
      </c>
      <c r="M37">
        <v>2.6381000000000002E-2</v>
      </c>
      <c r="N37">
        <v>2.3438000000000001E-2</v>
      </c>
      <c r="O37">
        <v>2.2384999999999999E-2</v>
      </c>
      <c r="P37">
        <v>2.2471999999999999E-2</v>
      </c>
      <c r="Q37">
        <v>2.2527999999999999E-2</v>
      </c>
      <c r="R37">
        <v>2.4774000000000001E-2</v>
      </c>
      <c r="S37">
        <v>2.5682E-2</v>
      </c>
      <c r="T37">
        <v>2.5877000000000001E-2</v>
      </c>
      <c r="U37">
        <v>2.6557999999999998E-2</v>
      </c>
      <c r="V37">
        <v>2.6512999999999998E-2</v>
      </c>
      <c r="W37">
        <v>2.5503999999999999E-2</v>
      </c>
      <c r="X37">
        <v>2.6363999999999999E-2</v>
      </c>
      <c r="Y37">
        <v>2.7085999999999999E-2</v>
      </c>
      <c r="Z37">
        <v>2.5617000000000001E-2</v>
      </c>
      <c r="AA37">
        <v>2.4136999999999999E-2</v>
      </c>
      <c r="AB37">
        <v>2.4503E-2</v>
      </c>
      <c r="AC37">
        <v>2.3675000000000002E-2</v>
      </c>
      <c r="AD37" s="4">
        <v>-0.53301905400607519</v>
      </c>
    </row>
    <row r="38" spans="1:30" x14ac:dyDescent="0.25">
      <c r="A38" t="s">
        <v>57</v>
      </c>
      <c r="B38" t="s">
        <v>63</v>
      </c>
      <c r="C38">
        <v>0.17636399999999999</v>
      </c>
      <c r="D38">
        <v>0.17832999999999999</v>
      </c>
      <c r="E38">
        <v>0.24645</v>
      </c>
      <c r="F38">
        <v>0.18861900000000001</v>
      </c>
      <c r="G38">
        <v>0.23030400000000001</v>
      </c>
      <c r="H38">
        <v>0.25064399999999998</v>
      </c>
      <c r="I38">
        <v>0.15291099999999999</v>
      </c>
      <c r="J38">
        <v>0.16387399999999999</v>
      </c>
      <c r="K38">
        <v>0.12901699999999999</v>
      </c>
      <c r="L38">
        <v>0.100309</v>
      </c>
      <c r="M38">
        <v>0.100801</v>
      </c>
      <c r="N38">
        <v>8.3783999999999997E-2</v>
      </c>
      <c r="O38">
        <v>7.3300000000000004E-2</v>
      </c>
      <c r="P38">
        <v>6.7416000000000004E-2</v>
      </c>
      <c r="Q38">
        <v>7.3353000000000002E-2</v>
      </c>
      <c r="R38">
        <v>5.6989999999999999E-2</v>
      </c>
      <c r="S38">
        <v>5.7096000000000001E-2</v>
      </c>
      <c r="T38">
        <v>4.9227E-2</v>
      </c>
      <c r="U38">
        <v>4.9713E-2</v>
      </c>
      <c r="V38">
        <v>4.9785000000000003E-2</v>
      </c>
      <c r="W38">
        <v>2.3373999999999999E-2</v>
      </c>
      <c r="X38">
        <v>2.3619000000000001E-2</v>
      </c>
      <c r="Y38">
        <v>2.3609999999999999E-2</v>
      </c>
      <c r="Z38">
        <v>2.3719E-2</v>
      </c>
      <c r="AA38">
        <v>6.7650000000000002E-3</v>
      </c>
      <c r="AB38">
        <v>6.561E-3</v>
      </c>
      <c r="AC38">
        <v>6.3629999999999997E-3</v>
      </c>
      <c r="AD38" s="4">
        <v>-0.96392120840987949</v>
      </c>
    </row>
    <row r="39" spans="1:30" x14ac:dyDescent="0.25">
      <c r="A39" t="s">
        <v>70</v>
      </c>
      <c r="B39" t="s">
        <v>66</v>
      </c>
      <c r="C39" cm="1">
        <f t="array" ref="C39:C42">907185*C34:C37*10^6/(C17*10^9)</f>
        <v>81.208863593929777</v>
      </c>
      <c r="D39" cm="1">
        <f t="array" ref="D39:D42">907185*D34:D37*10^6/(D17*10^9)</f>
        <v>73.561588261698674</v>
      </c>
      <c r="E39" cm="1">
        <f t="array" ref="E39:E42">907185*E34:E37*10^6/(E17*10^9)</f>
        <v>70.904928594504625</v>
      </c>
      <c r="F39" cm="1">
        <f t="array" ref="F39:F42">907185*F34:F37*10^6/(F17*10^9)</f>
        <v>60.483240742772146</v>
      </c>
      <c r="G39" cm="1">
        <f t="array" ref="G39:G42">907185*G34:G37*10^6/(G17*10^9)</f>
        <v>64.892649124797231</v>
      </c>
      <c r="H39" cm="1">
        <f t="array" ref="H39:H42">907185*H34:H37*10^6/(H17*10^9)</f>
        <v>64.204465047255169</v>
      </c>
      <c r="I39" cm="1">
        <f t="array" ref="I39:I42">907185*I34:I37*10^6/(I17*10^9)</f>
        <v>49.934795361743106</v>
      </c>
      <c r="J39" cm="1">
        <f t="array" ref="J39:J42">907185*J34:J37*10^6/(J17*10^9)</f>
        <v>48.932434597165212</v>
      </c>
      <c r="K39" cm="1">
        <f t="array" ref="K39:K42">907185*K34:K37*10^6/(K17*10^9)</f>
        <v>38.940441805855457</v>
      </c>
      <c r="L39" cm="1">
        <f t="array" ref="L39:L42">907185*L34:L37*10^6/(L17*10^9)</f>
        <v>32.33876075968481</v>
      </c>
      <c r="M39" cm="1">
        <f t="array" ref="M39:M42">907185*M34:M37*10^6/(M17*10^9)</f>
        <v>31.380043643813931</v>
      </c>
      <c r="N39" cm="1">
        <f t="array" ref="N39:N42">907185*N34:N37*10^6/(N17*10^9)</f>
        <v>24.779076547223497</v>
      </c>
      <c r="O39" cm="1">
        <f t="array" ref="O39:O42">907185*O34:O37*10^6/(O17*10^9)</f>
        <v>21.833243960944401</v>
      </c>
      <c r="P39" cm="1">
        <f t="array" ref="P39:P42">907185*P34:P37*10^6/(P17*10^9)</f>
        <v>21.710847653895662</v>
      </c>
      <c r="Q39" cm="1">
        <f t="array" ref="Q39:Q42">907185*Q34:Q37*10^6/(Q17*10^9)</f>
        <v>22.590826087798799</v>
      </c>
      <c r="R39" cm="1">
        <f t="array" ref="R39:R42">907185*R34:R37*10^6/(R17*10^9)</f>
        <v>19.522300665461515</v>
      </c>
      <c r="S39" cm="1">
        <f t="array" ref="S39:S42">907185*S34:S37*10^6/(S17*10^9)</f>
        <v>18.879742738452915</v>
      </c>
      <c r="T39" cm="1">
        <f t="array" ref="T39:T42">907185*T34:T37*10^6/(T17*10^9)</f>
        <v>18.909847026584362</v>
      </c>
      <c r="U39" cm="1">
        <f t="array" ref="U39:U42">907185*U34:U37*10^6/(U17*10^9)</f>
        <v>19.090014857798312</v>
      </c>
      <c r="V39" cm="1">
        <f t="array" ref="V39:V42">907185*V34:V37*10^6/(V17*10^9)</f>
        <v>19.336722635777903</v>
      </c>
      <c r="W39" cm="1">
        <f t="array" ref="W39:W42">907185*W34:W37*10^6/(W17*10^9)</f>
        <v>19.477603988158375</v>
      </c>
      <c r="X39" cm="1">
        <f t="array" ref="X39:X42">907185*X34:X37*10^6/(X17*10^9)</f>
        <v>19.884603616121446</v>
      </c>
      <c r="Y39" cm="1">
        <f t="array" ref="Y39:Y42">907185*Y34:Y37*10^6/(Y17*10^9)</f>
        <v>19.417041155472546</v>
      </c>
      <c r="Z39" cm="1">
        <f t="array" ref="Z39:Z42">907185*Z34:Z37*10^6/(Z17*10^9)</f>
        <v>19.30733996574352</v>
      </c>
      <c r="AA39" cm="1">
        <f t="array" ref="AA39:AA42">907185*AA34:AA37*10^6/(AA17*10^9)</f>
        <v>19.843986654981766</v>
      </c>
      <c r="AB39" cm="1">
        <f t="array" ref="AB39:AB42">907185*AB34:AB37*10^6/(AB17*10^9)</f>
        <v>19.476013537701917</v>
      </c>
      <c r="AC39" cm="1">
        <f t="array" ref="AC39:AC42">907185*AC34:AC37*10^6/(AC17*10^9)</f>
        <v>19.748932594026378</v>
      </c>
      <c r="AD39" s="4" cm="1">
        <f t="array" ref="AD39:AD43">(AC39:AC43-C39:C43)/C39:C43</f>
        <v>-0.75681309009842401</v>
      </c>
    </row>
    <row r="40" spans="1:30" x14ac:dyDescent="0.25">
      <c r="A40" t="s">
        <v>70</v>
      </c>
      <c r="B40" t="s">
        <v>67</v>
      </c>
      <c r="C40">
        <v>297.76584677993702</v>
      </c>
      <c r="D40">
        <v>269.72595984085285</v>
      </c>
      <c r="E40">
        <v>259.98463535317956</v>
      </c>
      <c r="F40">
        <v>221.77208306251882</v>
      </c>
      <c r="G40">
        <v>237.93976853770172</v>
      </c>
      <c r="H40">
        <v>235.41636559000779</v>
      </c>
      <c r="I40">
        <v>183.09434695763642</v>
      </c>
      <c r="J40">
        <v>179.41906930700796</v>
      </c>
      <c r="K40">
        <v>142.78161117807591</v>
      </c>
      <c r="L40">
        <v>118.5754012114505</v>
      </c>
      <c r="M40">
        <v>115.06024299124284</v>
      </c>
      <c r="N40">
        <v>90.856655834383687</v>
      </c>
      <c r="O40">
        <v>80.055229094254685</v>
      </c>
      <c r="P40">
        <v>79.606438976752742</v>
      </c>
      <c r="Q40">
        <v>82.833030176972741</v>
      </c>
      <c r="R40">
        <v>71.581804097192702</v>
      </c>
      <c r="S40">
        <v>69.225735451430978</v>
      </c>
      <c r="T40">
        <v>69.336119990880078</v>
      </c>
      <c r="U40">
        <v>69.996705431105227</v>
      </c>
      <c r="V40">
        <v>70.901323528876475</v>
      </c>
      <c r="W40">
        <v>71.417875827432425</v>
      </c>
      <c r="X40">
        <v>72.910226748851258</v>
      </c>
      <c r="Y40">
        <v>71.195794600646551</v>
      </c>
      <c r="Z40">
        <v>70.793566121693217</v>
      </c>
      <c r="AA40">
        <v>72.761272879052683</v>
      </c>
      <c r="AB40">
        <v>71.412061562302881</v>
      </c>
      <c r="AC40">
        <v>72.412717947498081</v>
      </c>
      <c r="AD40" s="4">
        <v>-0.75681321840441118</v>
      </c>
    </row>
    <row r="41" spans="1:30" x14ac:dyDescent="0.25">
      <c r="A41" t="s">
        <v>70</v>
      </c>
      <c r="B41" t="s">
        <v>68</v>
      </c>
      <c r="C41">
        <v>3.2335995704991585E-2</v>
      </c>
      <c r="D41">
        <v>2.7710761504942349E-2</v>
      </c>
      <c r="E41">
        <v>3.1620264973431164E-2</v>
      </c>
      <c r="F41">
        <v>2.3160171502399674E-2</v>
      </c>
      <c r="G41">
        <v>2.3834349669380833E-2</v>
      </c>
      <c r="H41">
        <v>2.2045578830106365E-2</v>
      </c>
      <c r="I41">
        <v>1.8685339381105778E-2</v>
      </c>
      <c r="J41">
        <v>2.0888645528440494E-2</v>
      </c>
      <c r="K41">
        <v>1.3744355154486656E-2</v>
      </c>
      <c r="L41">
        <v>9.7602853997851898E-3</v>
      </c>
      <c r="M41">
        <v>8.435097823771727E-3</v>
      </c>
      <c r="N41">
        <v>7.7286547017712702E-3</v>
      </c>
      <c r="O41">
        <v>5.6186805128454276E-3</v>
      </c>
      <c r="P41">
        <v>4.0343709907455852E-3</v>
      </c>
      <c r="Q41">
        <v>3.7451705685304995E-3</v>
      </c>
      <c r="R41">
        <v>1.0322197639712096E-2</v>
      </c>
      <c r="S41">
        <v>1.0206877869053704E-2</v>
      </c>
      <c r="T41">
        <v>9.52963778560483E-3</v>
      </c>
      <c r="U41">
        <v>9.5008904992955646E-3</v>
      </c>
      <c r="V41">
        <v>9.4029525590984195E-3</v>
      </c>
      <c r="W41">
        <v>4.1525785178419478E-3</v>
      </c>
      <c r="X41">
        <v>4.1181476096910016E-3</v>
      </c>
      <c r="Y41">
        <v>4.0928300433725239E-3</v>
      </c>
      <c r="Z41">
        <v>4.0512279548729421E-3</v>
      </c>
      <c r="AA41">
        <v>9.9460531915502226E-4</v>
      </c>
      <c r="AB41">
        <v>8.4764531377366152E-4</v>
      </c>
      <c r="AC41">
        <v>7.4054049750754474E-4</v>
      </c>
      <c r="AD41" s="4">
        <v>-0.97709857137959621</v>
      </c>
    </row>
    <row r="42" spans="1:30" x14ac:dyDescent="0.25">
      <c r="A42" t="s">
        <v>70</v>
      </c>
      <c r="B42" t="s">
        <v>69</v>
      </c>
      <c r="C42">
        <v>0.10888485057463226</v>
      </c>
      <c r="D42">
        <v>0.10569113792033293</v>
      </c>
      <c r="E42">
        <v>0.12855106714792289</v>
      </c>
      <c r="F42">
        <v>0.1000672395065119</v>
      </c>
      <c r="G42">
        <v>0.12210424139091219</v>
      </c>
      <c r="H42">
        <v>0.12344440824032533</v>
      </c>
      <c r="I42">
        <v>0.124125223127822</v>
      </c>
      <c r="J42">
        <v>0.10282259246333059</v>
      </c>
      <c r="K42">
        <v>5.5799732464796255E-2</v>
      </c>
      <c r="L42">
        <v>4.9486115584311444E-2</v>
      </c>
      <c r="M42">
        <v>5.1296983791821564E-2</v>
      </c>
      <c r="N42">
        <v>4.4561921008638379E-2</v>
      </c>
      <c r="O42">
        <v>4.1550764215409618E-2</v>
      </c>
      <c r="P42">
        <v>4.0801253332148867E-2</v>
      </c>
      <c r="Q42">
        <v>4.015764044162546E-2</v>
      </c>
      <c r="R42">
        <v>4.3342732936648719E-2</v>
      </c>
      <c r="S42">
        <v>4.4309167923096214E-2</v>
      </c>
      <c r="T42">
        <v>4.4177434069884662E-2</v>
      </c>
      <c r="U42">
        <v>4.4714628722362502E-2</v>
      </c>
      <c r="V42">
        <v>4.4038240805401217E-2</v>
      </c>
      <c r="W42">
        <v>4.1794539273496863E-2</v>
      </c>
      <c r="X42">
        <v>4.2677218389109102E-2</v>
      </c>
      <c r="Y42">
        <v>4.3405792699603832E-2</v>
      </c>
      <c r="Z42">
        <v>4.065033549548773E-2</v>
      </c>
      <c r="AA42">
        <v>3.7925416411445131E-2</v>
      </c>
      <c r="AB42">
        <v>3.810982224476335E-2</v>
      </c>
      <c r="AC42">
        <v>3.6449680412663457E-2</v>
      </c>
      <c r="AD42" s="4">
        <v>-0.66524562213840777</v>
      </c>
    </row>
    <row r="43" spans="1:30" x14ac:dyDescent="0.25">
      <c r="A43" t="s">
        <v>70</v>
      </c>
      <c r="B43" t="s">
        <v>65</v>
      </c>
      <c r="C43">
        <f>907185*C38/(C17*10^9)</f>
        <v>3.7877959262188731E-7</v>
      </c>
      <c r="D43">
        <f>907185*D38/(D17*10^9)</f>
        <v>3.8153644990552565E-7</v>
      </c>
      <c r="E43">
        <f>907185*E38/(E17*10^9)</f>
        <v>5.2430964830129243E-7</v>
      </c>
      <c r="F43">
        <f>907185*F38/(F17*10^9)</f>
        <v>3.9637495586708325E-7</v>
      </c>
      <c r="G43">
        <f>907185*G38/(G17*10^9)</f>
        <v>4.8171531954866894E-7</v>
      </c>
      <c r="H43">
        <f>907185*H38/(H17*10^9)</f>
        <v>5.2216897186667728E-7</v>
      </c>
      <c r="I43">
        <f>907185*I38/(I17*10^9)</f>
        <v>3.1655151009353709E-7</v>
      </c>
      <c r="J43">
        <f>907185*J38/(J17*10^9)</f>
        <v>3.3831843223242315E-7</v>
      </c>
      <c r="K43">
        <f>907185*K38/(K17*10^9)</f>
        <v>2.6131085602216392E-7</v>
      </c>
      <c r="L43">
        <f>907185*L38/(L17*10^9)</f>
        <v>1.9907370235198304E-7</v>
      </c>
      <c r="M43">
        <f>907185*M38/(M17*10^9)</f>
        <v>1.9600421755048727E-7</v>
      </c>
      <c r="N43">
        <f>907185*N38/(N17*10^9)</f>
        <v>1.592958439196074E-7</v>
      </c>
      <c r="O43">
        <f>907185*O38/(O17*10^9)</f>
        <v>1.360585667629897E-7</v>
      </c>
      <c r="P43">
        <f>907185*P38/(P17*10^9)</f>
        <v>1.2240375999644661E-7</v>
      </c>
      <c r="Q43">
        <f>907185*Q38/(Q17*10^9)</f>
        <v>1.3075654293832353E-7</v>
      </c>
      <c r="R43">
        <f>907185*R38/(R17*10^9)</f>
        <v>9.9705431099524115E-8</v>
      </c>
      <c r="S43">
        <f>907185*S38/(S17*10^9)</f>
        <v>9.8507758419792129E-8</v>
      </c>
      <c r="T43">
        <f>907185*T38/(T17*10^9)</f>
        <v>8.4040752288063231E-8</v>
      </c>
      <c r="U43">
        <f>907185*U38/(U17*10^9)</f>
        <v>8.3699764201928147E-8</v>
      </c>
      <c r="V43">
        <f>907185*V38/(V17*10^9)</f>
        <v>8.2693162542786564E-8</v>
      </c>
      <c r="W43">
        <f>907185*W38/(W17*10^9)</f>
        <v>3.8304013526455293E-8</v>
      </c>
      <c r="X43">
        <f>907185*X38/(X17*10^9)</f>
        <v>3.8233698267803363E-8</v>
      </c>
      <c r="Y43">
        <f>907185*Y38/(Y17*10^9)</f>
        <v>3.7835441395468016E-8</v>
      </c>
      <c r="Z43">
        <f>907185*Z38/(Z17*10^9)</f>
        <v>3.7638494266208904E-8</v>
      </c>
      <c r="AA43">
        <f>907185*AA38/(AA17*10^9)</f>
        <v>1.0629549737888982E-8</v>
      </c>
      <c r="AB43">
        <f>907185*AB38/(AB17*10^9)</f>
        <v>1.0204405327833015E-8</v>
      </c>
      <c r="AC43">
        <f>907185*AC38/(AC17*10^9)</f>
        <v>9.7963808433274569E-9</v>
      </c>
      <c r="AD43" s="4">
        <v>-0.97413698880787758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43"/>
  <sheetViews>
    <sheetView tabSelected="1" zoomScale="70" zoomScaleNormal="70" workbookViewId="0">
      <selection activeCell="B16" sqref="B16:B17"/>
    </sheetView>
  </sheetViews>
  <sheetFormatPr defaultRowHeight="15" x14ac:dyDescent="0.25"/>
  <cols>
    <col min="1" max="1" width="44.7109375" bestFit="1" customWidth="1"/>
    <col min="2" max="2" width="16.140625" bestFit="1" customWidth="1"/>
    <col min="3" max="29" width="12.7109375" bestFit="1" customWidth="1"/>
    <col min="30" max="30" width="19.42578125" bestFit="1" customWidth="1"/>
  </cols>
  <sheetData>
    <row r="1" spans="1:30" s="3" customFormat="1" ht="15.75" thickBot="1" x14ac:dyDescent="0.3">
      <c r="A1" s="3" t="s">
        <v>72</v>
      </c>
      <c r="B1" s="1" t="s">
        <v>73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</row>
    <row r="2" spans="1:30" ht="15.75" thickTop="1" x14ac:dyDescent="0.25">
      <c r="A2" t="s">
        <v>29</v>
      </c>
      <c r="B2" t="s">
        <v>30</v>
      </c>
      <c r="C2">
        <v>38.015255000000003</v>
      </c>
      <c r="D2">
        <v>35.349013999999997</v>
      </c>
      <c r="E2">
        <v>30.892458000000001</v>
      </c>
      <c r="F2">
        <v>26.975044</v>
      </c>
      <c r="G2">
        <v>26.101224999999999</v>
      </c>
      <c r="H2">
        <v>28.041435</v>
      </c>
      <c r="I2">
        <v>24.189264000000001</v>
      </c>
      <c r="J2">
        <v>24.236446000000001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 s="4" cm="1">
        <f t="array" ref="AD2:AD17">(AC2:AC17-C2:C17)/C2:C17</f>
        <v>-1</v>
      </c>
    </row>
    <row r="3" spans="1:30" x14ac:dyDescent="0.25">
      <c r="A3" t="s">
        <v>29</v>
      </c>
      <c r="B3" t="s">
        <v>32</v>
      </c>
      <c r="C3">
        <v>0.15470300000000001</v>
      </c>
      <c r="D3">
        <v>0.14335999999999999</v>
      </c>
      <c r="E3">
        <v>0.12449200000000001</v>
      </c>
      <c r="F3">
        <v>0.108747</v>
      </c>
      <c r="G3">
        <v>0.106056</v>
      </c>
      <c r="H3">
        <v>0.11303000000000001</v>
      </c>
      <c r="I3">
        <v>9.8381999999999997E-2</v>
      </c>
      <c r="J3">
        <v>9.7731999999999999E-2</v>
      </c>
      <c r="K3">
        <v>1.214E-3</v>
      </c>
      <c r="L3">
        <v>1.214E-3</v>
      </c>
      <c r="M3">
        <v>3.97E-4</v>
      </c>
      <c r="N3">
        <v>3.97E-4</v>
      </c>
      <c r="O3">
        <v>3.97E-4</v>
      </c>
      <c r="P3">
        <v>3.97E-4</v>
      </c>
      <c r="Q3">
        <v>3.97E-4</v>
      </c>
      <c r="R3">
        <v>3.97E-4</v>
      </c>
      <c r="S3">
        <v>6.8999999999999997E-5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 s="4">
        <v>-1</v>
      </c>
    </row>
    <row r="4" spans="1:30" x14ac:dyDescent="0.25">
      <c r="A4" t="s">
        <v>29</v>
      </c>
      <c r="B4" t="s">
        <v>33</v>
      </c>
      <c r="C4">
        <v>57.850464000000002</v>
      </c>
      <c r="D4">
        <v>52.291499999999999</v>
      </c>
      <c r="E4">
        <v>41.384743</v>
      </c>
      <c r="F4">
        <v>35.877422000000003</v>
      </c>
      <c r="G4">
        <v>39.374786</v>
      </c>
      <c r="H4">
        <v>42.297409000000002</v>
      </c>
      <c r="I4">
        <v>42.332946999999997</v>
      </c>
      <c r="J4">
        <v>41.032448000000002</v>
      </c>
      <c r="K4">
        <v>46.186008000000001</v>
      </c>
      <c r="L4">
        <v>47.492424</v>
      </c>
      <c r="M4">
        <v>43.569374000000003</v>
      </c>
      <c r="N4">
        <v>39.716723999999999</v>
      </c>
      <c r="O4">
        <v>34.239902000000001</v>
      </c>
      <c r="P4">
        <v>31.602323999999999</v>
      </c>
      <c r="Q4">
        <v>23.953598</v>
      </c>
      <c r="R4">
        <v>25.77582</v>
      </c>
      <c r="S4">
        <v>20.955950000000001</v>
      </c>
      <c r="T4">
        <v>20.109667000000002</v>
      </c>
      <c r="U4">
        <v>16.563759000000001</v>
      </c>
      <c r="V4">
        <v>17.550325000000001</v>
      </c>
      <c r="W4">
        <v>16.892693000000001</v>
      </c>
      <c r="X4">
        <v>17.377410999999999</v>
      </c>
      <c r="Y4">
        <v>14.411657999999999</v>
      </c>
      <c r="Z4">
        <v>15.832708</v>
      </c>
      <c r="AA4">
        <v>18.320353999999998</v>
      </c>
      <c r="AB4">
        <v>19.314748999999999</v>
      </c>
      <c r="AC4">
        <v>21.175844000000001</v>
      </c>
      <c r="AD4" s="4">
        <v>-0.63395550293252623</v>
      </c>
    </row>
    <row r="5" spans="1:30" x14ac:dyDescent="0.25">
      <c r="A5" t="s">
        <v>29</v>
      </c>
      <c r="B5" t="s">
        <v>34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2.4194179999999998</v>
      </c>
      <c r="X5">
        <v>3.2272400000000001</v>
      </c>
      <c r="Y5">
        <v>11.492877999999999</v>
      </c>
      <c r="Z5">
        <v>13.055032000000001</v>
      </c>
      <c r="AA5">
        <v>14.427346999999999</v>
      </c>
      <c r="AB5">
        <v>14.571234</v>
      </c>
      <c r="AC5">
        <v>14.513373</v>
      </c>
      <c r="AD5" s="4" t="e">
        <v>#DIV/0!</v>
      </c>
    </row>
    <row r="6" spans="1:30" x14ac:dyDescent="0.25">
      <c r="A6" t="s">
        <v>29</v>
      </c>
      <c r="B6" t="s">
        <v>35</v>
      </c>
      <c r="C6">
        <v>-3.4952999999999998E-2</v>
      </c>
      <c r="D6">
        <v>-0.13760500000000001</v>
      </c>
      <c r="E6">
        <v>-0.11076900000000001</v>
      </c>
      <c r="F6">
        <v>-0.143016</v>
      </c>
      <c r="G6">
        <v>-0.13755200000000001</v>
      </c>
      <c r="H6">
        <v>-0.13347000000000001</v>
      </c>
      <c r="I6">
        <v>-0.14075799999999999</v>
      </c>
      <c r="J6">
        <v>-0.16562199999999999</v>
      </c>
      <c r="K6">
        <v>-0.14377899999999999</v>
      </c>
      <c r="L6">
        <v>-0.17513500000000001</v>
      </c>
      <c r="M6">
        <v>-0.19094800000000001</v>
      </c>
      <c r="N6">
        <v>-0.20255999999999999</v>
      </c>
      <c r="O6">
        <v>-0.21663299999999999</v>
      </c>
      <c r="P6">
        <v>-0.217394</v>
      </c>
      <c r="Q6">
        <v>-0.26919199999999999</v>
      </c>
      <c r="R6">
        <v>-0.27813900000000003</v>
      </c>
      <c r="S6">
        <v>-0.29981000000000002</v>
      </c>
      <c r="T6">
        <v>-0.39184099999999999</v>
      </c>
      <c r="U6">
        <v>-0.377604</v>
      </c>
      <c r="V6">
        <v>-0.38475900000000002</v>
      </c>
      <c r="W6">
        <v>-0.37228600000000001</v>
      </c>
      <c r="X6">
        <v>-0.39727699999999999</v>
      </c>
      <c r="Y6">
        <v>-0.38517899999999999</v>
      </c>
      <c r="Z6">
        <v>-0.38155600000000001</v>
      </c>
      <c r="AA6">
        <v>-0.38721800000000001</v>
      </c>
      <c r="AB6">
        <v>-0.36277599999999999</v>
      </c>
      <c r="AC6">
        <v>-0.38220199999999999</v>
      </c>
      <c r="AD6" s="4">
        <v>9.9347409378308011</v>
      </c>
    </row>
    <row r="7" spans="1:30" x14ac:dyDescent="0.25">
      <c r="A7" t="s">
        <v>29</v>
      </c>
      <c r="B7" t="s">
        <v>36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 s="4" t="e">
        <v>#DIV/0!</v>
      </c>
    </row>
    <row r="8" spans="1:30" x14ac:dyDescent="0.25">
      <c r="A8" t="s">
        <v>29</v>
      </c>
      <c r="B8" t="s">
        <v>37</v>
      </c>
      <c r="C8">
        <v>8.0118749999999999</v>
      </c>
      <c r="D8">
        <v>8.6932480000000005</v>
      </c>
      <c r="E8">
        <v>9.0311780000000006</v>
      </c>
      <c r="F8">
        <v>9.3624329999999993</v>
      </c>
      <c r="G8">
        <v>9.3607589999999998</v>
      </c>
      <c r="H8">
        <v>9.3701299999999996</v>
      </c>
      <c r="I8">
        <v>9.4057539999999999</v>
      </c>
      <c r="J8">
        <v>9.4170820000000006</v>
      </c>
      <c r="K8">
        <v>9.4189930000000004</v>
      </c>
      <c r="L8">
        <v>9.4201379999999997</v>
      </c>
      <c r="M8">
        <v>9.4260470000000005</v>
      </c>
      <c r="N8">
        <v>9.4138909999999996</v>
      </c>
      <c r="O8">
        <v>9.1358800000000002</v>
      </c>
      <c r="P8">
        <v>8.8470379999999995</v>
      </c>
      <c r="Q8">
        <v>9.0928260000000005</v>
      </c>
      <c r="R8">
        <v>9.4405409999999996</v>
      </c>
      <c r="S8">
        <v>9.6359510000000004</v>
      </c>
      <c r="T8">
        <v>9.2803629999999995</v>
      </c>
      <c r="U8">
        <v>7.4551210000000001</v>
      </c>
      <c r="V8">
        <v>7.5141080000000002</v>
      </c>
      <c r="W8">
        <v>7.9796209999999999</v>
      </c>
      <c r="X8">
        <v>8.9725540000000006</v>
      </c>
      <c r="Y8">
        <v>8.8422830000000001</v>
      </c>
      <c r="Z8">
        <v>9.4090240000000005</v>
      </c>
      <c r="AA8">
        <v>7.9885000000000002</v>
      </c>
      <c r="AB8">
        <v>9.4662480000000002</v>
      </c>
      <c r="AC8">
        <v>8.9216639999999998</v>
      </c>
      <c r="AD8" s="4">
        <v>0.11355506669787034</v>
      </c>
    </row>
    <row r="9" spans="1:30" x14ac:dyDescent="0.25">
      <c r="A9" t="s">
        <v>29</v>
      </c>
      <c r="B9" t="s">
        <v>38</v>
      </c>
      <c r="C9">
        <v>3.9760080000000002</v>
      </c>
      <c r="D9">
        <v>3.730038</v>
      </c>
      <c r="E9">
        <v>4.234521</v>
      </c>
      <c r="F9">
        <v>4.385624</v>
      </c>
      <c r="G9">
        <v>4.6659470000000001</v>
      </c>
      <c r="H9">
        <v>5.1411049999999996</v>
      </c>
      <c r="I9">
        <v>5.8192389999999996</v>
      </c>
      <c r="J9">
        <v>6.4406929999999996</v>
      </c>
      <c r="K9">
        <v>7.1835550000000001</v>
      </c>
      <c r="L9">
        <v>7.2694799999999997</v>
      </c>
      <c r="M9">
        <v>7.3553119999999996</v>
      </c>
      <c r="N9">
        <v>8.9361219999999992</v>
      </c>
      <c r="O9">
        <v>10.501559</v>
      </c>
      <c r="P9">
        <v>10.996556999999999</v>
      </c>
      <c r="Q9">
        <v>11.294207</v>
      </c>
      <c r="R9">
        <v>13.880107000000001</v>
      </c>
      <c r="S9">
        <v>15.572400999999999</v>
      </c>
      <c r="T9">
        <v>9.0406370000000003</v>
      </c>
      <c r="U9">
        <v>9.3403810000000007</v>
      </c>
      <c r="V9">
        <v>9.4903069999999996</v>
      </c>
      <c r="W9">
        <v>9.5948309999999992</v>
      </c>
      <c r="X9">
        <v>9.7312960000000004</v>
      </c>
      <c r="Y9">
        <v>10.013517999999999</v>
      </c>
      <c r="Z9">
        <v>10.104574</v>
      </c>
      <c r="AA9">
        <v>10.137993</v>
      </c>
      <c r="AB9">
        <v>10.137993</v>
      </c>
      <c r="AC9">
        <v>10.137993</v>
      </c>
      <c r="AD9" s="4">
        <v>1.5497919018271591</v>
      </c>
    </row>
    <row r="10" spans="1:30" x14ac:dyDescent="0.25">
      <c r="A10" t="s">
        <v>29</v>
      </c>
      <c r="B10" t="s">
        <v>39</v>
      </c>
      <c r="C10">
        <v>0.13286899999999999</v>
      </c>
      <c r="D10">
        <v>0.14416000000000001</v>
      </c>
      <c r="E10">
        <v>0.15656500000000001</v>
      </c>
      <c r="F10">
        <v>0.16491</v>
      </c>
      <c r="G10">
        <v>0.174458</v>
      </c>
      <c r="H10">
        <v>0.18471699999999999</v>
      </c>
      <c r="I10">
        <v>0.19494300000000001</v>
      </c>
      <c r="J10">
        <v>0.20572699999999999</v>
      </c>
      <c r="K10">
        <v>0.21626699999999999</v>
      </c>
      <c r="L10">
        <v>0.22653699999999999</v>
      </c>
      <c r="M10">
        <v>0.23585</v>
      </c>
      <c r="N10">
        <v>0.24628800000000001</v>
      </c>
      <c r="O10">
        <v>0.257214</v>
      </c>
      <c r="P10">
        <v>0.26879799999999998</v>
      </c>
      <c r="Q10">
        <v>0.280416</v>
      </c>
      <c r="R10">
        <v>0.28842000000000001</v>
      </c>
      <c r="S10">
        <v>0.171594</v>
      </c>
      <c r="T10">
        <v>0.17616899999999999</v>
      </c>
      <c r="U10">
        <v>0.18076100000000001</v>
      </c>
      <c r="V10">
        <v>0.18528800000000001</v>
      </c>
      <c r="W10">
        <v>0.187584</v>
      </c>
      <c r="X10">
        <v>0.189916</v>
      </c>
      <c r="Y10">
        <v>0.19222700000000001</v>
      </c>
      <c r="Z10">
        <v>0.19454199999999999</v>
      </c>
      <c r="AA10">
        <v>0.19690199999999999</v>
      </c>
      <c r="AB10">
        <v>0.19690199999999999</v>
      </c>
      <c r="AC10">
        <v>0.19690199999999999</v>
      </c>
      <c r="AD10" s="4">
        <v>0.4819258066215597</v>
      </c>
    </row>
    <row r="11" spans="1:30" x14ac:dyDescent="0.25">
      <c r="A11" t="s">
        <v>29</v>
      </c>
      <c r="B11" t="s">
        <v>40</v>
      </c>
      <c r="C11">
        <v>4.0017999999999998E-2</v>
      </c>
      <c r="D11">
        <v>4.5775000000000003E-2</v>
      </c>
      <c r="E11">
        <v>4.6491999999999999E-2</v>
      </c>
      <c r="F11">
        <v>4.6491999999999999E-2</v>
      </c>
      <c r="G11">
        <v>4.7814000000000002E-2</v>
      </c>
      <c r="H11">
        <v>4.7814000000000002E-2</v>
      </c>
      <c r="I11">
        <v>5.9636000000000002E-2</v>
      </c>
      <c r="J11">
        <v>5.6113000000000003E-2</v>
      </c>
      <c r="K11">
        <v>5.6243000000000001E-2</v>
      </c>
      <c r="L11">
        <v>5.6243000000000001E-2</v>
      </c>
      <c r="M11">
        <v>5.6243000000000001E-2</v>
      </c>
      <c r="N11">
        <v>5.6113000000000003E-2</v>
      </c>
      <c r="O11">
        <v>5.6113000000000003E-2</v>
      </c>
      <c r="P11">
        <v>5.6113000000000003E-2</v>
      </c>
      <c r="Q11">
        <v>5.0907000000000001E-2</v>
      </c>
      <c r="R11">
        <v>3.9805E-2</v>
      </c>
      <c r="S11">
        <v>0.27985900000000002</v>
      </c>
      <c r="T11">
        <v>0.21739</v>
      </c>
      <c r="U11">
        <v>0.17787700000000001</v>
      </c>
      <c r="V11">
        <v>1.0045269999999999</v>
      </c>
      <c r="W11">
        <v>1.0105230000000001</v>
      </c>
      <c r="X11">
        <v>1.0866720000000001</v>
      </c>
      <c r="Y11">
        <v>1.0866720000000001</v>
      </c>
      <c r="Z11">
        <v>1.0866720000000001</v>
      </c>
      <c r="AA11">
        <v>1.0866720000000001</v>
      </c>
      <c r="AB11">
        <v>1.0866720000000001</v>
      </c>
      <c r="AC11">
        <v>1.0866720000000001</v>
      </c>
      <c r="AD11" s="4">
        <v>26.154580438802544</v>
      </c>
    </row>
    <row r="12" spans="1:30" x14ac:dyDescent="0.25">
      <c r="A12" t="s">
        <v>29</v>
      </c>
      <c r="B12" t="s">
        <v>41</v>
      </c>
      <c r="C12">
        <v>0.16594900000000001</v>
      </c>
      <c r="D12">
        <v>0.16389599999999999</v>
      </c>
      <c r="E12">
        <v>0.18254600000000001</v>
      </c>
      <c r="F12">
        <v>0.18260299999999999</v>
      </c>
      <c r="G12">
        <v>0.182424</v>
      </c>
      <c r="H12">
        <v>0.18233199999999999</v>
      </c>
      <c r="I12">
        <v>0.18246699999999999</v>
      </c>
      <c r="J12">
        <v>0.18294099999999999</v>
      </c>
      <c r="K12">
        <v>0.182979</v>
      </c>
      <c r="L12">
        <v>0.18256700000000001</v>
      </c>
      <c r="M12">
        <v>0.182613</v>
      </c>
      <c r="N12">
        <v>0.18260599999999999</v>
      </c>
      <c r="O12">
        <v>0.182646</v>
      </c>
      <c r="P12">
        <v>0.18268599999999999</v>
      </c>
      <c r="Q12">
        <v>0.18197199999999999</v>
      </c>
      <c r="R12">
        <v>0.18257599999999999</v>
      </c>
      <c r="S12">
        <v>0.182648</v>
      </c>
      <c r="T12">
        <v>0.182478</v>
      </c>
      <c r="U12">
        <v>0.182533</v>
      </c>
      <c r="V12">
        <v>0.18256</v>
      </c>
      <c r="W12">
        <v>0.18090700000000001</v>
      </c>
      <c r="X12">
        <v>0.182558</v>
      </c>
      <c r="Y12">
        <v>0.182167</v>
      </c>
      <c r="Z12">
        <v>0.18222099999999999</v>
      </c>
      <c r="AA12">
        <v>0.18227099999999999</v>
      </c>
      <c r="AB12">
        <v>0.18147099999999999</v>
      </c>
      <c r="AC12">
        <v>0.182534</v>
      </c>
      <c r="AD12" s="4">
        <v>9.994034311746372E-2</v>
      </c>
    </row>
    <row r="13" spans="1:30" x14ac:dyDescent="0.25">
      <c r="A13" t="s">
        <v>29</v>
      </c>
      <c r="B13" t="s">
        <v>42</v>
      </c>
      <c r="C13">
        <v>13.973398</v>
      </c>
      <c r="D13">
        <v>16.484425000000002</v>
      </c>
      <c r="E13">
        <v>21.792538</v>
      </c>
      <c r="F13">
        <v>22.236477000000001</v>
      </c>
      <c r="G13">
        <v>22.204563</v>
      </c>
      <c r="H13">
        <v>22.171211</v>
      </c>
      <c r="I13">
        <v>22.138069000000002</v>
      </c>
      <c r="J13">
        <v>22.193190000000001</v>
      </c>
      <c r="K13">
        <v>22.184291999999999</v>
      </c>
      <c r="L13">
        <v>22.159348000000001</v>
      </c>
      <c r="M13">
        <v>22.102042999999998</v>
      </c>
      <c r="N13">
        <v>21.358902</v>
      </c>
      <c r="O13">
        <v>22.138940999999999</v>
      </c>
      <c r="P13">
        <v>22.131834000000001</v>
      </c>
      <c r="Q13">
        <v>22.015256999999998</v>
      </c>
      <c r="R13">
        <v>22.462914000000001</v>
      </c>
      <c r="S13">
        <v>18.668955</v>
      </c>
      <c r="T13">
        <v>18.847158</v>
      </c>
      <c r="U13">
        <v>17.961517000000001</v>
      </c>
      <c r="V13">
        <v>19.062373999999998</v>
      </c>
      <c r="W13">
        <v>20.360234999999999</v>
      </c>
      <c r="X13">
        <v>22.224492999999999</v>
      </c>
      <c r="Y13">
        <v>14.00953</v>
      </c>
      <c r="Z13">
        <v>13.261703000000001</v>
      </c>
      <c r="AA13">
        <v>15.248195000000001</v>
      </c>
      <c r="AB13">
        <v>14.234875000000001</v>
      </c>
      <c r="AC13">
        <v>17.317377</v>
      </c>
      <c r="AD13" s="4">
        <v>0.23931036674114636</v>
      </c>
    </row>
    <row r="14" spans="1:30" x14ac:dyDescent="0.25">
      <c r="A14" t="s">
        <v>29</v>
      </c>
      <c r="B14" t="s">
        <v>43</v>
      </c>
      <c r="C14">
        <v>13.480608999999999</v>
      </c>
      <c r="D14">
        <v>16.553837000000001</v>
      </c>
      <c r="E14">
        <v>18.530173999999999</v>
      </c>
      <c r="F14">
        <v>20.137416999999999</v>
      </c>
      <c r="G14">
        <v>23.617756</v>
      </c>
      <c r="H14">
        <v>26.395855000000001</v>
      </c>
      <c r="I14">
        <v>32.680359000000003</v>
      </c>
      <c r="J14">
        <v>36.217647999999997</v>
      </c>
      <c r="K14">
        <v>46.561684</v>
      </c>
      <c r="L14">
        <v>55.781672999999998</v>
      </c>
      <c r="M14">
        <v>71.606537000000003</v>
      </c>
      <c r="N14">
        <v>83.547591999999995</v>
      </c>
      <c r="O14">
        <v>90.041695000000004</v>
      </c>
      <c r="P14">
        <v>89.927909999999997</v>
      </c>
      <c r="Q14">
        <v>93.421790999999999</v>
      </c>
      <c r="R14">
        <v>94.259643999999994</v>
      </c>
      <c r="S14">
        <v>102.75953699999999</v>
      </c>
      <c r="T14">
        <v>122.61827099999999</v>
      </c>
      <c r="U14">
        <v>135.729645</v>
      </c>
      <c r="V14">
        <v>136.093369</v>
      </c>
      <c r="W14">
        <v>125.35588799999999</v>
      </c>
      <c r="X14">
        <v>136.535751</v>
      </c>
      <c r="Y14">
        <v>142.13914500000001</v>
      </c>
      <c r="Z14">
        <v>141.51776100000001</v>
      </c>
      <c r="AA14">
        <v>146.382034</v>
      </c>
      <c r="AB14">
        <v>142.002487</v>
      </c>
      <c r="AC14">
        <v>144.31083699999999</v>
      </c>
      <c r="AD14" s="4">
        <v>9.7050680722213674</v>
      </c>
    </row>
    <row r="15" spans="1:30" x14ac:dyDescent="0.25">
      <c r="A15" t="s">
        <v>29</v>
      </c>
      <c r="B15" t="s">
        <v>44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 s="4" t="e">
        <v>#DIV/0!</v>
      </c>
    </row>
    <row r="16" spans="1:30" x14ac:dyDescent="0.25">
      <c r="A16" t="s">
        <v>29</v>
      </c>
      <c r="B16" s="5" t="s">
        <v>45</v>
      </c>
      <c r="C16">
        <v>0</v>
      </c>
      <c r="D16">
        <v>0</v>
      </c>
      <c r="E16">
        <v>5.1000000000000004E-4</v>
      </c>
      <c r="F16">
        <v>9.8080000000000007E-3</v>
      </c>
      <c r="G16">
        <v>1.9758999999999999E-2</v>
      </c>
      <c r="H16">
        <v>3.0491000000000001E-2</v>
      </c>
      <c r="I16">
        <v>4.1078999999999997E-2</v>
      </c>
      <c r="J16">
        <v>5.3510000000000002E-2</v>
      </c>
      <c r="K16">
        <v>9.9777000000000005E-2</v>
      </c>
      <c r="L16">
        <v>0.117103</v>
      </c>
      <c r="M16">
        <v>0.137793</v>
      </c>
      <c r="N16">
        <v>0.15967200000000001</v>
      </c>
      <c r="O16">
        <v>0.18115200000000001</v>
      </c>
      <c r="P16">
        <v>0.20053000000000001</v>
      </c>
      <c r="Q16">
        <v>0.25751800000000002</v>
      </c>
      <c r="R16">
        <v>0.31540600000000002</v>
      </c>
      <c r="S16">
        <v>0.37173099999999998</v>
      </c>
      <c r="T16">
        <v>0.38875599999999999</v>
      </c>
      <c r="U16">
        <v>0.44038300000000002</v>
      </c>
      <c r="V16">
        <v>0.48921700000000001</v>
      </c>
      <c r="W16">
        <v>0.54296599999999995</v>
      </c>
      <c r="X16">
        <v>0.59353400000000001</v>
      </c>
      <c r="Y16">
        <v>0.64119899999999996</v>
      </c>
      <c r="Z16">
        <v>0.65566500000000005</v>
      </c>
      <c r="AA16">
        <v>0.67128299999999996</v>
      </c>
      <c r="AB16">
        <v>0.72423800000000005</v>
      </c>
      <c r="AC16">
        <v>0.781555</v>
      </c>
      <c r="AD16" s="4" t="e">
        <v>#DIV/0!</v>
      </c>
    </row>
    <row r="17" spans="1:30" x14ac:dyDescent="0.25">
      <c r="A17" t="s">
        <v>29</v>
      </c>
      <c r="B17" s="5" t="s">
        <v>46</v>
      </c>
      <c r="C17">
        <v>135.76618999999999</v>
      </c>
      <c r="D17">
        <v>133.46165500000001</v>
      </c>
      <c r="E17">
        <v>126.26545</v>
      </c>
      <c r="F17">
        <v>119.343964</v>
      </c>
      <c r="G17">
        <v>125.718002</v>
      </c>
      <c r="H17">
        <v>133.84205600000001</v>
      </c>
      <c r="I17">
        <v>137.001373</v>
      </c>
      <c r="J17">
        <v>139.96791099999999</v>
      </c>
      <c r="K17">
        <v>131.94721999999999</v>
      </c>
      <c r="L17">
        <v>142.531586</v>
      </c>
      <c r="M17">
        <v>154.481247</v>
      </c>
      <c r="N17">
        <v>163.415741</v>
      </c>
      <c r="O17">
        <v>166.51885999999999</v>
      </c>
      <c r="P17">
        <v>163.99681100000001</v>
      </c>
      <c r="Q17">
        <v>160.27967799999999</v>
      </c>
      <c r="R17">
        <v>166.36747700000001</v>
      </c>
      <c r="S17">
        <v>168.298889</v>
      </c>
      <c r="T17">
        <v>180.46902499999999</v>
      </c>
      <c r="U17">
        <v>187.65437299999999</v>
      </c>
      <c r="V17">
        <v>191.18730199999999</v>
      </c>
      <c r="W17">
        <v>184.15239</v>
      </c>
      <c r="X17">
        <v>199.724152</v>
      </c>
      <c r="Y17">
        <v>202.626114</v>
      </c>
      <c r="Z17">
        <v>204.91835</v>
      </c>
      <c r="AA17">
        <v>214.254333</v>
      </c>
      <c r="AB17">
        <v>211.55410800000001</v>
      </c>
      <c r="AC17">
        <v>218.24255400000001</v>
      </c>
      <c r="AD17" s="4">
        <v>0.60748824136554191</v>
      </c>
    </row>
    <row r="18" spans="1:30" x14ac:dyDescent="0.25">
      <c r="A18" t="s">
        <v>74</v>
      </c>
      <c r="B18" t="s">
        <v>47</v>
      </c>
      <c r="C18">
        <v>14.77746</v>
      </c>
      <c r="D18">
        <v>14.989782999999999</v>
      </c>
      <c r="E18">
        <v>15.247684</v>
      </c>
      <c r="F18">
        <v>15.02914</v>
      </c>
      <c r="G18">
        <v>15.120844</v>
      </c>
      <c r="H18">
        <v>15.307790000000001</v>
      </c>
      <c r="I18">
        <v>15.479471999999999</v>
      </c>
      <c r="J18">
        <v>15.392778</v>
      </c>
      <c r="K18">
        <v>15.87218</v>
      </c>
      <c r="L18">
        <v>16.244297</v>
      </c>
      <c r="M18">
        <v>16.005486000000001</v>
      </c>
      <c r="N18">
        <v>15.787405</v>
      </c>
      <c r="O18">
        <v>15.748948</v>
      </c>
      <c r="P18">
        <v>15.716481</v>
      </c>
      <c r="Q18">
        <v>15.718654000000001</v>
      </c>
      <c r="R18">
        <v>15.965555999999999</v>
      </c>
      <c r="S18">
        <v>15.907776</v>
      </c>
      <c r="T18">
        <v>16.098231999999999</v>
      </c>
      <c r="U18">
        <v>16.226559000000002</v>
      </c>
      <c r="V18">
        <v>16.243437</v>
      </c>
      <c r="W18">
        <v>16.349295000000001</v>
      </c>
      <c r="X18">
        <v>16.516832000000001</v>
      </c>
      <c r="Y18">
        <v>16.751584999999999</v>
      </c>
      <c r="Z18">
        <v>17.166011999999998</v>
      </c>
      <c r="AA18">
        <v>17.157568000000001</v>
      </c>
      <c r="AB18">
        <v>17.039766</v>
      </c>
      <c r="AC18">
        <v>17.221188999999999</v>
      </c>
      <c r="AD18" s="4" cm="1">
        <f t="array" ref="AD18:AD22">(AC18:AC22-C18:C22)/C18:C22</f>
        <v>0.16536867634898009</v>
      </c>
    </row>
    <row r="19" spans="1:30" x14ac:dyDescent="0.25">
      <c r="A19" t="s">
        <v>74</v>
      </c>
      <c r="B19" t="s">
        <v>49</v>
      </c>
      <c r="C19">
        <v>11.188537999999999</v>
      </c>
      <c r="D19">
        <v>11.41905</v>
      </c>
      <c r="E19">
        <v>11.586425</v>
      </c>
      <c r="F19">
        <v>11.378059</v>
      </c>
      <c r="G19">
        <v>11.394088999999999</v>
      </c>
      <c r="H19">
        <v>11.484437</v>
      </c>
      <c r="I19">
        <v>11.561088</v>
      </c>
      <c r="J19">
        <v>11.494452000000001</v>
      </c>
      <c r="K19">
        <v>11.918042</v>
      </c>
      <c r="L19">
        <v>12.097768</v>
      </c>
      <c r="M19">
        <v>11.734505</v>
      </c>
      <c r="N19">
        <v>11.458572999999999</v>
      </c>
      <c r="O19">
        <v>11.338622000000001</v>
      </c>
      <c r="P19">
        <v>11.240821</v>
      </c>
      <c r="Q19">
        <v>11.180412</v>
      </c>
      <c r="R19">
        <v>11.213739</v>
      </c>
      <c r="S19">
        <v>11.175293999999999</v>
      </c>
      <c r="T19">
        <v>11.289013000000001</v>
      </c>
      <c r="U19">
        <v>11.328051</v>
      </c>
      <c r="V19">
        <v>11.331849999999999</v>
      </c>
      <c r="W19">
        <v>11.415206</v>
      </c>
      <c r="X19">
        <v>11.438853999999999</v>
      </c>
      <c r="Y19">
        <v>11.743672</v>
      </c>
      <c r="Z19">
        <v>11.964117999999999</v>
      </c>
      <c r="AA19">
        <v>11.868004000000001</v>
      </c>
      <c r="AB19">
        <v>11.807316</v>
      </c>
      <c r="AC19">
        <v>11.797053</v>
      </c>
      <c r="AD19" s="4">
        <v>5.4387356060282464E-2</v>
      </c>
    </row>
    <row r="20" spans="1:30" x14ac:dyDescent="0.25">
      <c r="A20" t="s">
        <v>74</v>
      </c>
      <c r="B20" t="s">
        <v>50</v>
      </c>
      <c r="C20">
        <v>9.6722760000000001</v>
      </c>
      <c r="D20">
        <v>10.081078</v>
      </c>
      <c r="E20">
        <v>10.034668</v>
      </c>
      <c r="F20">
        <v>9.8574420000000007</v>
      </c>
      <c r="G20">
        <v>9.8120670000000008</v>
      </c>
      <c r="H20">
        <v>9.8738700000000001</v>
      </c>
      <c r="I20">
        <v>9.9227159999999994</v>
      </c>
      <c r="J20">
        <v>10.191338</v>
      </c>
      <c r="K20">
        <v>10.791238999999999</v>
      </c>
      <c r="L20">
        <v>10.979241999999999</v>
      </c>
      <c r="M20">
        <v>10.664345000000001</v>
      </c>
      <c r="N20">
        <v>10.472583999999999</v>
      </c>
      <c r="O20">
        <v>10.422551</v>
      </c>
      <c r="P20">
        <v>10.292719</v>
      </c>
      <c r="Q20">
        <v>10.158666999999999</v>
      </c>
      <c r="R20">
        <v>9.9207210000000003</v>
      </c>
      <c r="S20">
        <v>9.9846939999999993</v>
      </c>
      <c r="T20">
        <v>10.129587000000001</v>
      </c>
      <c r="U20">
        <v>10.147790000000001</v>
      </c>
      <c r="V20">
        <v>10.213129</v>
      </c>
      <c r="W20">
        <v>10.378888</v>
      </c>
      <c r="X20">
        <v>10.244070000000001</v>
      </c>
      <c r="Y20">
        <v>10.636521</v>
      </c>
      <c r="Z20">
        <v>10.800907</v>
      </c>
      <c r="AA20">
        <v>10.724662</v>
      </c>
      <c r="AB20">
        <v>10.910741</v>
      </c>
      <c r="AC20">
        <v>10.788817999999999</v>
      </c>
      <c r="AD20" s="4">
        <v>0.11543735931439499</v>
      </c>
    </row>
    <row r="21" spans="1:30" x14ac:dyDescent="0.25">
      <c r="A21" t="s">
        <v>74</v>
      </c>
      <c r="B21" t="s">
        <v>51</v>
      </c>
      <c r="C21">
        <v>11.998915999999999</v>
      </c>
      <c r="D21">
        <v>12.278241</v>
      </c>
      <c r="E21">
        <v>12.542187999999999</v>
      </c>
      <c r="F21">
        <v>12.22522</v>
      </c>
      <c r="G21">
        <v>12.23734</v>
      </c>
      <c r="H21">
        <v>12.307466</v>
      </c>
      <c r="I21">
        <v>12.374351000000001</v>
      </c>
      <c r="J21">
        <v>12.1959</v>
      </c>
      <c r="K21">
        <v>12.51948</v>
      </c>
      <c r="L21">
        <v>12.799956</v>
      </c>
      <c r="M21">
        <v>12.450062000000001</v>
      </c>
      <c r="N21">
        <v>12.134487999999999</v>
      </c>
      <c r="O21">
        <v>11.992196</v>
      </c>
      <c r="P21">
        <v>11.913581000000001</v>
      </c>
      <c r="Q21">
        <v>11.847922000000001</v>
      </c>
      <c r="R21">
        <v>12.001509</v>
      </c>
      <c r="S21">
        <v>11.943160000000001</v>
      </c>
      <c r="T21">
        <v>12.070519000000001</v>
      </c>
      <c r="U21">
        <v>12.136723999999999</v>
      </c>
      <c r="V21">
        <v>12.119287</v>
      </c>
      <c r="W21">
        <v>12.185725</v>
      </c>
      <c r="X21">
        <v>12.201180000000001</v>
      </c>
      <c r="Y21">
        <v>12.40883</v>
      </c>
      <c r="Z21">
        <v>12.726132</v>
      </c>
      <c r="AA21">
        <v>12.634161000000001</v>
      </c>
      <c r="AB21">
        <v>12.533484</v>
      </c>
      <c r="AC21">
        <v>12.563834999999999</v>
      </c>
      <c r="AD21" s="4">
        <v>4.708083630221261E-2</v>
      </c>
    </row>
    <row r="22" spans="1:30" x14ac:dyDescent="0.25">
      <c r="A22" t="s">
        <v>74</v>
      </c>
      <c r="B22" t="s">
        <v>52</v>
      </c>
      <c r="C22">
        <v>11.837773</v>
      </c>
      <c r="D22">
        <v>12.092672</v>
      </c>
      <c r="E22">
        <v>12.249313000000001</v>
      </c>
      <c r="F22">
        <v>12.055334</v>
      </c>
      <c r="G22">
        <v>12.031910999999999</v>
      </c>
      <c r="H22">
        <v>12.106992999999999</v>
      </c>
      <c r="I22">
        <v>12.170031</v>
      </c>
      <c r="J22">
        <v>12.270597</v>
      </c>
      <c r="K22">
        <v>12.760673000000001</v>
      </c>
      <c r="L22">
        <v>12.984022</v>
      </c>
      <c r="M22">
        <v>12.644117</v>
      </c>
      <c r="N22">
        <v>12.383634000000001</v>
      </c>
      <c r="O22">
        <v>12.283534</v>
      </c>
      <c r="P22">
        <v>12.18399</v>
      </c>
      <c r="Q22">
        <v>12.092725</v>
      </c>
      <c r="R22">
        <v>11.990793</v>
      </c>
      <c r="S22">
        <v>12.007396</v>
      </c>
      <c r="T22">
        <v>12.159578</v>
      </c>
      <c r="U22">
        <v>12.215116</v>
      </c>
      <c r="V22">
        <v>12.265504</v>
      </c>
      <c r="W22">
        <v>12.408193000000001</v>
      </c>
      <c r="X22">
        <v>12.373982</v>
      </c>
      <c r="Y22">
        <v>12.705245</v>
      </c>
      <c r="Z22">
        <v>12.954703</v>
      </c>
      <c r="AA22">
        <v>12.891818000000001</v>
      </c>
      <c r="AB22">
        <v>12.972625000000001</v>
      </c>
      <c r="AC22">
        <v>12.940915</v>
      </c>
      <c r="AD22" s="4">
        <v>9.318830492863818E-2</v>
      </c>
    </row>
    <row r="23" spans="1:30" x14ac:dyDescent="0.25">
      <c r="A23" t="s">
        <v>75</v>
      </c>
      <c r="B23" t="s">
        <v>47</v>
      </c>
      <c r="C23">
        <v>14.77746</v>
      </c>
      <c r="D23">
        <v>15.333729999999999</v>
      </c>
      <c r="E23">
        <v>15.877029</v>
      </c>
      <c r="F23">
        <v>15.918810000000001</v>
      </c>
      <c r="G23">
        <v>16.296932000000002</v>
      </c>
      <c r="H23">
        <v>16.744288999999998</v>
      </c>
      <c r="I23">
        <v>17.198495999999999</v>
      </c>
      <c r="J23">
        <v>17.401159</v>
      </c>
      <c r="K23">
        <v>18.257691999999999</v>
      </c>
      <c r="L23">
        <v>19.013622000000002</v>
      </c>
      <c r="M23">
        <v>19.061796000000001</v>
      </c>
      <c r="N23">
        <v>19.127535000000002</v>
      </c>
      <c r="O23">
        <v>19.408306</v>
      </c>
      <c r="P23">
        <v>19.715133999999999</v>
      </c>
      <c r="Q23">
        <v>20.085649</v>
      </c>
      <c r="R23">
        <v>20.799531999999999</v>
      </c>
      <c r="S23">
        <v>21.155926000000001</v>
      </c>
      <c r="T23">
        <v>21.880790999999999</v>
      </c>
      <c r="U23">
        <v>22.559097000000001</v>
      </c>
      <c r="V23">
        <v>23.114222999999999</v>
      </c>
      <c r="W23">
        <v>23.828733</v>
      </c>
      <c r="X23">
        <v>24.661024000000001</v>
      </c>
      <c r="Y23">
        <v>25.624030999999999</v>
      </c>
      <c r="Z23">
        <v>26.898088000000001</v>
      </c>
      <c r="AA23">
        <v>27.529737000000001</v>
      </c>
      <c r="AB23">
        <v>27.989269</v>
      </c>
      <c r="AC23">
        <v>28.943659</v>
      </c>
      <c r="AD23" s="4" cm="1">
        <f t="array" ref="AD23:AD27">(AC23:AC27-C23:C27)/C23:C27</f>
        <v>0.95863558419376549</v>
      </c>
    </row>
    <row r="24" spans="1:30" x14ac:dyDescent="0.25">
      <c r="A24" t="s">
        <v>75</v>
      </c>
      <c r="B24" t="s">
        <v>49</v>
      </c>
      <c r="C24">
        <v>11.188537999999999</v>
      </c>
      <c r="D24">
        <v>11.681066</v>
      </c>
      <c r="E24">
        <v>12.064652000000001</v>
      </c>
      <c r="F24">
        <v>12.051599</v>
      </c>
      <c r="G24">
        <v>12.280313</v>
      </c>
      <c r="H24">
        <v>12.562150000000001</v>
      </c>
      <c r="I24">
        <v>12.844968</v>
      </c>
      <c r="J24">
        <v>12.994196000000001</v>
      </c>
      <c r="K24">
        <v>13.709266</v>
      </c>
      <c r="L24">
        <v>14.160194000000001</v>
      </c>
      <c r="M24">
        <v>13.975255000000001</v>
      </c>
      <c r="N24">
        <v>13.882856</v>
      </c>
      <c r="O24">
        <v>13.973216000000001</v>
      </c>
      <c r="P24">
        <v>14.100758000000001</v>
      </c>
      <c r="Q24">
        <v>14.286583</v>
      </c>
      <c r="R24">
        <v>14.608983</v>
      </c>
      <c r="S24">
        <v>14.862145</v>
      </c>
      <c r="T24">
        <v>15.344079000000001</v>
      </c>
      <c r="U24">
        <v>15.748908999999999</v>
      </c>
      <c r="V24">
        <v>16.125091999999999</v>
      </c>
      <c r="W24">
        <v>16.637409000000002</v>
      </c>
      <c r="X24">
        <v>17.079173999999998</v>
      </c>
      <c r="Y24">
        <v>17.963688000000001</v>
      </c>
      <c r="Z24">
        <v>18.747039999999998</v>
      </c>
      <c r="AA24">
        <v>19.042501000000001</v>
      </c>
      <c r="AB24">
        <v>19.394524000000001</v>
      </c>
      <c r="AC24">
        <v>19.827311999999999</v>
      </c>
      <c r="AD24" s="4">
        <v>0.77210927826316544</v>
      </c>
    </row>
    <row r="25" spans="1:30" x14ac:dyDescent="0.25">
      <c r="A25" t="s">
        <v>75</v>
      </c>
      <c r="B25" t="s">
        <v>50</v>
      </c>
      <c r="C25">
        <v>9.6722760000000001</v>
      </c>
      <c r="D25">
        <v>10.312391999999999</v>
      </c>
      <c r="E25">
        <v>10.448847000000001</v>
      </c>
      <c r="F25">
        <v>10.440967000000001</v>
      </c>
      <c r="G25">
        <v>10.575241999999999</v>
      </c>
      <c r="H25">
        <v>10.800445</v>
      </c>
      <c r="I25">
        <v>11.024652</v>
      </c>
      <c r="J25">
        <v>11.521057000000001</v>
      </c>
      <c r="K25">
        <v>12.41311</v>
      </c>
      <c r="L25">
        <v>12.850982</v>
      </c>
      <c r="M25">
        <v>12.700742999999999</v>
      </c>
      <c r="N25">
        <v>12.688261000000001</v>
      </c>
      <c r="O25">
        <v>12.844291</v>
      </c>
      <c r="P25">
        <v>12.911435000000001</v>
      </c>
      <c r="Q25">
        <v>12.980973000000001</v>
      </c>
      <c r="R25">
        <v>12.924471</v>
      </c>
      <c r="S25">
        <v>13.278753</v>
      </c>
      <c r="T25">
        <v>13.768181999999999</v>
      </c>
      <c r="U25">
        <v>14.108043</v>
      </c>
      <c r="V25">
        <v>14.533163999999999</v>
      </c>
      <c r="W25">
        <v>15.127000000000001</v>
      </c>
      <c r="X25">
        <v>15.295261</v>
      </c>
      <c r="Y25">
        <v>16.270136000000001</v>
      </c>
      <c r="Z25">
        <v>16.92436</v>
      </c>
      <c r="AA25">
        <v>17.207981</v>
      </c>
      <c r="AB25">
        <v>17.921821999999999</v>
      </c>
      <c r="AC25">
        <v>18.132771000000002</v>
      </c>
      <c r="AD25" s="4">
        <v>0.87471604408310943</v>
      </c>
    </row>
    <row r="26" spans="1:30" x14ac:dyDescent="0.25">
      <c r="A26" t="s">
        <v>75</v>
      </c>
      <c r="B26" t="s">
        <v>51</v>
      </c>
      <c r="C26">
        <v>11.998915999999999</v>
      </c>
      <c r="D26">
        <v>12.559971000000001</v>
      </c>
      <c r="E26">
        <v>13.059863999999999</v>
      </c>
      <c r="F26">
        <v>12.948907999999999</v>
      </c>
      <c r="G26">
        <v>13.189151000000001</v>
      </c>
      <c r="H26">
        <v>13.462413</v>
      </c>
      <c r="I26">
        <v>13.748545999999999</v>
      </c>
      <c r="J26">
        <v>13.787165999999999</v>
      </c>
      <c r="K26">
        <v>14.401097</v>
      </c>
      <c r="L26">
        <v>14.982092</v>
      </c>
      <c r="M26">
        <v>14.827450000000001</v>
      </c>
      <c r="N26">
        <v>14.701772999999999</v>
      </c>
      <c r="O26">
        <v>14.778651999999999</v>
      </c>
      <c r="P26">
        <v>14.944684000000001</v>
      </c>
      <c r="Q26">
        <v>15.139543</v>
      </c>
      <c r="R26">
        <v>15.63527</v>
      </c>
      <c r="S26">
        <v>15.883338999999999</v>
      </c>
      <c r="T26">
        <v>16.406305</v>
      </c>
      <c r="U26">
        <v>16.873175</v>
      </c>
      <c r="V26">
        <v>17.245604</v>
      </c>
      <c r="W26">
        <v>17.760424</v>
      </c>
      <c r="X26">
        <v>18.217392</v>
      </c>
      <c r="Y26">
        <v>18.981144</v>
      </c>
      <c r="Z26">
        <v>19.941068999999999</v>
      </c>
      <c r="AA26">
        <v>20.271820000000002</v>
      </c>
      <c r="AB26">
        <v>20.587316999999999</v>
      </c>
      <c r="AC26">
        <v>21.116040999999999</v>
      </c>
      <c r="AD26" s="4">
        <v>0.75982905455792837</v>
      </c>
    </row>
    <row r="27" spans="1:30" x14ac:dyDescent="0.25">
      <c r="A27" t="s">
        <v>75</v>
      </c>
      <c r="B27" t="s">
        <v>52</v>
      </c>
      <c r="C27">
        <v>11.837773</v>
      </c>
      <c r="D27">
        <v>12.370145000000001</v>
      </c>
      <c r="E27">
        <v>12.754902</v>
      </c>
      <c r="F27">
        <v>12.768966000000001</v>
      </c>
      <c r="G27">
        <v>12.967744</v>
      </c>
      <c r="H27">
        <v>13.243126999999999</v>
      </c>
      <c r="I27">
        <v>13.521535999999999</v>
      </c>
      <c r="J27">
        <v>13.87161</v>
      </c>
      <c r="K27">
        <v>14.678539000000001</v>
      </c>
      <c r="L27">
        <v>15.197537000000001</v>
      </c>
      <c r="M27">
        <v>15.058560999999999</v>
      </c>
      <c r="N27">
        <v>15.003631</v>
      </c>
      <c r="O27">
        <v>15.137683000000001</v>
      </c>
      <c r="P27">
        <v>15.283893000000001</v>
      </c>
      <c r="Q27">
        <v>15.452355000000001</v>
      </c>
      <c r="R27">
        <v>15.621309</v>
      </c>
      <c r="S27">
        <v>15.968767</v>
      </c>
      <c r="T27">
        <v>16.527355</v>
      </c>
      <c r="U27">
        <v>16.982157000000001</v>
      </c>
      <c r="V27">
        <v>17.453671</v>
      </c>
      <c r="W27">
        <v>18.084665000000001</v>
      </c>
      <c r="X27">
        <v>18.475398999999999</v>
      </c>
      <c r="Y27">
        <v>19.434555</v>
      </c>
      <c r="Z27">
        <v>20.299225</v>
      </c>
      <c r="AA27">
        <v>20.685236</v>
      </c>
      <c r="AB27">
        <v>21.308643</v>
      </c>
      <c r="AC27">
        <v>21.7498</v>
      </c>
      <c r="AD27" s="4">
        <v>0.83732193546877443</v>
      </c>
    </row>
    <row r="28" spans="1:30" x14ac:dyDescent="0.25">
      <c r="A28" t="s">
        <v>76</v>
      </c>
      <c r="B28" t="s">
        <v>54</v>
      </c>
      <c r="C28">
        <v>7.224329</v>
      </c>
      <c r="D28">
        <v>7.4567019999999999</v>
      </c>
      <c r="E28">
        <v>7.4609379999999996</v>
      </c>
      <c r="F28">
        <v>7.1720090000000001</v>
      </c>
      <c r="G28">
        <v>7.0908990000000003</v>
      </c>
      <c r="H28">
        <v>7.0983219999999996</v>
      </c>
      <c r="I28">
        <v>7.1029970000000002</v>
      </c>
      <c r="J28">
        <v>7.0927850000000001</v>
      </c>
      <c r="K28">
        <v>7.439902</v>
      </c>
      <c r="L28">
        <v>7.5566719999999998</v>
      </c>
      <c r="M28">
        <v>7.1520580000000002</v>
      </c>
      <c r="N28">
        <v>6.8464289999999997</v>
      </c>
      <c r="O28">
        <v>6.7206409999999996</v>
      </c>
      <c r="P28">
        <v>6.5969629999999997</v>
      </c>
      <c r="Q28">
        <v>6.5062470000000001</v>
      </c>
      <c r="R28">
        <v>6.4861319999999996</v>
      </c>
      <c r="S28">
        <v>6.5139959999999997</v>
      </c>
      <c r="T28">
        <v>6.5671239999999997</v>
      </c>
      <c r="U28">
        <v>6.537884</v>
      </c>
      <c r="V28">
        <v>6.5377299999999998</v>
      </c>
      <c r="W28">
        <v>6.6423110000000003</v>
      </c>
      <c r="X28">
        <v>6.6275760000000004</v>
      </c>
      <c r="Y28">
        <v>6.9556319999999996</v>
      </c>
      <c r="Z28">
        <v>7.1711159999999996</v>
      </c>
      <c r="AA28">
        <v>7.0934220000000003</v>
      </c>
      <c r="AB28">
        <v>7.0890639999999996</v>
      </c>
      <c r="AC28">
        <v>7.014348</v>
      </c>
      <c r="AD28" s="4" cm="1">
        <f t="array" ref="AD28:AD30">(AC28:AC30-C28:C30)/C28:C30</f>
        <v>-2.9065813586286002E-2</v>
      </c>
    </row>
    <row r="29" spans="1:30" x14ac:dyDescent="0.25">
      <c r="A29" t="s">
        <v>76</v>
      </c>
      <c r="B29" t="s">
        <v>55</v>
      </c>
      <c r="C29">
        <v>1.3176760000000001</v>
      </c>
      <c r="D29">
        <v>1.3318639999999999</v>
      </c>
      <c r="E29">
        <v>1.3920710000000001</v>
      </c>
      <c r="F29">
        <v>1.4223939999999999</v>
      </c>
      <c r="G29">
        <v>1.4403999999999999</v>
      </c>
      <c r="H29">
        <v>1.4735199999999999</v>
      </c>
      <c r="I29">
        <v>1.499258</v>
      </c>
      <c r="J29">
        <v>1.5453330000000001</v>
      </c>
      <c r="K29">
        <v>1.6249359999999999</v>
      </c>
      <c r="L29">
        <v>1.697492</v>
      </c>
      <c r="M29">
        <v>1.740081</v>
      </c>
      <c r="N29">
        <v>1.772694</v>
      </c>
      <c r="O29">
        <v>1.786041</v>
      </c>
      <c r="P29">
        <v>1.7913650000000001</v>
      </c>
      <c r="Q29">
        <v>1.7742640000000001</v>
      </c>
      <c r="R29">
        <v>1.7123889999999999</v>
      </c>
      <c r="S29">
        <v>1.6963109999999999</v>
      </c>
      <c r="T29">
        <v>1.7584439999999999</v>
      </c>
      <c r="U29">
        <v>1.813463</v>
      </c>
      <c r="V29">
        <v>1.827642</v>
      </c>
      <c r="W29">
        <v>1.8233239999999999</v>
      </c>
      <c r="X29">
        <v>1.7880419999999999</v>
      </c>
      <c r="Y29">
        <v>1.768637</v>
      </c>
      <c r="Z29">
        <v>1.7658240000000001</v>
      </c>
      <c r="AA29">
        <v>1.750597</v>
      </c>
      <c r="AB29">
        <v>1.768737</v>
      </c>
      <c r="AC29">
        <v>1.770993</v>
      </c>
      <c r="AD29" s="4">
        <v>0.34402766689231645</v>
      </c>
    </row>
    <row r="30" spans="1:30" x14ac:dyDescent="0.25">
      <c r="A30" t="s">
        <v>76</v>
      </c>
      <c r="B30" t="s">
        <v>56</v>
      </c>
      <c r="C30">
        <v>3.2957689999999999</v>
      </c>
      <c r="D30">
        <v>3.3041070000000001</v>
      </c>
      <c r="E30">
        <v>3.3963040000000002</v>
      </c>
      <c r="F30">
        <v>3.4609320000000001</v>
      </c>
      <c r="G30">
        <v>3.5006119999999998</v>
      </c>
      <c r="H30">
        <v>3.5351509999999999</v>
      </c>
      <c r="I30">
        <v>3.5677759999999998</v>
      </c>
      <c r="J30">
        <v>3.6324779999999999</v>
      </c>
      <c r="K30">
        <v>3.6958340000000001</v>
      </c>
      <c r="L30">
        <v>3.7298589999999998</v>
      </c>
      <c r="M30">
        <v>3.7519779999999998</v>
      </c>
      <c r="N30">
        <v>3.7645089999999999</v>
      </c>
      <c r="O30">
        <v>3.7768519999999999</v>
      </c>
      <c r="P30">
        <v>3.7956629999999998</v>
      </c>
      <c r="Q30">
        <v>3.812214</v>
      </c>
      <c r="R30">
        <v>3.7922709999999999</v>
      </c>
      <c r="S30">
        <v>3.7970890000000002</v>
      </c>
      <c r="T30">
        <v>3.8340100000000001</v>
      </c>
      <c r="U30">
        <v>3.863769</v>
      </c>
      <c r="V30">
        <v>3.9001329999999998</v>
      </c>
      <c r="W30">
        <v>3.942558</v>
      </c>
      <c r="X30">
        <v>3.958364</v>
      </c>
      <c r="Y30">
        <v>3.9809760000000001</v>
      </c>
      <c r="Z30">
        <v>4.0177620000000003</v>
      </c>
      <c r="AA30">
        <v>4.0477980000000002</v>
      </c>
      <c r="AB30">
        <v>4.1148239999999996</v>
      </c>
      <c r="AC30">
        <v>4.1555749999999998</v>
      </c>
      <c r="AD30" s="4">
        <v>0.26088175475890446</v>
      </c>
    </row>
    <row r="31" spans="1:30" x14ac:dyDescent="0.25">
      <c r="A31" t="s">
        <v>77</v>
      </c>
      <c r="B31" t="s">
        <v>54</v>
      </c>
      <c r="C31">
        <v>7.224329</v>
      </c>
      <c r="D31">
        <v>7.6277990000000004</v>
      </c>
      <c r="E31">
        <v>7.7688870000000003</v>
      </c>
      <c r="F31">
        <v>7.5965660000000002</v>
      </c>
      <c r="G31">
        <v>7.642423</v>
      </c>
      <c r="H31">
        <v>7.764437</v>
      </c>
      <c r="I31">
        <v>7.8917979999999996</v>
      </c>
      <c r="J31">
        <v>8.0182199999999995</v>
      </c>
      <c r="K31">
        <v>8.5580839999999991</v>
      </c>
      <c r="L31">
        <v>8.8449329999999993</v>
      </c>
      <c r="M31">
        <v>8.5177720000000008</v>
      </c>
      <c r="N31">
        <v>8.294924</v>
      </c>
      <c r="O31">
        <v>8.2822200000000006</v>
      </c>
      <c r="P31">
        <v>8.2753899999999998</v>
      </c>
      <c r="Q31">
        <v>8.3138280000000009</v>
      </c>
      <c r="R31">
        <v>8.449973</v>
      </c>
      <c r="S31">
        <v>8.6630330000000004</v>
      </c>
      <c r="T31">
        <v>8.9260649999999995</v>
      </c>
      <c r="U31">
        <v>9.0893429999999995</v>
      </c>
      <c r="V31">
        <v>9.3031140000000008</v>
      </c>
      <c r="W31">
        <v>9.6810220000000005</v>
      </c>
      <c r="X31">
        <v>9.8955300000000008</v>
      </c>
      <c r="Y31">
        <v>10.639669</v>
      </c>
      <c r="Z31">
        <v>11.236700000000001</v>
      </c>
      <c r="AA31">
        <v>11.381569000000001</v>
      </c>
      <c r="AB31">
        <v>11.644392</v>
      </c>
      <c r="AC31">
        <v>11.789016999999999</v>
      </c>
      <c r="AD31" s="4" cm="1">
        <f t="array" ref="AD31:AD33">(AC31:AC33-C31:C33)/C31:C33</f>
        <v>0.63184940774430387</v>
      </c>
    </row>
    <row r="32" spans="1:30" x14ac:dyDescent="0.25">
      <c r="A32" t="s">
        <v>77</v>
      </c>
      <c r="B32" t="s">
        <v>55</v>
      </c>
      <c r="C32">
        <v>1.3176760000000001</v>
      </c>
      <c r="D32">
        <v>1.3624240000000001</v>
      </c>
      <c r="E32">
        <v>1.4495290000000001</v>
      </c>
      <c r="F32">
        <v>1.5065949999999999</v>
      </c>
      <c r="G32">
        <v>1.552433</v>
      </c>
      <c r="H32">
        <v>1.6117969999999999</v>
      </c>
      <c r="I32">
        <v>1.665753</v>
      </c>
      <c r="J32">
        <v>1.746961</v>
      </c>
      <c r="K32">
        <v>1.869156</v>
      </c>
      <c r="L32">
        <v>1.9868809999999999</v>
      </c>
      <c r="M32">
        <v>2.0723560000000001</v>
      </c>
      <c r="N32">
        <v>2.147742</v>
      </c>
      <c r="O32">
        <v>2.201038</v>
      </c>
      <c r="P32">
        <v>2.2471320000000001</v>
      </c>
      <c r="Q32">
        <v>2.2671939999999999</v>
      </c>
      <c r="R32">
        <v>2.230858</v>
      </c>
      <c r="S32">
        <v>2.2559429999999998</v>
      </c>
      <c r="T32">
        <v>2.3900860000000002</v>
      </c>
      <c r="U32">
        <v>2.5211809999999999</v>
      </c>
      <c r="V32">
        <v>2.6007129999999998</v>
      </c>
      <c r="W32">
        <v>2.657454</v>
      </c>
      <c r="X32">
        <v>2.6696979999999999</v>
      </c>
      <c r="Y32">
        <v>2.7053919999999998</v>
      </c>
      <c r="Z32">
        <v>2.7669389999999998</v>
      </c>
      <c r="AA32">
        <v>2.8088760000000002</v>
      </c>
      <c r="AB32">
        <v>2.9053019999999998</v>
      </c>
      <c r="AC32">
        <v>2.9765079999999999</v>
      </c>
      <c r="AD32" s="4">
        <v>1.2589073489992986</v>
      </c>
    </row>
    <row r="33" spans="1:30" x14ac:dyDescent="0.25">
      <c r="A33" t="s">
        <v>77</v>
      </c>
      <c r="B33" t="s">
        <v>56</v>
      </c>
      <c r="C33">
        <v>3.2957689999999999</v>
      </c>
      <c r="D33">
        <v>3.379921</v>
      </c>
      <c r="E33">
        <v>3.536486</v>
      </c>
      <c r="F33">
        <v>3.6658059999999999</v>
      </c>
      <c r="G33">
        <v>3.772888</v>
      </c>
      <c r="H33">
        <v>3.8668930000000001</v>
      </c>
      <c r="I33">
        <v>3.963984</v>
      </c>
      <c r="J33">
        <v>4.106427</v>
      </c>
      <c r="K33">
        <v>4.2512999999999996</v>
      </c>
      <c r="L33">
        <v>4.3657250000000003</v>
      </c>
      <c r="M33">
        <v>4.468432</v>
      </c>
      <c r="N33">
        <v>4.5609640000000002</v>
      </c>
      <c r="O33">
        <v>4.6544249999999998</v>
      </c>
      <c r="P33">
        <v>4.7613709999999996</v>
      </c>
      <c r="Q33">
        <v>4.8713340000000001</v>
      </c>
      <c r="R33">
        <v>4.9404779999999997</v>
      </c>
      <c r="S33">
        <v>5.0497899999999998</v>
      </c>
      <c r="T33">
        <v>5.2112040000000004</v>
      </c>
      <c r="U33">
        <v>5.3716340000000002</v>
      </c>
      <c r="V33">
        <v>5.5498440000000002</v>
      </c>
      <c r="W33">
        <v>5.7461900000000004</v>
      </c>
      <c r="X33">
        <v>5.9101710000000001</v>
      </c>
      <c r="Y33">
        <v>6.0894919999999999</v>
      </c>
      <c r="Z33">
        <v>6.2955870000000003</v>
      </c>
      <c r="AA33">
        <v>6.4947920000000003</v>
      </c>
      <c r="AB33">
        <v>6.7589499999999996</v>
      </c>
      <c r="AC33">
        <v>6.9842760000000004</v>
      </c>
      <c r="AD33" s="4">
        <v>1.1191642982259984</v>
      </c>
    </row>
    <row r="34" spans="1:30" x14ac:dyDescent="0.25">
      <c r="A34" t="s">
        <v>57</v>
      </c>
      <c r="B34" t="s">
        <v>58</v>
      </c>
      <c r="C34">
        <v>19.664995000000001</v>
      </c>
      <c r="D34">
        <v>17.823408000000001</v>
      </c>
      <c r="E34">
        <v>14.818849</v>
      </c>
      <c r="F34">
        <v>13.003166999999999</v>
      </c>
      <c r="G34">
        <v>13.014564999999999</v>
      </c>
      <c r="H34">
        <v>13.953445</v>
      </c>
      <c r="I34">
        <v>12.679607000000001</v>
      </c>
      <c r="J34">
        <v>12.540279999999999</v>
      </c>
      <c r="K34">
        <v>5.2804989999999998</v>
      </c>
      <c r="L34">
        <v>5.3475409999999997</v>
      </c>
      <c r="M34">
        <v>4.9137589999999998</v>
      </c>
      <c r="N34">
        <v>4.4871499999999997</v>
      </c>
      <c r="O34">
        <v>3.9143889999999999</v>
      </c>
      <c r="P34">
        <v>3.673581</v>
      </c>
      <c r="Q34">
        <v>2.7987989999999998</v>
      </c>
      <c r="R34">
        <v>3.0735869999999998</v>
      </c>
      <c r="S34">
        <v>2.5830510000000002</v>
      </c>
      <c r="T34">
        <v>2.5528469999999999</v>
      </c>
      <c r="U34">
        <v>2.1675430000000002</v>
      </c>
      <c r="V34">
        <v>2.29033</v>
      </c>
      <c r="W34">
        <v>2.2087180000000002</v>
      </c>
      <c r="X34">
        <v>2.2873239999999999</v>
      </c>
      <c r="Y34">
        <v>1.9386829999999999</v>
      </c>
      <c r="Z34">
        <v>2.097864</v>
      </c>
      <c r="AA34">
        <v>2.396919</v>
      </c>
      <c r="AB34">
        <v>2.5310600000000001</v>
      </c>
      <c r="AC34">
        <v>2.7577769999999999</v>
      </c>
      <c r="AD34" s="4" cm="1">
        <f t="array" ref="AD34:AD38">(AC34:AC38-C34:C38)/C34:C38</f>
        <v>-0.85976213062856099</v>
      </c>
    </row>
    <row r="35" spans="1:30" x14ac:dyDescent="0.25">
      <c r="A35" t="s">
        <v>57</v>
      </c>
      <c r="B35" t="s">
        <v>60</v>
      </c>
      <c r="C35">
        <v>72.104973000000001</v>
      </c>
      <c r="D35">
        <v>65.352492999999996</v>
      </c>
      <c r="E35">
        <v>54.335793000000002</v>
      </c>
      <c r="F35">
        <v>47.678291000000002</v>
      </c>
      <c r="G35">
        <v>47.720058000000002</v>
      </c>
      <c r="H35">
        <v>51.162643000000003</v>
      </c>
      <c r="I35">
        <v>46.491900999999999</v>
      </c>
      <c r="J35">
        <v>45.981022000000003</v>
      </c>
      <c r="K35">
        <v>19.361820000000002</v>
      </c>
      <c r="L35">
        <v>19.607651000000001</v>
      </c>
      <c r="M35">
        <v>18.017119999999998</v>
      </c>
      <c r="N35">
        <v>16.452873</v>
      </c>
      <c r="O35">
        <v>14.352753999999999</v>
      </c>
      <c r="P35">
        <v>13.469792</v>
      </c>
      <c r="Q35">
        <v>10.262259999999999</v>
      </c>
      <c r="R35">
        <v>11.269819</v>
      </c>
      <c r="S35">
        <v>9.4711859999999994</v>
      </c>
      <c r="T35">
        <v>9.3604400000000005</v>
      </c>
      <c r="U35">
        <v>7.9476610000000001</v>
      </c>
      <c r="V35">
        <v>8.3978819999999992</v>
      </c>
      <c r="W35">
        <v>8.0986379999999993</v>
      </c>
      <c r="X35">
        <v>8.3868559999999999</v>
      </c>
      <c r="Y35">
        <v>7.1085050000000001</v>
      </c>
      <c r="Z35">
        <v>7.6921689999999998</v>
      </c>
      <c r="AA35">
        <v>8.7887079999999997</v>
      </c>
      <c r="AB35">
        <v>9.2805490000000006</v>
      </c>
      <c r="AC35">
        <v>10.111846999999999</v>
      </c>
      <c r="AD35" s="4">
        <v>-0.85976214150998997</v>
      </c>
    </row>
    <row r="36" spans="1:30" x14ac:dyDescent="0.25">
      <c r="A36" t="s">
        <v>57</v>
      </c>
      <c r="B36" t="s">
        <v>61</v>
      </c>
      <c r="C36">
        <v>9.6989999999999993E-3</v>
      </c>
      <c r="D36">
        <v>7.45E-3</v>
      </c>
      <c r="E36">
        <v>7.7619999999999998E-3</v>
      </c>
      <c r="F36">
        <v>5.9319999999999998E-3</v>
      </c>
      <c r="G36">
        <v>4.6540000000000002E-3</v>
      </c>
      <c r="H36">
        <v>3.444E-3</v>
      </c>
      <c r="I36">
        <v>1.147E-3</v>
      </c>
      <c r="J36">
        <v>1.206E-3</v>
      </c>
      <c r="K36">
        <v>6.9999999999999999E-6</v>
      </c>
      <c r="L36">
        <v>6.9999999999999999E-6</v>
      </c>
      <c r="M36">
        <v>7.9999999999999996E-6</v>
      </c>
      <c r="N36">
        <v>9.0000000000000002E-6</v>
      </c>
      <c r="O36">
        <v>9.0000000000000002E-6</v>
      </c>
      <c r="P36">
        <v>1.0000000000000001E-5</v>
      </c>
      <c r="Q36">
        <v>1.2E-5</v>
      </c>
      <c r="R36">
        <v>1.3100000000000001E-4</v>
      </c>
      <c r="S36">
        <v>7.7999999999999999E-5</v>
      </c>
      <c r="T36">
        <v>8.0000000000000007E-5</v>
      </c>
      <c r="U36">
        <v>8.2999999999999998E-5</v>
      </c>
      <c r="V36">
        <v>8.5000000000000006E-5</v>
      </c>
      <c r="W36">
        <v>8.7000000000000001E-5</v>
      </c>
      <c r="X36">
        <v>8.8999999999999995E-5</v>
      </c>
      <c r="Y36">
        <v>9.0000000000000006E-5</v>
      </c>
      <c r="Z36">
        <v>9.1000000000000003E-5</v>
      </c>
      <c r="AA36">
        <v>9.1000000000000003E-5</v>
      </c>
      <c r="AB36">
        <v>7.7999999999999999E-5</v>
      </c>
      <c r="AC36">
        <v>6.8999999999999997E-5</v>
      </c>
      <c r="AD36" s="4">
        <v>-0.99288586452211569</v>
      </c>
    </row>
    <row r="37" spans="1:30" x14ac:dyDescent="0.25">
      <c r="A37" t="s">
        <v>57</v>
      </c>
      <c r="B37" t="s">
        <v>62</v>
      </c>
      <c r="C37">
        <v>6.5761E-2</v>
      </c>
      <c r="D37">
        <v>5.6545999999999999E-2</v>
      </c>
      <c r="E37">
        <v>4.5238E-2</v>
      </c>
      <c r="F37">
        <v>4.2976E-2</v>
      </c>
      <c r="G37">
        <v>3.7329000000000001E-2</v>
      </c>
      <c r="H37">
        <v>3.9558000000000003E-2</v>
      </c>
      <c r="I37">
        <v>4.2495999999999999E-2</v>
      </c>
      <c r="J37">
        <v>3.5138999999999997E-2</v>
      </c>
      <c r="K37">
        <v>3.7550000000000001E-3</v>
      </c>
      <c r="L37">
        <v>3.7599999999999999E-3</v>
      </c>
      <c r="M37">
        <v>3.5339999999999998E-3</v>
      </c>
      <c r="N37">
        <v>3.16E-3</v>
      </c>
      <c r="O37">
        <v>3.0509999999999999E-3</v>
      </c>
      <c r="P37">
        <v>2.9529999999999999E-3</v>
      </c>
      <c r="Q37">
        <v>2.3500000000000001E-3</v>
      </c>
      <c r="R37">
        <v>3.8289999999999999E-3</v>
      </c>
      <c r="S37">
        <v>3.2499999999999999E-3</v>
      </c>
      <c r="T37">
        <v>3.5890000000000002E-3</v>
      </c>
      <c r="U37">
        <v>3.1870000000000002E-3</v>
      </c>
      <c r="V37">
        <v>3.9020000000000001E-3</v>
      </c>
      <c r="W37">
        <v>3.9090000000000001E-3</v>
      </c>
      <c r="X37">
        <v>4.1180000000000001E-3</v>
      </c>
      <c r="Y37">
        <v>4.0080000000000003E-3</v>
      </c>
      <c r="Z37">
        <v>4.0470000000000002E-3</v>
      </c>
      <c r="AA37">
        <v>4.2129999999999997E-3</v>
      </c>
      <c r="AB37">
        <v>4.4980000000000003E-3</v>
      </c>
      <c r="AC37">
        <v>4.725E-3</v>
      </c>
      <c r="AD37" s="4">
        <v>-0.92814890284515139</v>
      </c>
    </row>
    <row r="38" spans="1:30" x14ac:dyDescent="0.25">
      <c r="A38" t="s">
        <v>57</v>
      </c>
      <c r="B38" t="s">
        <v>63</v>
      </c>
      <c r="C38">
        <v>0.12537599999999999</v>
      </c>
      <c r="D38">
        <v>0.113112</v>
      </c>
      <c r="E38">
        <v>0.111481</v>
      </c>
      <c r="F38">
        <v>9.3256000000000006E-2</v>
      </c>
      <c r="G38">
        <v>9.6315999999999999E-2</v>
      </c>
      <c r="H38">
        <v>0.10458099999999999</v>
      </c>
      <c r="I38">
        <v>9.3072000000000002E-2</v>
      </c>
      <c r="J38">
        <v>9.4255000000000005E-2</v>
      </c>
      <c r="K38">
        <v>9.9999999999999995E-7</v>
      </c>
      <c r="L38">
        <v>9.9999999999999995E-7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 s="4">
        <v>-1</v>
      </c>
    </row>
    <row r="39" spans="1:30" x14ac:dyDescent="0.25">
      <c r="A39" t="s">
        <v>70</v>
      </c>
      <c r="B39" t="s">
        <v>66</v>
      </c>
      <c r="C39" cm="1">
        <f t="array" ref="C39:C42">907185*C34:C37*10^6/(C17*10^9)</f>
        <v>131.40081848857216</v>
      </c>
      <c r="D39" cm="1">
        <f t="array" ref="D39:D42">907185*D34:D37*10^6/(D17*10^9)</f>
        <v>121.1518648294898</v>
      </c>
      <c r="E39" cm="1">
        <f t="array" ref="E39:E42">907185*E34:E37*10^6/(E17*10^9)</f>
        <v>106.46964415099301</v>
      </c>
      <c r="F39" cm="1">
        <f t="array" ref="F39:F42">907185*F34:F37*10^6/(F17*10^9)</f>
        <v>98.842686798093936</v>
      </c>
      <c r="G39" cm="1">
        <f t="array" ref="G39:G42">907185*G34:G37*10^6/(G17*10^9)</f>
        <v>93.913504523600366</v>
      </c>
      <c r="H39" cm="1">
        <f t="array" ref="H39:H42">907185*H34:H37*10^6/(H17*10^9)</f>
        <v>94.576819727911229</v>
      </c>
      <c r="I39" cm="1">
        <f t="array" ref="I39:I42">907185*I34:I37*10^6/(I17*10^9)</f>
        <v>83.960832102719152</v>
      </c>
      <c r="J39" cm="1">
        <f t="array" ref="J39:J42">907185*J34:J37*10^6/(J17*10^9)</f>
        <v>81.278300365574495</v>
      </c>
      <c r="K39" cm="1">
        <f t="array" ref="K39:K42">907185*K34:K37*10^6/(K17*10^9)</f>
        <v>36.305346071823266</v>
      </c>
      <c r="L39" cm="1">
        <f t="array" ref="L39:L42">907185*L34:L37*10^6/(L17*10^9)</f>
        <v>34.036027509614605</v>
      </c>
      <c r="M39" cm="1">
        <f t="array" ref="M39:M42">907185*M34:M37*10^6/(M17*10^9)</f>
        <v>28.855854966104722</v>
      </c>
      <c r="N39" cm="1">
        <f t="array" ref="N39:N42">907185*N34:N37*10^6/(N17*10^9)</f>
        <v>24.909933081354751</v>
      </c>
      <c r="O39" cm="1">
        <f t="array" ref="O39:O42">907185*O34:O37*10^6/(O17*10^9)</f>
        <v>21.325362093909362</v>
      </c>
      <c r="P39" cm="1">
        <f t="array" ref="P39:P42">907185*P34:P37*10^6/(P17*10^9)</f>
        <v>20.321234048173046</v>
      </c>
      <c r="Q39" cm="1">
        <f t="array" ref="Q39:Q42">907185*Q34:Q37*10^6/(Q17*10^9)</f>
        <v>15.841237657184459</v>
      </c>
      <c r="R39" cm="1">
        <f t="array" ref="R39:R42">907185*R34:R37*10^6/(R17*10^9)</f>
        <v>16.759958574084767</v>
      </c>
      <c r="S39" cm="1">
        <f t="array" ref="S39:S42">907185*S34:S37*10^6/(S17*10^9)</f>
        <v>13.923473502163166</v>
      </c>
      <c r="T39" cm="1">
        <f t="array" ref="T39:T42">907185*T34:T37*10^6/(T17*10^9)</f>
        <v>12.832698052726776</v>
      </c>
      <c r="U39" cm="1">
        <f t="array" ref="U39:U42">907185*U34:U37*10^6/(U17*10^9)</f>
        <v>10.478639346470228</v>
      </c>
      <c r="V39" cm="1">
        <f t="array" ref="V39:V42">907185*V34:V37*10^6/(V17*10^9)</f>
        <v>10.86763084846503</v>
      </c>
      <c r="W39" cm="1">
        <f t="array" ref="W39:W42">907185*W34:W37*10^6/(W17*10^9)</f>
        <v>10.880748486783149</v>
      </c>
      <c r="X39" cm="1">
        <f t="array" ref="X39:X42">907185*X34:X37*10^6/(X17*10^9)</f>
        <v>10.38945967305947</v>
      </c>
      <c r="Y39" cm="1">
        <f t="array" ref="Y39:Y42">907185*Y34:Y37*10^6/(Y17*10^9)</f>
        <v>8.6797506137585003</v>
      </c>
      <c r="Z39" cm="1">
        <f t="array" ref="Z39:Z42">907185*Z34:Z37*10^6/(Z17*10^9)</f>
        <v>9.2873612970239119</v>
      </c>
      <c r="AA39" cm="1">
        <f t="array" ref="AA39:AA42">907185*AA34:AA37*10^6/(AA17*10^9)</f>
        <v>10.14891476204124</v>
      </c>
      <c r="AB39" cm="1">
        <f t="array" ref="AB39:AB42">907185*AB34:AB37*10^6/(AB17*10^9)</f>
        <v>10.853675628459079</v>
      </c>
      <c r="AC39" cm="1">
        <f t="array" ref="AC39:AC42">907185*AC34:AC37*10^6/(AC17*10^9)</f>
        <v>11.46345605790977</v>
      </c>
      <c r="AD39" s="4" cm="1">
        <f t="array" ref="AD39:AD43">(AC39:AC43-C39:C43)/C39:C43</f>
        <v>-0.91275962973619729</v>
      </c>
    </row>
    <row r="40" spans="1:30" x14ac:dyDescent="0.25">
      <c r="A40" t="s">
        <v>70</v>
      </c>
      <c r="B40" t="s">
        <v>67</v>
      </c>
      <c r="C40">
        <v>481.80294321439675</v>
      </c>
      <c r="D40">
        <v>444.22348398275892</v>
      </c>
      <c r="E40">
        <v>390.38879101690134</v>
      </c>
      <c r="F40">
        <v>362.42327614352581</v>
      </c>
      <c r="G40">
        <v>344.34941796744431</v>
      </c>
      <c r="H40">
        <v>346.781749153308</v>
      </c>
      <c r="I40">
        <v>307.85644176489382</v>
      </c>
      <c r="J40">
        <v>298.02040442734051</v>
      </c>
      <c r="K40">
        <v>133.11953580151217</v>
      </c>
      <c r="L40">
        <v>124.79877177845337</v>
      </c>
      <c r="M40">
        <v>105.80482307473864</v>
      </c>
      <c r="N40">
        <v>91.336363933906469</v>
      </c>
      <c r="O40">
        <v>78.192963472666094</v>
      </c>
      <c r="P40">
        <v>74.511163851350744</v>
      </c>
      <c r="Q40">
        <v>58.084521096305174</v>
      </c>
      <c r="R40">
        <v>61.453181438310807</v>
      </c>
      <c r="S40">
        <v>51.052730784277486</v>
      </c>
      <c r="T40">
        <v>47.053231220149833</v>
      </c>
      <c r="U40">
        <v>38.421693718190092</v>
      </c>
      <c r="V40">
        <v>39.848005084406701</v>
      </c>
      <c r="W40">
        <v>39.89610405832908</v>
      </c>
      <c r="X40">
        <v>38.094691524137751</v>
      </c>
      <c r="Y40">
        <v>31.825755235206259</v>
      </c>
      <c r="Z40">
        <v>34.053662516143625</v>
      </c>
      <c r="AA40">
        <v>37.212708631568262</v>
      </c>
      <c r="AB40">
        <v>39.796792055510451</v>
      </c>
      <c r="AC40">
        <v>42.032663898787582</v>
      </c>
      <c r="AD40" s="4">
        <v>-0.91275963650540937</v>
      </c>
    </row>
    <row r="41" spans="1:30" x14ac:dyDescent="0.25">
      <c r="A41" t="s">
        <v>70</v>
      </c>
      <c r="B41" t="s">
        <v>68</v>
      </c>
      <c r="C41">
        <v>6.4808383552635601E-2</v>
      </c>
      <c r="D41">
        <v>5.0640225089371174E-2</v>
      </c>
      <c r="E41">
        <v>5.5767986967139464E-2</v>
      </c>
      <c r="F41">
        <v>4.5091693284127883E-2</v>
      </c>
      <c r="G41">
        <v>3.3583408285473709E-2</v>
      </c>
      <c r="H41">
        <v>2.3343523204694343E-2</v>
      </c>
      <c r="I41">
        <v>7.5951150869123041E-3</v>
      </c>
      <c r="J41">
        <v>7.8165423930632218E-3</v>
      </c>
      <c r="K41">
        <v>4.8127539178165333E-5</v>
      </c>
      <c r="L41">
        <v>4.4553598105615692E-5</v>
      </c>
      <c r="M41">
        <v>4.6979682912580318E-5</v>
      </c>
      <c r="N41">
        <v>4.9962536962702994E-5</v>
      </c>
      <c r="O41">
        <v>4.9031473071578796E-5</v>
      </c>
      <c r="P41">
        <v>5.5317234186950145E-5</v>
      </c>
      <c r="Q41">
        <v>6.792015142431219E-5</v>
      </c>
      <c r="R41">
        <v>7.1432973044364923E-4</v>
      </c>
      <c r="S41">
        <v>4.2044502147604791E-4</v>
      </c>
      <c r="T41">
        <v>4.021454651289883E-4</v>
      </c>
      <c r="U41">
        <v>4.0125020161400655E-4</v>
      </c>
      <c r="V41">
        <v>4.0332555663137083E-4</v>
      </c>
      <c r="W41">
        <v>4.2858577616071127E-4</v>
      </c>
      <c r="X41">
        <v>4.0425488951381303E-4</v>
      </c>
      <c r="Y41">
        <v>4.0294238678436093E-4</v>
      </c>
      <c r="Z41">
        <v>4.0286209116948286E-4</v>
      </c>
      <c r="AA41">
        <v>3.8530765676510263E-4</v>
      </c>
      <c r="AB41">
        <v>3.3447911113122889E-4</v>
      </c>
      <c r="AC41">
        <v>2.8681741416937412E-4</v>
      </c>
      <c r="AD41" s="4">
        <v>-0.99557437790534575</v>
      </c>
    </row>
    <row r="42" spans="1:30" x14ac:dyDescent="0.25">
      <c r="A42" t="s">
        <v>70</v>
      </c>
      <c r="B42" t="s">
        <v>69</v>
      </c>
      <c r="C42">
        <v>0.43941273438549022</v>
      </c>
      <c r="D42">
        <v>0.384362707101152</v>
      </c>
      <c r="E42">
        <v>0.32502347261265851</v>
      </c>
      <c r="F42">
        <v>0.3266791319249292</v>
      </c>
      <c r="G42">
        <v>0.2693672212910288</v>
      </c>
      <c r="H42">
        <v>0.26812517158283944</v>
      </c>
      <c r="I42">
        <v>0.28139669636741516</v>
      </c>
      <c r="J42">
        <v>0.22774915684067043</v>
      </c>
      <c r="K42">
        <v>2.5816987087715834E-2</v>
      </c>
      <c r="L42">
        <v>2.3931646982444998E-2</v>
      </c>
      <c r="M42">
        <v>2.0753274926632356E-2</v>
      </c>
      <c r="N42">
        <v>1.754240186690461E-2</v>
      </c>
      <c r="O42">
        <v>1.6621669371265212E-2</v>
      </c>
      <c r="P42">
        <v>1.6335179255406375E-2</v>
      </c>
      <c r="Q42">
        <v>1.3301029653927807E-2</v>
      </c>
      <c r="R42">
        <v>2.0879149144036123E-2</v>
      </c>
      <c r="S42">
        <v>1.7518542561501992E-2</v>
      </c>
      <c r="T42">
        <v>1.8041250929349235E-2</v>
      </c>
      <c r="U42">
        <v>1.5407040874022161E-2</v>
      </c>
      <c r="V42">
        <v>1.8515015552654224E-2</v>
      </c>
      <c r="W42">
        <v>1.9256802287496783E-2</v>
      </c>
      <c r="X42">
        <v>1.8704737472111033E-2</v>
      </c>
      <c r="Y42">
        <v>1.7944367624796873E-2</v>
      </c>
      <c r="Z42">
        <v>1.7916295417174693E-2</v>
      </c>
      <c r="AA42">
        <v>1.7838474263201946E-2</v>
      </c>
      <c r="AB42">
        <v>1.9288295408567534E-2</v>
      </c>
      <c r="AC42">
        <v>1.9640757709424535E-2</v>
      </c>
      <c r="AD42" s="4">
        <v>-0.95530225646079259</v>
      </c>
    </row>
    <row r="43" spans="1:30" x14ac:dyDescent="0.25">
      <c r="A43" t="s">
        <v>70</v>
      </c>
      <c r="B43" t="s">
        <v>65</v>
      </c>
      <c r="C43">
        <f>907185*C38/(C17*10^9)</f>
        <v>8.3775810870143733E-7</v>
      </c>
      <c r="D43">
        <f>907185*D38/(D17*10^9)</f>
        <v>7.6886136111529567E-7</v>
      </c>
      <c r="E43">
        <f>907185*E38/(E17*10^9)</f>
        <v>8.0096250387576321E-7</v>
      </c>
      <c r="F43">
        <f>907185*F38/(F17*10^9)</f>
        <v>7.0887912152809007E-7</v>
      </c>
      <c r="G43">
        <f>907185*G38/(G17*10^9)</f>
        <v>6.9501924203345202E-7</v>
      </c>
      <c r="H43">
        <f>907185*H38/(H17*10^9)</f>
        <v>7.0885278753488357E-7</v>
      </c>
      <c r="I43">
        <f>907185*I38/(I17*10^9)</f>
        <v>6.1629690616312291E-7</v>
      </c>
      <c r="J43">
        <f>907185*J38/(J17*10^9)</f>
        <v>6.1090232442634653E-7</v>
      </c>
      <c r="K43">
        <f>907185*K38/(K17*10^9)</f>
        <v>6.8753627397379043E-12</v>
      </c>
      <c r="L43">
        <f>907185*L38/(L17*10^9)</f>
        <v>6.3647997293736694E-12</v>
      </c>
      <c r="M43">
        <f>907185*M38/(M17*10^9)</f>
        <v>0</v>
      </c>
      <c r="N43">
        <f>907185*N38/(N17*10^9)</f>
        <v>0</v>
      </c>
      <c r="O43">
        <f>907185*O38/(O17*10^9)</f>
        <v>0</v>
      </c>
      <c r="P43">
        <f>907185*P38/(P17*10^9)</f>
        <v>0</v>
      </c>
      <c r="Q43">
        <f>907185*Q38/(Q17*10^9)</f>
        <v>0</v>
      </c>
      <c r="R43">
        <f>907185*R38/(R17*10^9)</f>
        <v>0</v>
      </c>
      <c r="S43">
        <f>907185*S38/(S17*10^9)</f>
        <v>0</v>
      </c>
      <c r="T43">
        <f>907185*T38/(T17*10^9)</f>
        <v>0</v>
      </c>
      <c r="U43">
        <f>907185*U38/(U17*10^9)</f>
        <v>0</v>
      </c>
      <c r="V43">
        <f>907185*V38/(V17*10^9)</f>
        <v>0</v>
      </c>
      <c r="W43">
        <f>907185*W38/(W17*10^9)</f>
        <v>0</v>
      </c>
      <c r="X43">
        <f>907185*X38/(X17*10^9)</f>
        <v>0</v>
      </c>
      <c r="Y43">
        <f>907185*Y38/(Y17*10^9)</f>
        <v>0</v>
      </c>
      <c r="Z43">
        <f>907185*Z38/(Z17*10^9)</f>
        <v>0</v>
      </c>
      <c r="AA43">
        <f>907185*AA38/(AA17*10^9)</f>
        <v>0</v>
      </c>
      <c r="AB43">
        <f>907185*AB38/(AB17*10^9)</f>
        <v>0</v>
      </c>
      <c r="AC43">
        <f>907185*AC38/(AC17*10^9)</f>
        <v>0</v>
      </c>
      <c r="AD43" s="4">
        <v>-1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43"/>
  <sheetViews>
    <sheetView tabSelected="1" zoomScale="70" zoomScaleNormal="70" workbookViewId="0">
      <selection activeCell="B16" sqref="B16:B17"/>
    </sheetView>
  </sheetViews>
  <sheetFormatPr defaultRowHeight="15" x14ac:dyDescent="0.25"/>
  <cols>
    <col min="1" max="1" width="44.7109375" bestFit="1" customWidth="1"/>
    <col min="2" max="2" width="16.140625" bestFit="1" customWidth="1"/>
    <col min="3" max="29" width="12.7109375" bestFit="1" customWidth="1"/>
    <col min="30" max="30" width="19.42578125" bestFit="1" customWidth="1"/>
  </cols>
  <sheetData>
    <row r="1" spans="1:30" s="3" customFormat="1" ht="15.75" thickBot="1" x14ac:dyDescent="0.3">
      <c r="A1" s="3" t="s">
        <v>72</v>
      </c>
      <c r="B1" s="1" t="s">
        <v>73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</row>
    <row r="2" spans="1:30" ht="15.75" thickTop="1" x14ac:dyDescent="0.25">
      <c r="A2" t="s">
        <v>29</v>
      </c>
      <c r="B2" t="s">
        <v>30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 s="4" t="e" cm="1">
        <f t="array" ref="AD2:AD17">(AC2:AC17-C2:C17)/C2:C17</f>
        <v>#DIV/0!</v>
      </c>
    </row>
    <row r="3" spans="1:30" x14ac:dyDescent="0.25">
      <c r="A3" t="s">
        <v>29</v>
      </c>
      <c r="B3" t="s">
        <v>32</v>
      </c>
      <c r="C3">
        <v>1.101E-3</v>
      </c>
      <c r="D3">
        <v>4.2240000000000003E-3</v>
      </c>
      <c r="E3">
        <v>1.122E-3</v>
      </c>
      <c r="F3">
        <v>1.122E-3</v>
      </c>
      <c r="G3">
        <v>1.122E-3</v>
      </c>
      <c r="H3">
        <v>1.122E-3</v>
      </c>
      <c r="I3">
        <v>4.2240000000000003E-3</v>
      </c>
      <c r="J3">
        <v>5.4100000000000003E-4</v>
      </c>
      <c r="K3">
        <v>4.2240000000000003E-3</v>
      </c>
      <c r="L3">
        <v>1.122E-3</v>
      </c>
      <c r="M3">
        <v>5.4100000000000003E-4</v>
      </c>
      <c r="N3">
        <v>5.4100000000000003E-4</v>
      </c>
      <c r="O3">
        <v>5.4100000000000003E-4</v>
      </c>
      <c r="P3">
        <v>5.4100000000000003E-4</v>
      </c>
      <c r="Q3">
        <v>5.4100000000000003E-4</v>
      </c>
      <c r="R3">
        <v>5.4100000000000003E-4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 s="4">
        <v>-1</v>
      </c>
    </row>
    <row r="4" spans="1:30" x14ac:dyDescent="0.25">
      <c r="A4" t="s">
        <v>29</v>
      </c>
      <c r="B4" t="s">
        <v>33</v>
      </c>
      <c r="C4">
        <v>58.586472000000001</v>
      </c>
      <c r="D4">
        <v>47.547801999999997</v>
      </c>
      <c r="E4">
        <v>41.014259000000003</v>
      </c>
      <c r="F4">
        <v>35.550517999999997</v>
      </c>
      <c r="G4">
        <v>37.291823999999998</v>
      </c>
      <c r="H4">
        <v>35.701771000000001</v>
      </c>
      <c r="I4">
        <v>38.203091000000001</v>
      </c>
      <c r="J4">
        <v>41.126185999999997</v>
      </c>
      <c r="K4">
        <v>41.789825</v>
      </c>
      <c r="L4">
        <v>39.394919999999999</v>
      </c>
      <c r="M4">
        <v>38.141148000000001</v>
      </c>
      <c r="N4">
        <v>34.675120999999997</v>
      </c>
      <c r="O4">
        <v>31.839625999999999</v>
      </c>
      <c r="P4">
        <v>27.844609999999999</v>
      </c>
      <c r="Q4">
        <v>19.252351999999998</v>
      </c>
      <c r="R4">
        <v>17.708641</v>
      </c>
      <c r="S4">
        <v>18.010883</v>
      </c>
      <c r="T4">
        <v>16.887526000000001</v>
      </c>
      <c r="U4">
        <v>16.255011</v>
      </c>
      <c r="V4">
        <v>14.777659999999999</v>
      </c>
      <c r="W4">
        <v>14.882755</v>
      </c>
      <c r="X4">
        <v>14.671127</v>
      </c>
      <c r="Y4">
        <v>15.019512000000001</v>
      </c>
      <c r="Z4">
        <v>14.904795</v>
      </c>
      <c r="AA4">
        <v>15.339343</v>
      </c>
      <c r="AB4">
        <v>15.32991</v>
      </c>
      <c r="AC4">
        <v>15.696396</v>
      </c>
      <c r="AD4" s="4">
        <v>-0.73208156312945416</v>
      </c>
    </row>
    <row r="5" spans="1:30" x14ac:dyDescent="0.25">
      <c r="A5" t="s">
        <v>29</v>
      </c>
      <c r="B5" t="s">
        <v>34</v>
      </c>
      <c r="C5">
        <v>17.044563</v>
      </c>
      <c r="D5">
        <v>17.308782999999998</v>
      </c>
      <c r="E5">
        <v>17.269386000000001</v>
      </c>
      <c r="F5">
        <v>17.229987999999999</v>
      </c>
      <c r="G5">
        <v>17.229987999999999</v>
      </c>
      <c r="H5">
        <v>17.229987999999999</v>
      </c>
      <c r="I5">
        <v>8.3055020000000006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 s="4">
        <v>-1</v>
      </c>
    </row>
    <row r="6" spans="1:30" x14ac:dyDescent="0.25">
      <c r="A6" t="s">
        <v>29</v>
      </c>
      <c r="B6" t="s">
        <v>35</v>
      </c>
      <c r="C6">
        <v>-0.30299100000000001</v>
      </c>
      <c r="D6">
        <v>-0.47317900000000002</v>
      </c>
      <c r="E6">
        <v>-0.492705</v>
      </c>
      <c r="F6">
        <v>-0.59486799999999995</v>
      </c>
      <c r="G6">
        <v>-0.606846</v>
      </c>
      <c r="H6">
        <v>-0.63883999999999996</v>
      </c>
      <c r="I6">
        <v>-0.69134899999999999</v>
      </c>
      <c r="J6">
        <v>-0.77029300000000001</v>
      </c>
      <c r="K6">
        <v>-0.81254999999999999</v>
      </c>
      <c r="L6">
        <v>-0.80508299999999999</v>
      </c>
      <c r="M6">
        <v>-0.83402900000000002</v>
      </c>
      <c r="N6">
        <v>-0.82791499999999996</v>
      </c>
      <c r="O6">
        <v>-0.83913300000000002</v>
      </c>
      <c r="P6">
        <v>-1.2556579999999999</v>
      </c>
      <c r="Q6">
        <v>-1.733603</v>
      </c>
      <c r="R6">
        <v>-2.1278589999999999</v>
      </c>
      <c r="S6">
        <v>-2.5301399999999998</v>
      </c>
      <c r="T6">
        <v>-2.9932859999999999</v>
      </c>
      <c r="U6">
        <v>-3.0561229999999999</v>
      </c>
      <c r="V6">
        <v>-2.8822209999999999</v>
      </c>
      <c r="W6">
        <v>-2.8650929999999999</v>
      </c>
      <c r="X6">
        <v>-2.9000020000000002</v>
      </c>
      <c r="Y6">
        <v>-2.8815650000000002</v>
      </c>
      <c r="Z6">
        <v>-3.032673</v>
      </c>
      <c r="AA6">
        <v>-3.0304929999999999</v>
      </c>
      <c r="AB6">
        <v>-3.2537389999999999</v>
      </c>
      <c r="AC6">
        <v>-3.6192479999999998</v>
      </c>
      <c r="AD6" s="4">
        <v>10.945067675277482</v>
      </c>
    </row>
    <row r="7" spans="1:30" x14ac:dyDescent="0.25">
      <c r="A7" t="s">
        <v>29</v>
      </c>
      <c r="B7" t="s">
        <v>36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9.7359999999999999E-3</v>
      </c>
      <c r="L7">
        <v>1.1245E-2</v>
      </c>
      <c r="M7">
        <v>1.2567E-2</v>
      </c>
      <c r="N7">
        <v>1.2567E-2</v>
      </c>
      <c r="O7">
        <v>1.2567E-2</v>
      </c>
      <c r="P7">
        <v>1.2567E-2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 s="4" t="e">
        <v>#DIV/0!</v>
      </c>
    </row>
    <row r="8" spans="1:30" x14ac:dyDescent="0.25">
      <c r="A8" t="s">
        <v>29</v>
      </c>
      <c r="B8" t="s">
        <v>37</v>
      </c>
      <c r="C8">
        <v>20.506668000000001</v>
      </c>
      <c r="D8">
        <v>22.274010000000001</v>
      </c>
      <c r="E8">
        <v>23.125371999999999</v>
      </c>
      <c r="F8">
        <v>23.966996999999999</v>
      </c>
      <c r="G8">
        <v>24.104113000000002</v>
      </c>
      <c r="H8">
        <v>24.103764999999999</v>
      </c>
      <c r="I8">
        <v>24.134879999999999</v>
      </c>
      <c r="J8">
        <v>24.134571000000001</v>
      </c>
      <c r="K8">
        <v>24.221926</v>
      </c>
      <c r="L8">
        <v>24.238844</v>
      </c>
      <c r="M8">
        <v>24.230198000000001</v>
      </c>
      <c r="N8">
        <v>24.474201000000001</v>
      </c>
      <c r="O8">
        <v>23.694454</v>
      </c>
      <c r="P8">
        <v>22.846264000000001</v>
      </c>
      <c r="Q8">
        <v>22.789093000000001</v>
      </c>
      <c r="R8">
        <v>22.762135000000001</v>
      </c>
      <c r="S8">
        <v>22.412357</v>
      </c>
      <c r="T8">
        <v>18.447088000000001</v>
      </c>
      <c r="U8">
        <v>20.753309000000002</v>
      </c>
      <c r="V8">
        <v>20.330120000000001</v>
      </c>
      <c r="W8">
        <v>20.267557</v>
      </c>
      <c r="X8">
        <v>20.176371</v>
      </c>
      <c r="Y8">
        <v>18.563455999999999</v>
      </c>
      <c r="Z8">
        <v>18.448505000000001</v>
      </c>
      <c r="AA8">
        <v>18.365917</v>
      </c>
      <c r="AB8">
        <v>18.367954000000001</v>
      </c>
      <c r="AC8">
        <v>18.448412000000001</v>
      </c>
      <c r="AD8" s="4">
        <v>-0.10037008450129489</v>
      </c>
    </row>
    <row r="9" spans="1:30" x14ac:dyDescent="0.25">
      <c r="A9" t="s">
        <v>29</v>
      </c>
      <c r="B9" t="s">
        <v>38</v>
      </c>
      <c r="C9">
        <v>5.7094120000000004</v>
      </c>
      <c r="D9">
        <v>5.6049939999999996</v>
      </c>
      <c r="E9">
        <v>5.9191700000000003</v>
      </c>
      <c r="F9">
        <v>6.2153099999999997</v>
      </c>
      <c r="G9">
        <v>6.6883650000000001</v>
      </c>
      <c r="H9">
        <v>7.5472060000000001</v>
      </c>
      <c r="I9">
        <v>8.4177169999999997</v>
      </c>
      <c r="J9">
        <v>9.2412690000000008</v>
      </c>
      <c r="K9">
        <v>10.15879</v>
      </c>
      <c r="L9">
        <v>10.952227000000001</v>
      </c>
      <c r="M9">
        <v>11.749511999999999</v>
      </c>
      <c r="N9">
        <v>12.537611999999999</v>
      </c>
      <c r="O9">
        <v>13.326392</v>
      </c>
      <c r="P9">
        <v>14.113648</v>
      </c>
      <c r="Q9">
        <v>14.882645</v>
      </c>
      <c r="R9">
        <v>15.384914</v>
      </c>
      <c r="S9">
        <v>15.872704000000001</v>
      </c>
      <c r="T9">
        <v>16.265491000000001</v>
      </c>
      <c r="U9">
        <v>16.755300999999999</v>
      </c>
      <c r="V9">
        <v>17.149315000000001</v>
      </c>
      <c r="W9">
        <v>17.541505999999998</v>
      </c>
      <c r="X9">
        <v>17.933202999999999</v>
      </c>
      <c r="Y9">
        <v>18.324217000000001</v>
      </c>
      <c r="Z9">
        <v>18.718668000000001</v>
      </c>
      <c r="AA9">
        <v>19.049005999999999</v>
      </c>
      <c r="AB9">
        <v>19.145817000000001</v>
      </c>
      <c r="AC9">
        <v>19.242674000000001</v>
      </c>
      <c r="AD9" s="4">
        <v>2.3703425151311555</v>
      </c>
    </row>
    <row r="10" spans="1:30" x14ac:dyDescent="0.25">
      <c r="A10" t="s">
        <v>29</v>
      </c>
      <c r="B10" t="s">
        <v>39</v>
      </c>
      <c r="C10">
        <v>0.43151800000000001</v>
      </c>
      <c r="D10">
        <v>0.46654699999999999</v>
      </c>
      <c r="E10">
        <v>0.49550699999999998</v>
      </c>
      <c r="F10">
        <v>0.51288900000000004</v>
      </c>
      <c r="G10">
        <v>0.53278999999999999</v>
      </c>
      <c r="H10">
        <v>0.55414300000000005</v>
      </c>
      <c r="I10">
        <v>0.57542700000000002</v>
      </c>
      <c r="J10">
        <v>0.598387</v>
      </c>
      <c r="K10">
        <v>0.61981200000000003</v>
      </c>
      <c r="L10">
        <v>0.64172300000000004</v>
      </c>
      <c r="M10">
        <v>0.66111799999999998</v>
      </c>
      <c r="N10">
        <v>0.68285399999999996</v>
      </c>
      <c r="O10">
        <v>0.70560699999999998</v>
      </c>
      <c r="P10">
        <v>0.72973100000000002</v>
      </c>
      <c r="Q10">
        <v>0.75392499999999996</v>
      </c>
      <c r="R10">
        <v>0.770594</v>
      </c>
      <c r="S10">
        <v>0.78215699999999999</v>
      </c>
      <c r="T10">
        <v>0.34240100000000001</v>
      </c>
      <c r="U10">
        <v>0.29621599999999998</v>
      </c>
      <c r="V10">
        <v>0.237956</v>
      </c>
      <c r="W10">
        <v>0.24082899999999999</v>
      </c>
      <c r="X10">
        <v>0.24374499999999999</v>
      </c>
      <c r="Y10">
        <v>0.246892</v>
      </c>
      <c r="Z10">
        <v>0.26908300000000002</v>
      </c>
      <c r="AA10">
        <v>0.26511499999999999</v>
      </c>
      <c r="AB10">
        <v>0.27230399999999999</v>
      </c>
      <c r="AC10">
        <v>0.272034</v>
      </c>
      <c r="AD10" s="4">
        <v>-0.36958829063909271</v>
      </c>
    </row>
    <row r="11" spans="1:30" x14ac:dyDescent="0.25">
      <c r="A11" t="s">
        <v>29</v>
      </c>
      <c r="B11" t="s">
        <v>40</v>
      </c>
      <c r="C11">
        <v>1.8386929999999999</v>
      </c>
      <c r="D11">
        <v>1.82694</v>
      </c>
      <c r="E11">
        <v>1.8286020000000001</v>
      </c>
      <c r="F11">
        <v>1.8277680000000001</v>
      </c>
      <c r="G11">
        <v>1.8286690000000001</v>
      </c>
      <c r="H11">
        <v>1.8728750000000001</v>
      </c>
      <c r="I11">
        <v>2.0212509999999999</v>
      </c>
      <c r="J11">
        <v>2.0213990000000002</v>
      </c>
      <c r="K11">
        <v>2.0615619999999999</v>
      </c>
      <c r="L11">
        <v>2.053747</v>
      </c>
      <c r="M11">
        <v>2.0479029999999998</v>
      </c>
      <c r="N11">
        <v>2.0296509999999999</v>
      </c>
      <c r="O11">
        <v>2.0479029999999998</v>
      </c>
      <c r="P11">
        <v>2.0479029999999998</v>
      </c>
      <c r="Q11">
        <v>1.8882460000000001</v>
      </c>
      <c r="R11">
        <v>1.869062</v>
      </c>
      <c r="S11">
        <v>1.863572</v>
      </c>
      <c r="T11">
        <v>1.8609370000000001</v>
      </c>
      <c r="U11">
        <v>1.8233060000000001</v>
      </c>
      <c r="V11">
        <v>1.8233060000000001</v>
      </c>
      <c r="W11">
        <v>1.8233060000000001</v>
      </c>
      <c r="X11">
        <v>1.8233060000000001</v>
      </c>
      <c r="Y11">
        <v>1.8233060000000001</v>
      </c>
      <c r="Z11">
        <v>1.8233060000000001</v>
      </c>
      <c r="AA11">
        <v>1.825941</v>
      </c>
      <c r="AB11">
        <v>1.890077</v>
      </c>
      <c r="AC11">
        <v>1.890077</v>
      </c>
      <c r="AD11" s="4">
        <v>2.7945937685083969E-2</v>
      </c>
    </row>
    <row r="12" spans="1:30" x14ac:dyDescent="0.25">
      <c r="A12" t="s">
        <v>29</v>
      </c>
      <c r="B12" t="s">
        <v>41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 s="4" t="e">
        <v>#DIV/0!</v>
      </c>
    </row>
    <row r="13" spans="1:30" x14ac:dyDescent="0.25">
      <c r="A13" t="s">
        <v>29</v>
      </c>
      <c r="B13" t="s">
        <v>42</v>
      </c>
      <c r="C13">
        <v>13.301531000000001</v>
      </c>
      <c r="D13">
        <v>15.247845999999999</v>
      </c>
      <c r="E13">
        <v>18.8965</v>
      </c>
      <c r="F13">
        <v>19.666623999999999</v>
      </c>
      <c r="G13">
        <v>19.597109</v>
      </c>
      <c r="H13">
        <v>19.595558</v>
      </c>
      <c r="I13">
        <v>19.619295000000001</v>
      </c>
      <c r="J13">
        <v>19.59487</v>
      </c>
      <c r="K13">
        <v>19.595935999999998</v>
      </c>
      <c r="L13">
        <v>29.294415000000001</v>
      </c>
      <c r="M13">
        <v>31.544543999999998</v>
      </c>
      <c r="N13">
        <v>32.571213</v>
      </c>
      <c r="O13">
        <v>45.504714999999997</v>
      </c>
      <c r="P13">
        <v>61.109608000000001</v>
      </c>
      <c r="Q13">
        <v>64.939712999999998</v>
      </c>
      <c r="R13">
        <v>66.361075999999997</v>
      </c>
      <c r="S13">
        <v>77.010147000000003</v>
      </c>
      <c r="T13">
        <v>91.486159999999998</v>
      </c>
      <c r="U13">
        <v>92.205169999999995</v>
      </c>
      <c r="V13">
        <v>83.849281000000005</v>
      </c>
      <c r="W13">
        <v>85.846457999999998</v>
      </c>
      <c r="X13">
        <v>89.132148999999998</v>
      </c>
      <c r="Y13">
        <v>97.764908000000005</v>
      </c>
      <c r="Z13">
        <v>98.498390000000001</v>
      </c>
      <c r="AA13">
        <v>99.707603000000006</v>
      </c>
      <c r="AB13">
        <v>101.58264200000001</v>
      </c>
      <c r="AC13">
        <v>104.76834100000001</v>
      </c>
      <c r="AD13" s="4">
        <v>6.8764121964606932</v>
      </c>
    </row>
    <row r="14" spans="1:30" x14ac:dyDescent="0.25">
      <c r="A14" t="s">
        <v>29</v>
      </c>
      <c r="B14" t="s">
        <v>43</v>
      </c>
      <c r="C14">
        <v>4.1461249999999996</v>
      </c>
      <c r="D14">
        <v>4.200564</v>
      </c>
      <c r="E14">
        <v>4.6225930000000002</v>
      </c>
      <c r="F14">
        <v>4.775887</v>
      </c>
      <c r="G14">
        <v>4.7740340000000003</v>
      </c>
      <c r="H14">
        <v>4.7751049999999999</v>
      </c>
      <c r="I14">
        <v>8.4838909999999998</v>
      </c>
      <c r="J14">
        <v>9.4187089999999998</v>
      </c>
      <c r="K14">
        <v>9.4197970000000009</v>
      </c>
      <c r="L14">
        <v>9.4162130000000008</v>
      </c>
      <c r="M14">
        <v>9.4135860000000005</v>
      </c>
      <c r="N14">
        <v>9.4189209999999992</v>
      </c>
      <c r="O14">
        <v>9.3849850000000004</v>
      </c>
      <c r="P14">
        <v>8.7762670000000007</v>
      </c>
      <c r="Q14">
        <v>8.6796179999999996</v>
      </c>
      <c r="R14">
        <v>8.6909899999999993</v>
      </c>
      <c r="S14">
        <v>8.0334219999999998</v>
      </c>
      <c r="T14">
        <v>7.3734700000000002</v>
      </c>
      <c r="U14">
        <v>7.9593680000000004</v>
      </c>
      <c r="V14">
        <v>8.2213969999999996</v>
      </c>
      <c r="W14">
        <v>9.1679650000000006</v>
      </c>
      <c r="X14">
        <v>8.7453649999999996</v>
      </c>
      <c r="Y14">
        <v>8.1734340000000003</v>
      </c>
      <c r="Z14">
        <v>8.1298340000000007</v>
      </c>
      <c r="AA14">
        <v>7.5744369999999996</v>
      </c>
      <c r="AB14">
        <v>7.9073909999999996</v>
      </c>
      <c r="AC14">
        <v>7.6011540000000002</v>
      </c>
      <c r="AD14" s="4">
        <v>0.83331520395550085</v>
      </c>
    </row>
    <row r="15" spans="1:30" x14ac:dyDescent="0.25">
      <c r="A15" t="s">
        <v>29</v>
      </c>
      <c r="B15" t="s">
        <v>44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0.32165100000000002</v>
      </c>
      <c r="M15">
        <v>0.40247699999999997</v>
      </c>
      <c r="N15">
        <v>0.40247500000000003</v>
      </c>
      <c r="O15">
        <v>0.40075100000000002</v>
      </c>
      <c r="P15">
        <v>1.2682929999999999</v>
      </c>
      <c r="Q15">
        <v>1.4756910000000001</v>
      </c>
      <c r="R15">
        <v>1.4806239999999999</v>
      </c>
      <c r="S15">
        <v>1.274411</v>
      </c>
      <c r="T15">
        <v>1.1383129999999999</v>
      </c>
      <c r="U15">
        <v>0.80220899999999995</v>
      </c>
      <c r="V15">
        <v>1.3716219999999999</v>
      </c>
      <c r="W15">
        <v>1.4856579999999999</v>
      </c>
      <c r="X15">
        <v>1.328511</v>
      </c>
      <c r="Y15">
        <v>1.312746</v>
      </c>
      <c r="Z15">
        <v>1.3098719999999999</v>
      </c>
      <c r="AA15">
        <v>1.3185450000000001</v>
      </c>
      <c r="AB15">
        <v>1.2986819999999999</v>
      </c>
      <c r="AC15">
        <v>1.38036</v>
      </c>
      <c r="AD15" s="4" t="e">
        <v>#DIV/0!</v>
      </c>
    </row>
    <row r="16" spans="1:30" x14ac:dyDescent="0.25">
      <c r="A16" t="s">
        <v>29</v>
      </c>
      <c r="B16" s="5" t="s">
        <v>45</v>
      </c>
      <c r="C16">
        <v>0</v>
      </c>
      <c r="D16">
        <v>0</v>
      </c>
      <c r="E16">
        <v>0</v>
      </c>
      <c r="F16">
        <v>0</v>
      </c>
      <c r="G16">
        <v>0</v>
      </c>
      <c r="H16">
        <v>4.0959999999999998E-3</v>
      </c>
      <c r="I16">
        <v>8.0269999999999994E-3</v>
      </c>
      <c r="J16">
        <v>1.2414E-2</v>
      </c>
      <c r="K16">
        <v>6.2481000000000002E-2</v>
      </c>
      <c r="L16">
        <v>6.9492999999999999E-2</v>
      </c>
      <c r="M16">
        <v>9.0232000000000007E-2</v>
      </c>
      <c r="N16">
        <v>0.111526</v>
      </c>
      <c r="O16">
        <v>0.13261400000000001</v>
      </c>
      <c r="P16">
        <v>0.14022799999999999</v>
      </c>
      <c r="Q16">
        <v>0.159804</v>
      </c>
      <c r="R16">
        <v>0.18032100000000001</v>
      </c>
      <c r="S16">
        <v>0.199078</v>
      </c>
      <c r="T16">
        <v>0.21481800000000001</v>
      </c>
      <c r="U16">
        <v>0.229966</v>
      </c>
      <c r="V16">
        <v>0.243815</v>
      </c>
      <c r="W16">
        <v>0.25964900000000002</v>
      </c>
      <c r="X16">
        <v>0.27446700000000002</v>
      </c>
      <c r="Y16">
        <v>0.28959800000000002</v>
      </c>
      <c r="Z16">
        <v>0.303624</v>
      </c>
      <c r="AA16">
        <v>0.31807299999999999</v>
      </c>
      <c r="AB16">
        <v>0.33238800000000002</v>
      </c>
      <c r="AC16">
        <v>0.348306</v>
      </c>
      <c r="AD16" s="4" t="e">
        <v>#DIV/0!</v>
      </c>
    </row>
    <row r="17" spans="1:30" x14ac:dyDescent="0.25">
      <c r="A17" t="s">
        <v>29</v>
      </c>
      <c r="B17" s="5" t="s">
        <v>46</v>
      </c>
      <c r="C17">
        <v>121.263092</v>
      </c>
      <c r="D17">
        <v>114.00852999999999</v>
      </c>
      <c r="E17">
        <v>112.679802</v>
      </c>
      <c r="F17">
        <v>109.152237</v>
      </c>
      <c r="G17">
        <v>111.44116200000001</v>
      </c>
      <c r="H17">
        <v>110.746788</v>
      </c>
      <c r="I17">
        <v>109.08195499999999</v>
      </c>
      <c r="J17">
        <v>105.37805899999999</v>
      </c>
      <c r="K17">
        <v>107.13153800000001</v>
      </c>
      <c r="L17">
        <v>115.590515</v>
      </c>
      <c r="M17">
        <v>117.459793</v>
      </c>
      <c r="N17">
        <v>116.088753</v>
      </c>
      <c r="O17">
        <v>126.211037</v>
      </c>
      <c r="P17">
        <v>137.634018</v>
      </c>
      <c r="Q17">
        <v>133.08802800000001</v>
      </c>
      <c r="R17">
        <v>133.08105499999999</v>
      </c>
      <c r="S17">
        <v>142.92858899999999</v>
      </c>
      <c r="T17">
        <v>151.02290300000001</v>
      </c>
      <c r="U17">
        <v>154.02372700000001</v>
      </c>
      <c r="V17">
        <v>145.12226899999999</v>
      </c>
      <c r="W17">
        <v>148.65057400000001</v>
      </c>
      <c r="X17">
        <v>151.42823799999999</v>
      </c>
      <c r="Y17">
        <v>158.63649000000001</v>
      </c>
      <c r="Z17">
        <v>159.37339800000001</v>
      </c>
      <c r="AA17">
        <v>160.73350500000001</v>
      </c>
      <c r="AB17">
        <v>162.87339800000001</v>
      </c>
      <c r="AC17">
        <v>166.028503</v>
      </c>
      <c r="AD17" s="4">
        <v>0.3691594058973855</v>
      </c>
    </row>
    <row r="18" spans="1:30" x14ac:dyDescent="0.25">
      <c r="A18" t="s">
        <v>74</v>
      </c>
      <c r="B18" t="s">
        <v>47</v>
      </c>
      <c r="C18">
        <v>25.163345</v>
      </c>
      <c r="D18">
        <v>24.952000000000002</v>
      </c>
      <c r="E18">
        <v>22.030173999999999</v>
      </c>
      <c r="F18">
        <v>20.512464999999999</v>
      </c>
      <c r="G18">
        <v>20.938479999999998</v>
      </c>
      <c r="H18">
        <v>21.419530999999999</v>
      </c>
      <c r="I18">
        <v>22.279104</v>
      </c>
      <c r="J18">
        <v>23.269176000000002</v>
      </c>
      <c r="K18">
        <v>23.856285</v>
      </c>
      <c r="L18">
        <v>24.271243999999999</v>
      </c>
      <c r="M18">
        <v>24.323902</v>
      </c>
      <c r="N18">
        <v>24.291574000000001</v>
      </c>
      <c r="O18">
        <v>24.121323</v>
      </c>
      <c r="P18">
        <v>24.492899000000001</v>
      </c>
      <c r="Q18">
        <v>24.014879000000001</v>
      </c>
      <c r="R18">
        <v>23.241892</v>
      </c>
      <c r="S18">
        <v>22.870134</v>
      </c>
      <c r="T18">
        <v>22.86092</v>
      </c>
      <c r="U18">
        <v>22.761099000000002</v>
      </c>
      <c r="V18">
        <v>22.717751</v>
      </c>
      <c r="W18">
        <v>22.943646999999999</v>
      </c>
      <c r="X18">
        <v>23.209769999999999</v>
      </c>
      <c r="Y18">
        <v>23.233936</v>
      </c>
      <c r="Z18">
        <v>23.601751</v>
      </c>
      <c r="AA18">
        <v>23.734207000000001</v>
      </c>
      <c r="AB18">
        <v>23.888548</v>
      </c>
      <c r="AC18">
        <v>24.058762000000002</v>
      </c>
      <c r="AD18" s="4" cm="1">
        <f t="array" ref="AD18:AD22">(AC18:AC22-C18:C22)/C18:C22</f>
        <v>-4.3896508989563911E-2</v>
      </c>
    </row>
    <row r="19" spans="1:30" x14ac:dyDescent="0.25">
      <c r="A19" t="s">
        <v>74</v>
      </c>
      <c r="B19" t="s">
        <v>49</v>
      </c>
      <c r="C19">
        <v>22.264748000000001</v>
      </c>
      <c r="D19">
        <v>21.608779999999999</v>
      </c>
      <c r="E19">
        <v>18.416491000000001</v>
      </c>
      <c r="F19">
        <v>16.833940999999999</v>
      </c>
      <c r="G19">
        <v>17.252538999999999</v>
      </c>
      <c r="H19">
        <v>17.635764999999999</v>
      </c>
      <c r="I19">
        <v>18.410039999999999</v>
      </c>
      <c r="J19">
        <v>19.10474</v>
      </c>
      <c r="K19">
        <v>19.474851999999998</v>
      </c>
      <c r="L19">
        <v>19.615034000000001</v>
      </c>
      <c r="M19">
        <v>19.463940000000001</v>
      </c>
      <c r="N19">
        <v>19.313372000000001</v>
      </c>
      <c r="O19">
        <v>18.965208000000001</v>
      </c>
      <c r="P19">
        <v>19.176276999999999</v>
      </c>
      <c r="Q19">
        <v>18.581824999999998</v>
      </c>
      <c r="R19">
        <v>17.763598999999999</v>
      </c>
      <c r="S19">
        <v>17.371866000000001</v>
      </c>
      <c r="T19">
        <v>17.279785</v>
      </c>
      <c r="U19">
        <v>17.000294</v>
      </c>
      <c r="V19">
        <v>16.926189000000001</v>
      </c>
      <c r="W19">
        <v>17.035254999999999</v>
      </c>
      <c r="X19">
        <v>17.219061</v>
      </c>
      <c r="Y19">
        <v>17.105588999999998</v>
      </c>
      <c r="Z19">
        <v>17.334959000000001</v>
      </c>
      <c r="AA19">
        <v>17.282803000000001</v>
      </c>
      <c r="AB19">
        <v>17.271591000000001</v>
      </c>
      <c r="AC19">
        <v>17.279523999999999</v>
      </c>
      <c r="AD19" s="4">
        <v>-0.22390659889795303</v>
      </c>
    </row>
    <row r="20" spans="1:30" x14ac:dyDescent="0.25">
      <c r="A20" t="s">
        <v>74</v>
      </c>
      <c r="B20" t="s">
        <v>50</v>
      </c>
      <c r="C20">
        <v>19.252216000000001</v>
      </c>
      <c r="D20">
        <v>18.640705000000001</v>
      </c>
      <c r="E20">
        <v>15.386934</v>
      </c>
      <c r="F20">
        <v>13.918056999999999</v>
      </c>
      <c r="G20">
        <v>14.391621000000001</v>
      </c>
      <c r="H20">
        <v>14.848288999999999</v>
      </c>
      <c r="I20">
        <v>16.003392999999999</v>
      </c>
      <c r="J20">
        <v>17.091351</v>
      </c>
      <c r="K20">
        <v>17.47683</v>
      </c>
      <c r="L20">
        <v>17.371979</v>
      </c>
      <c r="M20">
        <v>17.052112999999999</v>
      </c>
      <c r="N20">
        <v>16.913509000000001</v>
      </c>
      <c r="O20">
        <v>16.544955999999999</v>
      </c>
      <c r="P20">
        <v>16.712633</v>
      </c>
      <c r="Q20">
        <v>16.189774</v>
      </c>
      <c r="R20">
        <v>15.334567</v>
      </c>
      <c r="S20">
        <v>15.082364999999999</v>
      </c>
      <c r="T20">
        <v>14.758594</v>
      </c>
      <c r="U20">
        <v>14.441373</v>
      </c>
      <c r="V20">
        <v>14.434618</v>
      </c>
      <c r="W20">
        <v>14.522308000000001</v>
      </c>
      <c r="X20">
        <v>14.714931</v>
      </c>
      <c r="Y20">
        <v>14.628503</v>
      </c>
      <c r="Z20">
        <v>14.831008000000001</v>
      </c>
      <c r="AA20">
        <v>14.812970999999999</v>
      </c>
      <c r="AB20">
        <v>14.806922</v>
      </c>
      <c r="AC20">
        <v>14.819053</v>
      </c>
      <c r="AD20" s="4">
        <v>-0.23026767412125443</v>
      </c>
    </row>
    <row r="21" spans="1:30" x14ac:dyDescent="0.25">
      <c r="A21" t="s">
        <v>74</v>
      </c>
      <c r="B21" t="s">
        <v>51</v>
      </c>
      <c r="C21">
        <v>22.373843999999998</v>
      </c>
      <c r="D21">
        <v>21.775925000000001</v>
      </c>
      <c r="E21">
        <v>18.705772</v>
      </c>
      <c r="F21">
        <v>16.976637</v>
      </c>
      <c r="G21">
        <v>17.243732000000001</v>
      </c>
      <c r="H21">
        <v>17.529325</v>
      </c>
      <c r="I21">
        <v>18.169692999999999</v>
      </c>
      <c r="J21">
        <v>19.093639</v>
      </c>
      <c r="K21">
        <v>19.169231</v>
      </c>
      <c r="L21">
        <v>19.304022</v>
      </c>
      <c r="M21">
        <v>19.184521</v>
      </c>
      <c r="N21">
        <v>19.062683</v>
      </c>
      <c r="O21">
        <v>18.833404999999999</v>
      </c>
      <c r="P21">
        <v>19.044270999999998</v>
      </c>
      <c r="Q21">
        <v>18.535398000000001</v>
      </c>
      <c r="R21">
        <v>17.812555</v>
      </c>
      <c r="S21">
        <v>17.440853000000001</v>
      </c>
      <c r="T21">
        <v>17.275836999999999</v>
      </c>
      <c r="U21">
        <v>17.022879</v>
      </c>
      <c r="V21">
        <v>16.923978999999999</v>
      </c>
      <c r="W21">
        <v>17.067595000000001</v>
      </c>
      <c r="X21">
        <v>17.221640000000001</v>
      </c>
      <c r="Y21">
        <v>17.143103</v>
      </c>
      <c r="Z21">
        <v>17.322686999999998</v>
      </c>
      <c r="AA21">
        <v>17.340212000000001</v>
      </c>
      <c r="AB21">
        <v>17.356967999999998</v>
      </c>
      <c r="AC21">
        <v>17.378218</v>
      </c>
      <c r="AD21" s="4">
        <v>-0.22327973682126318</v>
      </c>
    </row>
    <row r="22" spans="1:30" x14ac:dyDescent="0.25">
      <c r="A22" t="s">
        <v>74</v>
      </c>
      <c r="B22" t="s">
        <v>52</v>
      </c>
      <c r="C22">
        <v>22.444642999999999</v>
      </c>
      <c r="D22">
        <v>21.893222999999999</v>
      </c>
      <c r="E22">
        <v>18.825699</v>
      </c>
      <c r="F22">
        <v>17.312462</v>
      </c>
      <c r="G22">
        <v>17.711302</v>
      </c>
      <c r="H22">
        <v>18.112044999999998</v>
      </c>
      <c r="I22">
        <v>19.012585000000001</v>
      </c>
      <c r="J22">
        <v>19.918189999999999</v>
      </c>
      <c r="K22">
        <v>20.295743999999999</v>
      </c>
      <c r="L22">
        <v>20.369105999999999</v>
      </c>
      <c r="M22">
        <v>20.171576000000002</v>
      </c>
      <c r="N22">
        <v>20.026620999999999</v>
      </c>
      <c r="O22">
        <v>19.676984999999998</v>
      </c>
      <c r="P22">
        <v>19.89217</v>
      </c>
      <c r="Q22">
        <v>19.358004000000001</v>
      </c>
      <c r="R22">
        <v>18.517531999999999</v>
      </c>
      <c r="S22">
        <v>18.190899000000002</v>
      </c>
      <c r="T22">
        <v>17.97607</v>
      </c>
      <c r="U22">
        <v>17.714576999999998</v>
      </c>
      <c r="V22">
        <v>17.682456999999999</v>
      </c>
      <c r="W22">
        <v>17.802025</v>
      </c>
      <c r="X22">
        <v>18.008800999999998</v>
      </c>
      <c r="Y22">
        <v>17.938911000000001</v>
      </c>
      <c r="Z22">
        <v>18.188441999999998</v>
      </c>
      <c r="AA22">
        <v>18.18206</v>
      </c>
      <c r="AB22">
        <v>18.201248</v>
      </c>
      <c r="AC22">
        <v>18.233592999999999</v>
      </c>
      <c r="AD22" s="4">
        <v>-0.18761937982261515</v>
      </c>
    </row>
    <row r="23" spans="1:30" x14ac:dyDescent="0.25">
      <c r="A23" t="s">
        <v>75</v>
      </c>
      <c r="B23" t="s">
        <v>47</v>
      </c>
      <c r="C23">
        <v>25.163345</v>
      </c>
      <c r="D23">
        <v>25.524533999999999</v>
      </c>
      <c r="E23">
        <v>22.939465999999999</v>
      </c>
      <c r="F23">
        <v>21.726728000000001</v>
      </c>
      <c r="G23">
        <v>22.567060000000001</v>
      </c>
      <c r="H23">
        <v>23.429565</v>
      </c>
      <c r="I23">
        <v>24.753240999999999</v>
      </c>
      <c r="J23">
        <v>26.305233000000001</v>
      </c>
      <c r="K23">
        <v>27.441769000000001</v>
      </c>
      <c r="L23">
        <v>28.409002000000001</v>
      </c>
      <c r="M23">
        <v>28.968647000000001</v>
      </c>
      <c r="N23">
        <v>29.430927000000001</v>
      </c>
      <c r="O23">
        <v>29.726049</v>
      </c>
      <c r="P23">
        <v>30.724482999999999</v>
      </c>
      <c r="Q23">
        <v>30.686754000000001</v>
      </c>
      <c r="R23">
        <v>30.278963000000001</v>
      </c>
      <c r="S23">
        <v>30.415241000000002</v>
      </c>
      <c r="T23">
        <v>31.072668</v>
      </c>
      <c r="U23">
        <v>31.643792999999999</v>
      </c>
      <c r="V23">
        <v>32.327098999999997</v>
      </c>
      <c r="W23">
        <v>33.439857000000003</v>
      </c>
      <c r="X23">
        <v>34.654147999999999</v>
      </c>
      <c r="Y23">
        <v>35.539749</v>
      </c>
      <c r="Z23">
        <v>36.982498</v>
      </c>
      <c r="AA23">
        <v>38.082115000000002</v>
      </c>
      <c r="AB23">
        <v>39.238976000000001</v>
      </c>
      <c r="AC23">
        <v>40.435569999999998</v>
      </c>
      <c r="AD23" s="4" cm="1">
        <f t="array" ref="AD23:AD27">(AC23:AC27-C23:C27)/C23:C27</f>
        <v>0.60692348334452351</v>
      </c>
    </row>
    <row r="24" spans="1:30" x14ac:dyDescent="0.25">
      <c r="A24" t="s">
        <v>75</v>
      </c>
      <c r="B24" t="s">
        <v>49</v>
      </c>
      <c r="C24">
        <v>22.264748000000001</v>
      </c>
      <c r="D24">
        <v>22.104603000000001</v>
      </c>
      <c r="E24">
        <v>19.176628000000001</v>
      </c>
      <c r="F24">
        <v>17.830448000000001</v>
      </c>
      <c r="G24">
        <v>18.594429000000002</v>
      </c>
      <c r="H24">
        <v>19.290725999999999</v>
      </c>
      <c r="I24">
        <v>20.454509999999999</v>
      </c>
      <c r="J24">
        <v>21.597441</v>
      </c>
      <c r="K24">
        <v>22.401827000000001</v>
      </c>
      <c r="L24">
        <v>22.959002999999999</v>
      </c>
      <c r="M24">
        <v>23.180655999999999</v>
      </c>
      <c r="N24">
        <v>23.399488000000002</v>
      </c>
      <c r="O24">
        <v>23.371883</v>
      </c>
      <c r="P24">
        <v>24.055185000000002</v>
      </c>
      <c r="Q24">
        <v>23.744274000000001</v>
      </c>
      <c r="R24">
        <v>23.141978999999999</v>
      </c>
      <c r="S24">
        <v>23.103034999999998</v>
      </c>
      <c r="T24">
        <v>23.486764999999998</v>
      </c>
      <c r="U24">
        <v>23.634789000000001</v>
      </c>
      <c r="V24">
        <v>24.085771999999999</v>
      </c>
      <c r="W24">
        <v>24.828506000000001</v>
      </c>
      <c r="X24">
        <v>25.709510999999999</v>
      </c>
      <c r="Y24">
        <v>26.165534999999998</v>
      </c>
      <c r="Z24">
        <v>27.162818999999999</v>
      </c>
      <c r="AA24">
        <v>27.730678999999999</v>
      </c>
      <c r="AB24">
        <v>28.370062000000001</v>
      </c>
      <c r="AC24">
        <v>29.041702000000001</v>
      </c>
      <c r="AD24" s="4">
        <v>0.30438044930937463</v>
      </c>
    </row>
    <row r="25" spans="1:30" x14ac:dyDescent="0.25">
      <c r="A25" t="s">
        <v>75</v>
      </c>
      <c r="B25" t="s">
        <v>50</v>
      </c>
      <c r="C25">
        <v>19.252216000000001</v>
      </c>
      <c r="D25">
        <v>19.068424</v>
      </c>
      <c r="E25">
        <v>16.022026</v>
      </c>
      <c r="F25">
        <v>14.741955000000001</v>
      </c>
      <c r="G25">
        <v>15.51099</v>
      </c>
      <c r="H25">
        <v>16.241671</v>
      </c>
      <c r="I25">
        <v>17.7806</v>
      </c>
      <c r="J25">
        <v>19.321353999999999</v>
      </c>
      <c r="K25">
        <v>20.103511999999998</v>
      </c>
      <c r="L25">
        <v>20.333551</v>
      </c>
      <c r="M25">
        <v>20.308281000000001</v>
      </c>
      <c r="N25">
        <v>20.491887999999999</v>
      </c>
      <c r="O25">
        <v>20.389271000000001</v>
      </c>
      <c r="P25">
        <v>20.964731</v>
      </c>
      <c r="Q25">
        <v>20.687657999999999</v>
      </c>
      <c r="R25">
        <v>19.977495000000001</v>
      </c>
      <c r="S25">
        <v>20.058202999999999</v>
      </c>
      <c r="T25">
        <v>20.059947999999999</v>
      </c>
      <c r="U25">
        <v>20.077228999999999</v>
      </c>
      <c r="V25">
        <v>20.540295</v>
      </c>
      <c r="W25">
        <v>21.165941</v>
      </c>
      <c r="X25">
        <v>21.970634</v>
      </c>
      <c r="Y25">
        <v>22.376463000000001</v>
      </c>
      <c r="Z25">
        <v>23.239280999999998</v>
      </c>
      <c r="AA25">
        <v>23.767775</v>
      </c>
      <c r="AB25">
        <v>24.321632000000001</v>
      </c>
      <c r="AC25">
        <v>24.906386999999999</v>
      </c>
      <c r="AD25" s="4">
        <v>0.29368936022741476</v>
      </c>
    </row>
    <row r="26" spans="1:30" x14ac:dyDescent="0.25">
      <c r="A26" t="s">
        <v>75</v>
      </c>
      <c r="B26" t="s">
        <v>51</v>
      </c>
      <c r="C26">
        <v>22.373843999999998</v>
      </c>
      <c r="D26">
        <v>22.275583000000001</v>
      </c>
      <c r="E26">
        <v>19.47785</v>
      </c>
      <c r="F26">
        <v>17.981591999999999</v>
      </c>
      <c r="G26">
        <v>18.584938000000001</v>
      </c>
      <c r="H26">
        <v>19.174296999999999</v>
      </c>
      <c r="I26">
        <v>20.187470999999999</v>
      </c>
      <c r="J26">
        <v>21.584892</v>
      </c>
      <c r="K26">
        <v>22.050272</v>
      </c>
      <c r="L26">
        <v>22.594968999999999</v>
      </c>
      <c r="M26">
        <v>22.847878999999999</v>
      </c>
      <c r="N26">
        <v>23.095759999999999</v>
      </c>
      <c r="O26">
        <v>23.209454000000001</v>
      </c>
      <c r="P26">
        <v>23.889593000000001</v>
      </c>
      <c r="Q26">
        <v>23.684950000000001</v>
      </c>
      <c r="R26">
        <v>23.205756999999998</v>
      </c>
      <c r="S26">
        <v>23.194782</v>
      </c>
      <c r="T26">
        <v>23.481397999999999</v>
      </c>
      <c r="U26">
        <v>23.666187000000001</v>
      </c>
      <c r="V26">
        <v>24.082626000000001</v>
      </c>
      <c r="W26">
        <v>24.875641000000002</v>
      </c>
      <c r="X26">
        <v>25.713360000000002</v>
      </c>
      <c r="Y26">
        <v>26.222918</v>
      </c>
      <c r="Z26">
        <v>27.143588999999999</v>
      </c>
      <c r="AA26">
        <v>27.822793999999998</v>
      </c>
      <c r="AB26">
        <v>28.510300000000001</v>
      </c>
      <c r="AC26">
        <v>29.207574999999999</v>
      </c>
      <c r="AD26" s="4">
        <v>0.30543392543543257</v>
      </c>
    </row>
    <row r="27" spans="1:30" x14ac:dyDescent="0.25">
      <c r="A27" t="s">
        <v>75</v>
      </c>
      <c r="B27" t="s">
        <v>52</v>
      </c>
      <c r="C27">
        <v>22.444642999999999</v>
      </c>
      <c r="D27">
        <v>22.395572999999999</v>
      </c>
      <c r="E27">
        <v>19.602726000000001</v>
      </c>
      <c r="F27">
        <v>18.337295999999998</v>
      </c>
      <c r="G27">
        <v>19.088873</v>
      </c>
      <c r="H27">
        <v>19.811700999999999</v>
      </c>
      <c r="I27">
        <v>21.123968000000001</v>
      </c>
      <c r="J27">
        <v>22.517025</v>
      </c>
      <c r="K27">
        <v>23.346095999999999</v>
      </c>
      <c r="L27">
        <v>23.841631</v>
      </c>
      <c r="M27">
        <v>24.023416999999998</v>
      </c>
      <c r="N27">
        <v>24.263638</v>
      </c>
      <c r="O27">
        <v>24.249046</v>
      </c>
      <c r="P27">
        <v>24.953220000000002</v>
      </c>
      <c r="Q27">
        <v>24.736091999999999</v>
      </c>
      <c r="R27">
        <v>24.124186000000002</v>
      </c>
      <c r="S27">
        <v>24.192276</v>
      </c>
      <c r="T27">
        <v>24.433157000000001</v>
      </c>
      <c r="U27">
        <v>24.627827</v>
      </c>
      <c r="V27">
        <v>25.161932</v>
      </c>
      <c r="W27">
        <v>25.946055999999999</v>
      </c>
      <c r="X27">
        <v>26.888659000000001</v>
      </c>
      <c r="Y27">
        <v>27.440225999999999</v>
      </c>
      <c r="Z27">
        <v>28.500174000000001</v>
      </c>
      <c r="AA27">
        <v>29.173559000000001</v>
      </c>
      <c r="AB27">
        <v>29.897102</v>
      </c>
      <c r="AC27">
        <v>30.645205000000001</v>
      </c>
      <c r="AD27" s="4">
        <v>0.36536834201372692</v>
      </c>
    </row>
    <row r="28" spans="1:30" x14ac:dyDescent="0.25">
      <c r="A28" t="s">
        <v>76</v>
      </c>
      <c r="B28" t="s">
        <v>54</v>
      </c>
      <c r="C28">
        <v>14.168519</v>
      </c>
      <c r="D28">
        <v>13.392917000000001</v>
      </c>
      <c r="E28">
        <v>10.02581</v>
      </c>
      <c r="F28">
        <v>8.3389620000000004</v>
      </c>
      <c r="G28">
        <v>8.6361729999999994</v>
      </c>
      <c r="H28">
        <v>8.8862430000000003</v>
      </c>
      <c r="I28">
        <v>9.556559</v>
      </c>
      <c r="J28">
        <v>10.301</v>
      </c>
      <c r="K28">
        <v>10.463153</v>
      </c>
      <c r="L28">
        <v>10.478681</v>
      </c>
      <c r="M28">
        <v>10.220636000000001</v>
      </c>
      <c r="N28">
        <v>10.009568</v>
      </c>
      <c r="O28">
        <v>9.5346779999999995</v>
      </c>
      <c r="P28">
        <v>9.4230300000000007</v>
      </c>
      <c r="Q28">
        <v>8.7948520000000006</v>
      </c>
      <c r="R28">
        <v>8.0021489999999993</v>
      </c>
      <c r="S28">
        <v>7.6496320000000004</v>
      </c>
      <c r="T28">
        <v>7.4079920000000001</v>
      </c>
      <c r="U28">
        <v>7.0665550000000001</v>
      </c>
      <c r="V28">
        <v>6.9638299999999997</v>
      </c>
      <c r="W28">
        <v>7.0423669999999996</v>
      </c>
      <c r="X28">
        <v>7.1942180000000002</v>
      </c>
      <c r="Y28">
        <v>7.0719260000000004</v>
      </c>
      <c r="Z28">
        <v>7.2919549999999997</v>
      </c>
      <c r="AA28">
        <v>7.262378</v>
      </c>
      <c r="AB28">
        <v>7.2492320000000001</v>
      </c>
      <c r="AC28">
        <v>7.2488390000000003</v>
      </c>
      <c r="AD28" s="4" cm="1">
        <f t="array" ref="AD28:AD30">(AC28:AC30-C28:C30)/C28:C30</f>
        <v>-0.48838414233696548</v>
      </c>
    </row>
    <row r="29" spans="1:30" x14ac:dyDescent="0.25">
      <c r="A29" t="s">
        <v>76</v>
      </c>
      <c r="B29" t="s">
        <v>55</v>
      </c>
      <c r="C29">
        <v>1.960458</v>
      </c>
      <c r="D29">
        <v>2.0398079999999998</v>
      </c>
      <c r="E29">
        <v>2.1371609999999999</v>
      </c>
      <c r="F29">
        <v>2.1906349999999999</v>
      </c>
      <c r="G29">
        <v>2.2206109999999999</v>
      </c>
      <c r="H29">
        <v>2.2692679999999998</v>
      </c>
      <c r="I29">
        <v>2.345526</v>
      </c>
      <c r="J29">
        <v>2.4015629999999999</v>
      </c>
      <c r="K29">
        <v>2.473468</v>
      </c>
      <c r="L29">
        <v>2.49566</v>
      </c>
      <c r="M29">
        <v>2.5352299999999999</v>
      </c>
      <c r="N29">
        <v>2.558236</v>
      </c>
      <c r="O29">
        <v>2.6175419999999998</v>
      </c>
      <c r="P29">
        <v>2.8676710000000001</v>
      </c>
      <c r="Q29">
        <v>2.9543339999999998</v>
      </c>
      <c r="R29">
        <v>2.9461390000000001</v>
      </c>
      <c r="S29">
        <v>2.9761709999999999</v>
      </c>
      <c r="T29">
        <v>3.022465</v>
      </c>
      <c r="U29">
        <v>3.0740379999999998</v>
      </c>
      <c r="V29">
        <v>3.093391</v>
      </c>
      <c r="W29">
        <v>3.1115979999999999</v>
      </c>
      <c r="X29">
        <v>3.135294</v>
      </c>
      <c r="Y29">
        <v>3.1517369999999998</v>
      </c>
      <c r="Z29">
        <v>3.1455419999999998</v>
      </c>
      <c r="AA29">
        <v>3.1388449999999999</v>
      </c>
      <c r="AB29">
        <v>3.1398630000000001</v>
      </c>
      <c r="AC29">
        <v>3.146528</v>
      </c>
      <c r="AD29" s="4">
        <v>0.60499638349814178</v>
      </c>
    </row>
    <row r="30" spans="1:30" x14ac:dyDescent="0.25">
      <c r="A30" t="s">
        <v>76</v>
      </c>
      <c r="B30" t="s">
        <v>56</v>
      </c>
      <c r="C30">
        <v>6.3156660000000002</v>
      </c>
      <c r="D30">
        <v>6.4604990000000004</v>
      </c>
      <c r="E30">
        <v>6.6627270000000003</v>
      </c>
      <c r="F30">
        <v>6.7828660000000003</v>
      </c>
      <c r="G30">
        <v>6.8545170000000004</v>
      </c>
      <c r="H30">
        <v>6.9565349999999997</v>
      </c>
      <c r="I30">
        <v>7.1105</v>
      </c>
      <c r="J30">
        <v>7.2156260000000003</v>
      </c>
      <c r="K30">
        <v>7.3591240000000004</v>
      </c>
      <c r="L30">
        <v>7.394768</v>
      </c>
      <c r="M30">
        <v>7.4157089999999997</v>
      </c>
      <c r="N30">
        <v>7.4588169999999998</v>
      </c>
      <c r="O30">
        <v>7.5247650000000004</v>
      </c>
      <c r="P30">
        <v>7.6014699999999999</v>
      </c>
      <c r="Q30">
        <v>7.608816</v>
      </c>
      <c r="R30">
        <v>7.5692440000000003</v>
      </c>
      <c r="S30">
        <v>7.5650959999999996</v>
      </c>
      <c r="T30">
        <v>7.5456149999999997</v>
      </c>
      <c r="U30">
        <v>7.5739840000000003</v>
      </c>
      <c r="V30">
        <v>7.6252370000000003</v>
      </c>
      <c r="W30">
        <v>7.6480610000000002</v>
      </c>
      <c r="X30">
        <v>7.6792879999999997</v>
      </c>
      <c r="Y30">
        <v>7.715249</v>
      </c>
      <c r="Z30">
        <v>7.7509459999999999</v>
      </c>
      <c r="AA30">
        <v>7.7808380000000001</v>
      </c>
      <c r="AB30">
        <v>7.8121530000000003</v>
      </c>
      <c r="AC30">
        <v>7.8382250000000004</v>
      </c>
      <c r="AD30" s="4">
        <v>0.24107655471331133</v>
      </c>
    </row>
    <row r="31" spans="1:30" x14ac:dyDescent="0.25">
      <c r="A31" t="s">
        <v>77</v>
      </c>
      <c r="B31" t="s">
        <v>54</v>
      </c>
      <c r="C31">
        <v>14.168519</v>
      </c>
      <c r="D31">
        <v>13.700222999999999</v>
      </c>
      <c r="E31">
        <v>10.439624</v>
      </c>
      <c r="F31">
        <v>8.8325980000000008</v>
      </c>
      <c r="G31">
        <v>9.3078889999999994</v>
      </c>
      <c r="H31">
        <v>9.7201389999999996</v>
      </c>
      <c r="I31">
        <v>10.617832999999999</v>
      </c>
      <c r="J31">
        <v>11.645027000000001</v>
      </c>
      <c r="K31">
        <v>12.035712999999999</v>
      </c>
      <c r="L31">
        <v>12.265084999999999</v>
      </c>
      <c r="M31">
        <v>12.172307</v>
      </c>
      <c r="N31">
        <v>12.127285000000001</v>
      </c>
      <c r="O31">
        <v>11.750114</v>
      </c>
      <c r="P31">
        <v>11.820477</v>
      </c>
      <c r="Q31">
        <v>11.23826</v>
      </c>
      <c r="R31">
        <v>10.425001</v>
      </c>
      <c r="S31">
        <v>10.17333</v>
      </c>
      <c r="T31">
        <v>10.068975999999999</v>
      </c>
      <c r="U31">
        <v>9.8243310000000008</v>
      </c>
      <c r="V31">
        <v>9.9094490000000004</v>
      </c>
      <c r="W31">
        <v>10.264093000000001</v>
      </c>
      <c r="X31">
        <v>10.741574</v>
      </c>
      <c r="Y31">
        <v>10.817558</v>
      </c>
      <c r="Z31">
        <v>11.426047000000001</v>
      </c>
      <c r="AA31">
        <v>11.652663</v>
      </c>
      <c r="AB31">
        <v>11.907482</v>
      </c>
      <c r="AC31">
        <v>12.183126</v>
      </c>
      <c r="AD31" s="4" cm="1">
        <f t="array" ref="AD31:AD33">(AC31:AC33-C31:C33)/C31:C33</f>
        <v>-0.14012706620924884</v>
      </c>
    </row>
    <row r="32" spans="1:30" x14ac:dyDescent="0.25">
      <c r="A32" t="s">
        <v>77</v>
      </c>
      <c r="B32" t="s">
        <v>55</v>
      </c>
      <c r="C32">
        <v>1.960458</v>
      </c>
      <c r="D32">
        <v>2.0866120000000001</v>
      </c>
      <c r="E32">
        <v>2.2253720000000001</v>
      </c>
      <c r="F32">
        <v>2.3203119999999999</v>
      </c>
      <c r="G32">
        <v>2.3933279999999999</v>
      </c>
      <c r="H32">
        <v>2.4822190000000002</v>
      </c>
      <c r="I32">
        <v>2.6060020000000002</v>
      </c>
      <c r="J32">
        <v>2.714909</v>
      </c>
      <c r="K32">
        <v>2.845218</v>
      </c>
      <c r="L32">
        <v>2.9211200000000002</v>
      </c>
      <c r="M32">
        <v>3.019342</v>
      </c>
      <c r="N32">
        <v>3.0994799999999998</v>
      </c>
      <c r="O32">
        <v>3.2257419999999999</v>
      </c>
      <c r="P32">
        <v>3.5972759999999999</v>
      </c>
      <c r="Q32">
        <v>3.7751139999999999</v>
      </c>
      <c r="R32">
        <v>3.8381569999999998</v>
      </c>
      <c r="S32">
        <v>3.9580419999999998</v>
      </c>
      <c r="T32">
        <v>4.1081479999999999</v>
      </c>
      <c r="U32">
        <v>4.2737049999999996</v>
      </c>
      <c r="V32">
        <v>4.401859</v>
      </c>
      <c r="W32">
        <v>4.5350859999999997</v>
      </c>
      <c r="X32">
        <v>4.6812579999999997</v>
      </c>
      <c r="Y32">
        <v>4.8210490000000004</v>
      </c>
      <c r="Z32">
        <v>4.9288720000000001</v>
      </c>
      <c r="AA32">
        <v>5.0363540000000002</v>
      </c>
      <c r="AB32">
        <v>5.1574929999999997</v>
      </c>
      <c r="AC32">
        <v>5.2883699999999996</v>
      </c>
      <c r="AD32" s="4">
        <v>1.6975176208824669</v>
      </c>
    </row>
    <row r="33" spans="1:30" x14ac:dyDescent="0.25">
      <c r="A33" t="s">
        <v>77</v>
      </c>
      <c r="B33" t="s">
        <v>56</v>
      </c>
      <c r="C33">
        <v>6.3156660000000002</v>
      </c>
      <c r="D33">
        <v>6.6087379999999998</v>
      </c>
      <c r="E33">
        <v>6.9377300000000002</v>
      </c>
      <c r="F33">
        <v>7.1843870000000001</v>
      </c>
      <c r="G33">
        <v>7.3876569999999999</v>
      </c>
      <c r="H33">
        <v>7.6093440000000001</v>
      </c>
      <c r="I33">
        <v>7.9001349999999997</v>
      </c>
      <c r="J33">
        <v>8.1570879999999999</v>
      </c>
      <c r="K33">
        <v>8.4651650000000007</v>
      </c>
      <c r="L33">
        <v>8.6554269999999995</v>
      </c>
      <c r="M33">
        <v>8.8317669999999993</v>
      </c>
      <c r="N33">
        <v>9.0368739999999992</v>
      </c>
      <c r="O33">
        <v>9.2731870000000001</v>
      </c>
      <c r="P33">
        <v>9.5354679999999998</v>
      </c>
      <c r="Q33">
        <v>9.7227160000000001</v>
      </c>
      <c r="R33">
        <v>9.8610249999999997</v>
      </c>
      <c r="S33">
        <v>10.060905</v>
      </c>
      <c r="T33">
        <v>10.256034</v>
      </c>
      <c r="U33">
        <v>10.529788999999999</v>
      </c>
      <c r="V33">
        <v>10.850624</v>
      </c>
      <c r="W33">
        <v>11.146879</v>
      </c>
      <c r="X33">
        <v>11.465825000000001</v>
      </c>
      <c r="Y33">
        <v>11.801617</v>
      </c>
      <c r="Z33">
        <v>12.145257000000001</v>
      </c>
      <c r="AA33">
        <v>12.484544</v>
      </c>
      <c r="AB33">
        <v>12.832128000000001</v>
      </c>
      <c r="AC33">
        <v>13.173708</v>
      </c>
      <c r="AD33" s="4">
        <v>1.0858778789125325</v>
      </c>
    </row>
    <row r="34" spans="1:30" x14ac:dyDescent="0.25">
      <c r="A34" t="s">
        <v>57</v>
      </c>
      <c r="B34" t="s">
        <v>58</v>
      </c>
      <c r="C34">
        <v>7.1339259999999998</v>
      </c>
      <c r="D34">
        <v>5.7396089999999997</v>
      </c>
      <c r="E34">
        <v>4.9622140000000003</v>
      </c>
      <c r="F34">
        <v>4.3335790000000003</v>
      </c>
      <c r="G34">
        <v>4.5726779999999998</v>
      </c>
      <c r="H34">
        <v>4.3602420000000004</v>
      </c>
      <c r="I34">
        <v>4.6697449999999998</v>
      </c>
      <c r="J34">
        <v>5.0400710000000002</v>
      </c>
      <c r="K34">
        <v>5.1995089999999999</v>
      </c>
      <c r="L34">
        <v>4.9472519999999998</v>
      </c>
      <c r="M34">
        <v>4.8040380000000003</v>
      </c>
      <c r="N34">
        <v>4.3863830000000004</v>
      </c>
      <c r="O34">
        <v>4.0530410000000003</v>
      </c>
      <c r="P34">
        <v>3.5695030000000001</v>
      </c>
      <c r="Q34">
        <v>2.5648650000000002</v>
      </c>
      <c r="R34">
        <v>2.395143</v>
      </c>
      <c r="S34">
        <v>2.446774</v>
      </c>
      <c r="T34">
        <v>2.290921</v>
      </c>
      <c r="U34">
        <v>2.214242</v>
      </c>
      <c r="V34">
        <v>2.0334650000000001</v>
      </c>
      <c r="W34">
        <v>2.0507170000000001</v>
      </c>
      <c r="X34">
        <v>2.0216970000000001</v>
      </c>
      <c r="Y34">
        <v>2.0854870000000001</v>
      </c>
      <c r="Z34">
        <v>2.0732089999999999</v>
      </c>
      <c r="AA34">
        <v>2.1187209999999999</v>
      </c>
      <c r="AB34">
        <v>2.113127</v>
      </c>
      <c r="AC34">
        <v>2.1552889999999998</v>
      </c>
      <c r="AD34" s="4" cm="1">
        <f t="array" ref="AD34:AD38">(AC34:AC38-C34:C38)/C34:C38</f>
        <v>-0.69788178346677554</v>
      </c>
    </row>
    <row r="35" spans="1:30" x14ac:dyDescent="0.25">
      <c r="A35" t="s">
        <v>57</v>
      </c>
      <c r="B35" t="s">
        <v>60</v>
      </c>
      <c r="C35">
        <v>26.157717000000002</v>
      </c>
      <c r="D35">
        <v>21.045237</v>
      </c>
      <c r="E35">
        <v>18.194777999999999</v>
      </c>
      <c r="F35">
        <v>15.889801</v>
      </c>
      <c r="G35">
        <v>16.766487000000001</v>
      </c>
      <c r="H35">
        <v>15.987572</v>
      </c>
      <c r="I35">
        <v>17.122399999999999</v>
      </c>
      <c r="J35">
        <v>18.480264999999999</v>
      </c>
      <c r="K35">
        <v>19.064858999999998</v>
      </c>
      <c r="L35">
        <v>18.139925000000002</v>
      </c>
      <c r="M35">
        <v>17.614798</v>
      </c>
      <c r="N35">
        <v>16.083406</v>
      </c>
      <c r="O35">
        <v>14.861148</v>
      </c>
      <c r="P35">
        <v>13.088177999999999</v>
      </c>
      <c r="Q35">
        <v>9.4045070000000006</v>
      </c>
      <c r="R35">
        <v>8.7821979999999993</v>
      </c>
      <c r="S35">
        <v>8.9715009999999999</v>
      </c>
      <c r="T35">
        <v>8.4000450000000004</v>
      </c>
      <c r="U35">
        <v>8.1188859999999998</v>
      </c>
      <c r="V35">
        <v>7.4560360000000001</v>
      </c>
      <c r="W35">
        <v>7.5192949999999996</v>
      </c>
      <c r="X35">
        <v>7.4128910000000001</v>
      </c>
      <c r="Y35">
        <v>7.6467830000000001</v>
      </c>
      <c r="Z35">
        <v>7.601769</v>
      </c>
      <c r="AA35">
        <v>7.7686440000000001</v>
      </c>
      <c r="AB35">
        <v>7.748138</v>
      </c>
      <c r="AC35">
        <v>7.9027269999999996</v>
      </c>
      <c r="AD35" s="4">
        <v>-0.69788162323187464</v>
      </c>
    </row>
    <row r="36" spans="1:30" x14ac:dyDescent="0.25">
      <c r="A36" t="s">
        <v>57</v>
      </c>
      <c r="B36" t="s">
        <v>61</v>
      </c>
      <c r="C36">
        <v>2.05E-4</v>
      </c>
      <c r="D36">
        <v>1.84E-4</v>
      </c>
      <c r="E36">
        <v>2.1599999999999999E-4</v>
      </c>
      <c r="F36">
        <v>1.95E-4</v>
      </c>
      <c r="G36">
        <v>1.85E-4</v>
      </c>
      <c r="H36">
        <v>1.34E-4</v>
      </c>
      <c r="I36">
        <v>5.1999999999999997E-5</v>
      </c>
      <c r="J36">
        <v>5.5999999999999999E-5</v>
      </c>
      <c r="K36">
        <v>2.0999999999999999E-5</v>
      </c>
      <c r="L36">
        <v>2.3E-5</v>
      </c>
      <c r="M36">
        <v>2.4000000000000001E-5</v>
      </c>
      <c r="N36">
        <v>2.5999999999999998E-5</v>
      </c>
      <c r="O36">
        <v>2.6999999999999999E-5</v>
      </c>
      <c r="P36">
        <v>2.9E-5</v>
      </c>
      <c r="Q36">
        <v>3.4999999999999997E-5</v>
      </c>
      <c r="R36">
        <v>3.77E-4</v>
      </c>
      <c r="S36">
        <v>3.8499999999999998E-4</v>
      </c>
      <c r="T36">
        <v>1.8699999999999999E-4</v>
      </c>
      <c r="U36">
        <v>1.6699999999999999E-4</v>
      </c>
      <c r="V36">
        <v>1.4100000000000001E-4</v>
      </c>
      <c r="W36">
        <v>1.45E-4</v>
      </c>
      <c r="X36">
        <v>1.46E-4</v>
      </c>
      <c r="Y36">
        <v>1.4799999999999999E-4</v>
      </c>
      <c r="Z36">
        <v>1.5799999999999999E-4</v>
      </c>
      <c r="AA36">
        <v>1.55E-4</v>
      </c>
      <c r="AB36">
        <v>1.36E-4</v>
      </c>
      <c r="AC36">
        <v>1.2E-4</v>
      </c>
      <c r="AD36" s="4">
        <v>-0.41463414634146339</v>
      </c>
    </row>
    <row r="37" spans="1:30" x14ac:dyDescent="0.25">
      <c r="A37" t="s">
        <v>57</v>
      </c>
      <c r="B37" t="s">
        <v>62</v>
      </c>
      <c r="C37">
        <v>1.0314E-2</v>
      </c>
      <c r="D37">
        <v>7.8539999999999999E-3</v>
      </c>
      <c r="E37">
        <v>7.4310000000000001E-3</v>
      </c>
      <c r="F37">
        <v>7.718E-3</v>
      </c>
      <c r="G37">
        <v>7.7600000000000004E-3</v>
      </c>
      <c r="H37">
        <v>7.3689999999999997E-3</v>
      </c>
      <c r="I37">
        <v>9.4990000000000005E-3</v>
      </c>
      <c r="J37">
        <v>8.1279999999999998E-3</v>
      </c>
      <c r="K37">
        <v>7.2160000000000002E-3</v>
      </c>
      <c r="L37">
        <v>7.0099999999999997E-3</v>
      </c>
      <c r="M37">
        <v>7.2420000000000002E-3</v>
      </c>
      <c r="N37">
        <v>6.9030000000000003E-3</v>
      </c>
      <c r="O37">
        <v>6.711E-3</v>
      </c>
      <c r="P37">
        <v>6.2719999999999998E-3</v>
      </c>
      <c r="Q37">
        <v>5.457E-3</v>
      </c>
      <c r="R37">
        <v>6.6499999999999997E-3</v>
      </c>
      <c r="S37">
        <v>6.6769999999999998E-3</v>
      </c>
      <c r="T37">
        <v>6.3839999999999999E-3</v>
      </c>
      <c r="U37">
        <v>6.4229999999999999E-3</v>
      </c>
      <c r="V37">
        <v>6.3369999999999998E-3</v>
      </c>
      <c r="W37">
        <v>6.6340000000000001E-3</v>
      </c>
      <c r="X37">
        <v>6.711E-3</v>
      </c>
      <c r="Y37">
        <v>7.077E-3</v>
      </c>
      <c r="Z37">
        <v>7.0060000000000001E-3</v>
      </c>
      <c r="AA37">
        <v>6.8770000000000003E-3</v>
      </c>
      <c r="AB37">
        <v>6.8760000000000002E-3</v>
      </c>
      <c r="AC37">
        <v>6.8770000000000003E-3</v>
      </c>
      <c r="AD37" s="4">
        <v>-0.3332363777389955</v>
      </c>
    </row>
    <row r="38" spans="1:30" x14ac:dyDescent="0.25">
      <c r="A38" t="s">
        <v>57</v>
      </c>
      <c r="B38" t="s">
        <v>63</v>
      </c>
      <c r="C38">
        <v>9.9999999999999995E-7</v>
      </c>
      <c r="D38">
        <v>3.9999999999999998E-6</v>
      </c>
      <c r="E38">
        <v>9.9999999999999995E-7</v>
      </c>
      <c r="F38">
        <v>9.9999999999999995E-7</v>
      </c>
      <c r="G38">
        <v>9.9999999999999995E-7</v>
      </c>
      <c r="H38">
        <v>9.9999999999999995E-7</v>
      </c>
      <c r="I38">
        <v>3.9999999999999998E-6</v>
      </c>
      <c r="J38">
        <v>0</v>
      </c>
      <c r="K38">
        <v>3.9999999999999998E-6</v>
      </c>
      <c r="L38">
        <v>9.9999999999999995E-7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 s="4">
        <v>-1</v>
      </c>
    </row>
    <row r="39" spans="1:30" x14ac:dyDescent="0.25">
      <c r="A39" t="s">
        <v>70</v>
      </c>
      <c r="B39" t="s">
        <v>66</v>
      </c>
      <c r="C39" cm="1">
        <f t="array" ref="C39:C42">907185*C34:C37*10^6/(C17*10^9)</f>
        <v>53.369830437030252</v>
      </c>
      <c r="D39" cm="1">
        <f t="array" ref="D39:D42">907185*D34:D37*10^6/(D17*10^9)</f>
        <v>45.671031726003307</v>
      </c>
      <c r="E39" cm="1">
        <f t="array" ref="E39:E42">907185*E34:E37*10^6/(E17*10^9)</f>
        <v>39.950781131031803</v>
      </c>
      <c r="F39" cm="1">
        <f t="array" ref="F39:F42">907185*F34:F37*10^6/(F17*10^9)</f>
        <v>36.017199217960147</v>
      </c>
      <c r="G39" cm="1">
        <f t="array" ref="G39:G42">907185*G34:G37*10^6/(G17*10^9)</f>
        <v>37.223812251975623</v>
      </c>
      <c r="H39" cm="1">
        <f t="array" ref="H39:H42">907185*H34:H37*10^6/(H17*10^9)</f>
        <v>35.717028098097082</v>
      </c>
      <c r="I39" cm="1">
        <f t="array" ref="I39:I42">907185*I34:I37*10^6/(I17*10^9)</f>
        <v>38.836144968478052</v>
      </c>
      <c r="J39" cm="1">
        <f t="array" ref="J39:J42">907185*J34:J37*10^6/(J17*10^9)</f>
        <v>43.389267685553023</v>
      </c>
      <c r="K39" cm="1">
        <f t="array" ref="K39:K42">907185*K34:K37*10^6/(K17*10^9)</f>
        <v>44.029206153700507</v>
      </c>
      <c r="L39" cm="1">
        <f t="array" ref="L39:L42">907185*L34:L37*10^6/(L17*10^9)</f>
        <v>38.827345008541577</v>
      </c>
      <c r="M39" cm="1">
        <f t="array" ref="M39:M42">907185*M34:M37*10^6/(M17*10^9)</f>
        <v>37.10334491250125</v>
      </c>
      <c r="N39" cm="1">
        <f t="array" ref="N39:N42">907185*N34:N37*10^6/(N17*10^9)</f>
        <v>34.277746629382783</v>
      </c>
      <c r="O39" cm="1">
        <f t="array" ref="O39:O42">907185*O34:O37*10^6/(O17*10^9)</f>
        <v>29.132618564769423</v>
      </c>
      <c r="P39" cm="1">
        <f t="array" ref="P39:P42">907185*P34:P37*10^6/(P17*10^9)</f>
        <v>23.527610587195092</v>
      </c>
      <c r="Q39" cm="1">
        <f t="array" ref="Q39:Q42">907185*Q34:Q37*10^6/(Q17*10^9)</f>
        <v>17.483218362999562</v>
      </c>
      <c r="R39" cm="1">
        <f t="array" ref="R39:R42">907185*R34:R37*10^6/(R17*10^9)</f>
        <v>16.327175963964219</v>
      </c>
      <c r="S39" cm="1">
        <f t="array" ref="S39:S42">907185*S34:S37*10^6/(S17*10^9)</f>
        <v>15.529969803242093</v>
      </c>
      <c r="T39" cm="1">
        <f t="array" ref="T39:T42">907185*T34:T37*10^6/(T17*10^9)</f>
        <v>13.761417149986846</v>
      </c>
      <c r="U39" cm="1">
        <f t="array" ref="U39:U42">907185*U34:U37*10^6/(U17*10^9)</f>
        <v>13.041673305113569</v>
      </c>
      <c r="V39" cm="1">
        <f t="array" ref="V39:V42">907185*V34:V37*10^6/(V17*10^9)</f>
        <v>12.711549776175291</v>
      </c>
      <c r="W39" cm="1">
        <f t="array" ref="W39:W42">907185*W34:W37*10^6/(W17*10^9)</f>
        <v>12.515119528869093</v>
      </c>
      <c r="X39" cm="1">
        <f t="array" ref="X39:X42">907185*X34:X37*10^6/(X17*10^9)</f>
        <v>12.111698697471471</v>
      </c>
      <c r="Y39" cm="1">
        <f t="array" ref="Y39:Y42">907185*Y34:Y37*10^6/(Y17*10^9)</f>
        <v>11.926149677763293</v>
      </c>
      <c r="Z39" cm="1">
        <f t="array" ref="Z39:Z42">907185*Z34:Z37*10^6/(Z17*10^9)</f>
        <v>11.801116938380142</v>
      </c>
      <c r="AA39" cm="1">
        <f t="array" ref="AA39:AA42">907185*AA34:AA37*10^6/(AA17*10^9)</f>
        <v>11.958128520777294</v>
      </c>
      <c r="AB39" cm="1">
        <f t="array" ref="AB39:AB42">907185*AB34:AB37*10^6/(AB17*10^9)</f>
        <v>11.76986015540119</v>
      </c>
      <c r="AC39" cm="1">
        <f t="array" ref="AC39:AC42">907185*AC34:AC37*10^6/(AC17*10^9)</f>
        <v>11.77656737328409</v>
      </c>
      <c r="AD39" s="4" cm="1">
        <f t="array" ref="AD39:AD43">(AC39:AC43-C39:C43)/C39:C43</f>
        <v>-0.77934036370643955</v>
      </c>
    </row>
    <row r="40" spans="1:30" x14ac:dyDescent="0.25">
      <c r="A40" t="s">
        <v>70</v>
      </c>
      <c r="B40" t="s">
        <v>67</v>
      </c>
      <c r="C40">
        <v>195.68929098925665</v>
      </c>
      <c r="D40">
        <v>167.46048149068321</v>
      </c>
      <c r="E40">
        <v>146.48614380712169</v>
      </c>
      <c r="F40">
        <v>132.06315799267585</v>
      </c>
      <c r="G40">
        <v>136.48731973106132</v>
      </c>
      <c r="H40">
        <v>130.96258380712587</v>
      </c>
      <c r="I40">
        <v>142.39921207866138</v>
      </c>
      <c r="J40">
        <v>159.0940216883763</v>
      </c>
      <c r="K40">
        <v>161.44036046523479</v>
      </c>
      <c r="L40">
        <v>142.36693954625085</v>
      </c>
      <c r="M40">
        <v>136.04553622557466</v>
      </c>
      <c r="N40">
        <v>125.68508399870572</v>
      </c>
      <c r="O40">
        <v>106.81958463252306</v>
      </c>
      <c r="P40">
        <v>86.267907683476921</v>
      </c>
      <c r="Q40">
        <v>64.105147630521657</v>
      </c>
      <c r="R40">
        <v>59.866359585366979</v>
      </c>
      <c r="S40">
        <v>56.943199339111928</v>
      </c>
      <c r="T40">
        <v>50.458537559200551</v>
      </c>
      <c r="U40">
        <v>47.819460932210788</v>
      </c>
      <c r="V40">
        <v>46.609001259896239</v>
      </c>
      <c r="W40">
        <v>45.888767537318756</v>
      </c>
      <c r="X40">
        <v>44.409573872443794</v>
      </c>
      <c r="Y40">
        <v>43.729200235425026</v>
      </c>
      <c r="Z40">
        <v>43.270777286589571</v>
      </c>
      <c r="AA40">
        <v>43.846473124193992</v>
      </c>
      <c r="AB40">
        <v>43.156185465781221</v>
      </c>
      <c r="AC40">
        <v>43.180750678062793</v>
      </c>
      <c r="AD40" s="4">
        <v>-0.77934024667485036</v>
      </c>
    </row>
    <row r="41" spans="1:30" x14ac:dyDescent="0.25">
      <c r="A41" t="s">
        <v>70</v>
      </c>
      <c r="B41" t="s">
        <v>68</v>
      </c>
      <c r="C41">
        <v>1.533631725306823E-3</v>
      </c>
      <c r="D41">
        <v>1.464118869000416E-3</v>
      </c>
      <c r="E41">
        <v>1.7390158353313401E-3</v>
      </c>
      <c r="F41">
        <v>1.6206820846007947E-3</v>
      </c>
      <c r="G41">
        <v>1.5059895463042641E-3</v>
      </c>
      <c r="H41">
        <v>1.0976642500909373E-3</v>
      </c>
      <c r="I41">
        <v>4.3246034598481482E-4</v>
      </c>
      <c r="J41">
        <v>4.8209618284960059E-4</v>
      </c>
      <c r="K41">
        <v>1.7782704659761344E-4</v>
      </c>
      <c r="L41">
        <v>1.805100963517638E-4</v>
      </c>
      <c r="M41">
        <v>1.8536078979808861E-4</v>
      </c>
      <c r="N41">
        <v>2.0317911417310169E-4</v>
      </c>
      <c r="O41">
        <v>1.9407173558046276E-4</v>
      </c>
      <c r="P41">
        <v>1.911472569230668E-4</v>
      </c>
      <c r="Q41">
        <v>2.3857499038155403E-4</v>
      </c>
      <c r="R41">
        <v>2.569928116364873E-3</v>
      </c>
      <c r="S41">
        <v>2.4436414537052482E-3</v>
      </c>
      <c r="T41">
        <v>1.1232971399046674E-3</v>
      </c>
      <c r="U41">
        <v>9.8361400513311795E-4</v>
      </c>
      <c r="V41">
        <v>8.8141596655989449E-4</v>
      </c>
      <c r="W41">
        <v>8.849062701903861E-4</v>
      </c>
      <c r="X41">
        <v>8.7466519949865615E-4</v>
      </c>
      <c r="Y41">
        <v>8.4635874129590212E-4</v>
      </c>
      <c r="Z41">
        <v>8.9936734611130019E-4</v>
      </c>
      <c r="AA41">
        <v>8.748249159377194E-4</v>
      </c>
      <c r="AB41">
        <v>7.575034444851455E-4</v>
      </c>
      <c r="AC41">
        <v>6.556838014735337E-4</v>
      </c>
      <c r="AD41" s="4">
        <v>-0.5724633295895365</v>
      </c>
    </row>
    <row r="42" spans="1:30" x14ac:dyDescent="0.25">
      <c r="A42" t="s">
        <v>70</v>
      </c>
      <c r="B42" t="s">
        <v>69</v>
      </c>
      <c r="C42">
        <v>7.7160378608851568E-2</v>
      </c>
      <c r="D42">
        <v>6.2495595636572109E-2</v>
      </c>
      <c r="E42">
        <v>5.9826975334940684E-2</v>
      </c>
      <c r="F42">
        <v>6.414576578948171E-2</v>
      </c>
      <c r="G42">
        <v>6.3170156104438324E-2</v>
      </c>
      <c r="H42">
        <v>6.0363342230747137E-2</v>
      </c>
      <c r="I42">
        <v>7.8998862048264534E-2</v>
      </c>
      <c r="J42">
        <v>6.9972817396456319E-2</v>
      </c>
      <c r="K42">
        <v>6.1104760392779948E-2</v>
      </c>
      <c r="L42">
        <v>5.5016338061994095E-2</v>
      </c>
      <c r="M42">
        <v>5.5932618321573237E-2</v>
      </c>
      <c r="N42">
        <v>5.3944054812958497E-2</v>
      </c>
      <c r="O42">
        <v>4.8237608054832792E-2</v>
      </c>
      <c r="P42">
        <v>4.1340537773154308E-2</v>
      </c>
      <c r="Q42">
        <v>3.7197249214632584E-2</v>
      </c>
      <c r="R42">
        <v>4.5331623272749082E-2</v>
      </c>
      <c r="S42">
        <v>4.237972463997388E-2</v>
      </c>
      <c r="T42">
        <v>3.8348283107761477E-2</v>
      </c>
      <c r="U42">
        <v>3.7830854820179748E-2</v>
      </c>
      <c r="V42">
        <v>3.9613709078652845E-2</v>
      </c>
      <c r="W42">
        <v>4.0485987561676012E-2</v>
      </c>
      <c r="X42">
        <v>4.0204644889284123E-2</v>
      </c>
      <c r="Y42">
        <v>4.0470816298318252E-2</v>
      </c>
      <c r="Z42">
        <v>3.9879541942125118E-2</v>
      </c>
      <c r="AA42">
        <v>3.8814006109056103E-2</v>
      </c>
      <c r="AB42">
        <v>3.8298482972646028E-2</v>
      </c>
      <c r="AC42">
        <v>3.7576145856112429E-2</v>
      </c>
      <c r="AD42" s="4">
        <v>-0.51301242252067147</v>
      </c>
    </row>
    <row r="43" spans="1:30" x14ac:dyDescent="0.25">
      <c r="A43" t="s">
        <v>70</v>
      </c>
      <c r="B43" t="s">
        <v>65</v>
      </c>
      <c r="C43">
        <f>907185*C38/(C17*10^9)</f>
        <v>7.4811303673503551E-12</v>
      </c>
      <c r="D43">
        <f>907185*D38/(D17*10^9)</f>
        <v>3.1828671065226432E-11</v>
      </c>
      <c r="E43">
        <f>907185*E38/(E17*10^9)</f>
        <v>8.0509992376450921E-12</v>
      </c>
      <c r="F43">
        <f>907185*F38/(F17*10^9)</f>
        <v>8.3111901774399723E-12</v>
      </c>
      <c r="G43">
        <f>907185*G38/(G17*10^9)</f>
        <v>8.1404840340771032E-12</v>
      </c>
      <c r="H43">
        <f>907185*H38/(H17*10^9)</f>
        <v>8.1915242544099784E-12</v>
      </c>
      <c r="I43">
        <f>907185*I38/(I17*10^9)</f>
        <v>3.3266180460370366E-11</v>
      </c>
      <c r="J43">
        <f>907185*J38/(J17*10^9)</f>
        <v>0</v>
      </c>
      <c r="K43">
        <f>907185*K38/(K17*10^9)</f>
        <v>3.3871818399545424E-11</v>
      </c>
      <c r="L43">
        <f>907185*L38/(L17*10^9)</f>
        <v>7.8482650587723385E-12</v>
      </c>
      <c r="M43">
        <f>907185*M38/(M17*10^9)</f>
        <v>0</v>
      </c>
      <c r="N43">
        <f>907185*N38/(N17*10^9)</f>
        <v>0</v>
      </c>
      <c r="O43">
        <f>907185*O38/(O17*10^9)</f>
        <v>0</v>
      </c>
      <c r="P43">
        <f>907185*P38/(P17*10^9)</f>
        <v>0</v>
      </c>
      <c r="Q43">
        <f>907185*Q38/(Q17*10^9)</f>
        <v>0</v>
      </c>
      <c r="R43">
        <f>907185*R38/(R17*10^9)</f>
        <v>0</v>
      </c>
      <c r="S43">
        <f>907185*S38/(S17*10^9)</f>
        <v>0</v>
      </c>
      <c r="T43">
        <f>907185*T38/(T17*10^9)</f>
        <v>0</v>
      </c>
      <c r="U43">
        <f>907185*U38/(U17*10^9)</f>
        <v>0</v>
      </c>
      <c r="V43">
        <f>907185*V38/(V17*10^9)</f>
        <v>0</v>
      </c>
      <c r="W43">
        <f>907185*W38/(W17*10^9)</f>
        <v>0</v>
      </c>
      <c r="X43">
        <f>907185*X38/(X17*10^9)</f>
        <v>0</v>
      </c>
      <c r="Y43">
        <f>907185*Y38/(Y17*10^9)</f>
        <v>0</v>
      </c>
      <c r="Z43">
        <f>907185*Z38/(Z17*10^9)</f>
        <v>0</v>
      </c>
      <c r="AA43">
        <f>907185*AA38/(AA17*10^9)</f>
        <v>0</v>
      </c>
      <c r="AB43">
        <f>907185*AB38/(AB17*10^9)</f>
        <v>0</v>
      </c>
      <c r="AC43">
        <f>907185*AC38/(AC17*10^9)</f>
        <v>0</v>
      </c>
      <c r="AD43" s="4">
        <v>-1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43"/>
  <sheetViews>
    <sheetView tabSelected="1" zoomScale="70" zoomScaleNormal="70" workbookViewId="0">
      <selection activeCell="B16" sqref="B16:B17"/>
    </sheetView>
  </sheetViews>
  <sheetFormatPr defaultRowHeight="15" x14ac:dyDescent="0.25"/>
  <cols>
    <col min="1" max="1" width="44.7109375" bestFit="1" customWidth="1"/>
    <col min="2" max="2" width="16.140625" bestFit="1" customWidth="1"/>
    <col min="3" max="3" width="12.7109375" bestFit="1" customWidth="1"/>
    <col min="4" max="8" width="11.5703125" bestFit="1" customWidth="1"/>
    <col min="9" max="29" width="12.7109375" bestFit="1" customWidth="1"/>
    <col min="30" max="30" width="19.42578125" bestFit="1" customWidth="1"/>
  </cols>
  <sheetData>
    <row r="1" spans="1:30" s="3" customFormat="1" ht="15.75" thickBot="1" x14ac:dyDescent="0.3">
      <c r="A1" s="3" t="s">
        <v>72</v>
      </c>
      <c r="B1" s="1" t="s">
        <v>73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</row>
    <row r="2" spans="1:30" ht="15.75" thickTop="1" x14ac:dyDescent="0.25">
      <c r="A2" t="s">
        <v>29</v>
      </c>
      <c r="B2" t="s">
        <v>30</v>
      </c>
      <c r="C2">
        <v>1.951484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 s="4" cm="1">
        <f t="array" ref="AD2:AD17">(AC2:AC17-C2:C17)/C2:C17</f>
        <v>-1</v>
      </c>
    </row>
    <row r="3" spans="1:30" x14ac:dyDescent="0.25">
      <c r="A3" t="s">
        <v>29</v>
      </c>
      <c r="B3" t="s">
        <v>32</v>
      </c>
      <c r="C3">
        <v>1.1096E-2</v>
      </c>
      <c r="D3">
        <v>3.2590000000000002E-3</v>
      </c>
      <c r="E3">
        <v>2.4859999999999999E-3</v>
      </c>
      <c r="F3">
        <v>2.4859999999999999E-3</v>
      </c>
      <c r="G3">
        <v>2.4859999999999999E-3</v>
      </c>
      <c r="H3">
        <v>2.4859999999999999E-3</v>
      </c>
      <c r="I3">
        <v>3.2590000000000002E-3</v>
      </c>
      <c r="J3">
        <v>2.4859999999999999E-3</v>
      </c>
      <c r="K3">
        <v>3.2590000000000002E-3</v>
      </c>
      <c r="L3">
        <v>3.2590000000000002E-3</v>
      </c>
      <c r="M3">
        <v>2.4859999999999999E-3</v>
      </c>
      <c r="N3">
        <v>2.4859999999999999E-3</v>
      </c>
      <c r="O3">
        <v>2.4859999999999999E-3</v>
      </c>
      <c r="P3">
        <v>2.4859999999999999E-3</v>
      </c>
      <c r="Q3">
        <v>2.4859999999999999E-3</v>
      </c>
      <c r="R3">
        <v>2.4859999999999999E-3</v>
      </c>
      <c r="S3">
        <v>1.5839999999999999E-3</v>
      </c>
      <c r="T3">
        <v>1.5839999999999999E-3</v>
      </c>
      <c r="U3">
        <v>1.5839999999999999E-3</v>
      </c>
      <c r="V3">
        <v>1.5839999999999999E-3</v>
      </c>
      <c r="W3">
        <v>1.5839999999999999E-3</v>
      </c>
      <c r="X3">
        <v>1.5839999999999999E-3</v>
      </c>
      <c r="Y3">
        <v>1.5839999999999999E-3</v>
      </c>
      <c r="Z3">
        <v>1.5839999999999999E-3</v>
      </c>
      <c r="AA3">
        <v>1.5839999999999999E-3</v>
      </c>
      <c r="AB3">
        <v>1.5839999999999999E-3</v>
      </c>
      <c r="AC3">
        <v>1.5839999999999999E-3</v>
      </c>
      <c r="AD3" s="4">
        <v>-0.85724585436193224</v>
      </c>
    </row>
    <row r="4" spans="1:30" x14ac:dyDescent="0.25">
      <c r="A4" t="s">
        <v>29</v>
      </c>
      <c r="B4" t="s">
        <v>33</v>
      </c>
      <c r="C4">
        <v>53.833382</v>
      </c>
      <c r="D4">
        <v>36.126282000000003</v>
      </c>
      <c r="E4">
        <v>27.537766999999999</v>
      </c>
      <c r="F4">
        <v>30.226006999999999</v>
      </c>
      <c r="G4">
        <v>29.950993</v>
      </c>
      <c r="H4">
        <v>28.111017</v>
      </c>
      <c r="I4">
        <v>28.279582999999999</v>
      </c>
      <c r="J4">
        <v>28.015412999999999</v>
      </c>
      <c r="K4">
        <v>30.041817000000002</v>
      </c>
      <c r="L4">
        <v>28.217843999999999</v>
      </c>
      <c r="M4">
        <v>25.797378999999999</v>
      </c>
      <c r="N4">
        <v>22.987831</v>
      </c>
      <c r="O4">
        <v>17.748940000000001</v>
      </c>
      <c r="P4">
        <v>11.992255999999999</v>
      </c>
      <c r="Q4">
        <v>10.476011</v>
      </c>
      <c r="R4">
        <v>7.7578690000000003</v>
      </c>
      <c r="S4">
        <v>8.5008789999999994</v>
      </c>
      <c r="T4">
        <v>8.7310350000000003</v>
      </c>
      <c r="U4">
        <v>7.6239670000000004</v>
      </c>
      <c r="V4">
        <v>6.7759900000000002</v>
      </c>
      <c r="W4">
        <v>7.3156080000000001</v>
      </c>
      <c r="X4">
        <v>6.8127550000000001</v>
      </c>
      <c r="Y4">
        <v>6.161314</v>
      </c>
      <c r="Z4">
        <v>6.0141169999999997</v>
      </c>
      <c r="AA4">
        <v>7.8958320000000004</v>
      </c>
      <c r="AB4">
        <v>8.2433189999999996</v>
      </c>
      <c r="AC4">
        <v>8.8088160000000002</v>
      </c>
      <c r="AD4" s="4">
        <v>-0.83636889096063105</v>
      </c>
    </row>
    <row r="5" spans="1:30" x14ac:dyDescent="0.25">
      <c r="A5" t="s">
        <v>29</v>
      </c>
      <c r="B5" t="s">
        <v>34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 s="4" t="e">
        <v>#DIV/0!</v>
      </c>
    </row>
    <row r="6" spans="1:30" x14ac:dyDescent="0.25">
      <c r="A6" t="s">
        <v>29</v>
      </c>
      <c r="B6" t="s">
        <v>35</v>
      </c>
      <c r="C6">
        <v>-1.048135</v>
      </c>
      <c r="D6">
        <v>-1.6623889999999999</v>
      </c>
      <c r="E6">
        <v>-1.818694</v>
      </c>
      <c r="F6">
        <v>-1.8491599999999999</v>
      </c>
      <c r="G6">
        <v>-1.845453</v>
      </c>
      <c r="H6">
        <v>-1.8619730000000001</v>
      </c>
      <c r="I6">
        <v>-1.858894</v>
      </c>
      <c r="J6">
        <v>-1.81755</v>
      </c>
      <c r="K6">
        <v>-1.8243119999999999</v>
      </c>
      <c r="L6">
        <v>-1.8529500000000001</v>
      </c>
      <c r="M6">
        <v>-1.84283</v>
      </c>
      <c r="N6">
        <v>-2.1909130000000001</v>
      </c>
      <c r="O6">
        <v>-2.6681789999999999</v>
      </c>
      <c r="P6">
        <v>-2.9878070000000001</v>
      </c>
      <c r="Q6">
        <v>-3.3383289999999999</v>
      </c>
      <c r="R6">
        <v>-3.763668</v>
      </c>
      <c r="S6">
        <v>-4.145276</v>
      </c>
      <c r="T6">
        <v>-4.2970269999999999</v>
      </c>
      <c r="U6">
        <v>-4.4159629999999996</v>
      </c>
      <c r="V6">
        <v>-4.589467</v>
      </c>
      <c r="W6">
        <v>-4.5963979999999998</v>
      </c>
      <c r="X6">
        <v>-4.3355059999999996</v>
      </c>
      <c r="Y6">
        <v>-4.4344330000000003</v>
      </c>
      <c r="Z6">
        <v>-4.5189979999999998</v>
      </c>
      <c r="AA6">
        <v>-4.5046920000000004</v>
      </c>
      <c r="AB6">
        <v>-4.4841230000000003</v>
      </c>
      <c r="AC6">
        <v>-4.5045229999999998</v>
      </c>
      <c r="AD6" s="4">
        <v>3.2976553592810083</v>
      </c>
    </row>
    <row r="7" spans="1:30" x14ac:dyDescent="0.25">
      <c r="A7" t="s">
        <v>29</v>
      </c>
      <c r="B7" t="s">
        <v>36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1.2229E-2</v>
      </c>
      <c r="L7">
        <v>1.4123999999999999E-2</v>
      </c>
      <c r="M7">
        <v>1.5785E-2</v>
      </c>
      <c r="N7">
        <v>1.5785E-2</v>
      </c>
      <c r="O7">
        <v>1.5785E-2</v>
      </c>
      <c r="P7">
        <v>1.5785E-2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 s="4" t="e">
        <v>#DIV/0!</v>
      </c>
    </row>
    <row r="8" spans="1:30" x14ac:dyDescent="0.25">
      <c r="A8" t="s">
        <v>29</v>
      </c>
      <c r="B8" t="s">
        <v>37</v>
      </c>
      <c r="C8">
        <v>5.0546899999999999</v>
      </c>
      <c r="D8">
        <v>5.4953390000000004</v>
      </c>
      <c r="E8">
        <v>5.7073520000000002</v>
      </c>
      <c r="F8">
        <v>5.9129620000000003</v>
      </c>
      <c r="G8">
        <v>5.9203390000000002</v>
      </c>
      <c r="H8">
        <v>5.9156820000000003</v>
      </c>
      <c r="I8">
        <v>5.9164580000000004</v>
      </c>
      <c r="J8">
        <v>5.9250600000000002</v>
      </c>
      <c r="K8">
        <v>5.8263800000000003</v>
      </c>
      <c r="L8">
        <v>5.6697259999999998</v>
      </c>
      <c r="M8">
        <v>5.6192149999999996</v>
      </c>
      <c r="N8">
        <v>5.548152</v>
      </c>
      <c r="O8">
        <v>5.4775640000000001</v>
      </c>
      <c r="P8">
        <v>5.3815270000000002</v>
      </c>
      <c r="Q8">
        <v>5.3139099999999999</v>
      </c>
      <c r="R8">
        <v>5.3235679999999999</v>
      </c>
      <c r="S8">
        <v>5.2766840000000004</v>
      </c>
      <c r="T8">
        <v>5.1716860000000002</v>
      </c>
      <c r="U8">
        <v>4.9036730000000004</v>
      </c>
      <c r="V8">
        <v>4.8663829999999999</v>
      </c>
      <c r="W8">
        <v>4.8624749999999999</v>
      </c>
      <c r="X8">
        <v>4.8883580000000002</v>
      </c>
      <c r="Y8">
        <v>4.8852460000000004</v>
      </c>
      <c r="Z8">
        <v>4.889475</v>
      </c>
      <c r="AA8">
        <v>4.8912519999999997</v>
      </c>
      <c r="AB8">
        <v>4.9013179999999998</v>
      </c>
      <c r="AC8">
        <v>4.9026699999999996</v>
      </c>
      <c r="AD8" s="4">
        <v>-3.0075039221000747E-2</v>
      </c>
    </row>
    <row r="9" spans="1:30" x14ac:dyDescent="0.25">
      <c r="A9" t="s">
        <v>29</v>
      </c>
      <c r="B9" t="s">
        <v>38</v>
      </c>
      <c r="C9">
        <v>1.824902</v>
      </c>
      <c r="D9">
        <v>1.7978400000000001</v>
      </c>
      <c r="E9">
        <v>1.968448</v>
      </c>
      <c r="F9">
        <v>2.0552489999999999</v>
      </c>
      <c r="G9">
        <v>2.4161060000000001</v>
      </c>
      <c r="H9">
        <v>2.7912819999999998</v>
      </c>
      <c r="I9">
        <v>3.1750389999999999</v>
      </c>
      <c r="J9">
        <v>3.5620059999999998</v>
      </c>
      <c r="K9">
        <v>3.9542959999999998</v>
      </c>
      <c r="L9">
        <v>4.3518340000000002</v>
      </c>
      <c r="M9">
        <v>4.7525500000000003</v>
      </c>
      <c r="N9">
        <v>5.155742</v>
      </c>
      <c r="O9">
        <v>5.5608979999999999</v>
      </c>
      <c r="P9">
        <v>5.9676450000000001</v>
      </c>
      <c r="Q9">
        <v>6.4655300000000002</v>
      </c>
      <c r="R9">
        <v>6.7689019999999998</v>
      </c>
      <c r="S9">
        <v>7.0728340000000003</v>
      </c>
      <c r="T9">
        <v>7.3021099999999999</v>
      </c>
      <c r="U9">
        <v>5.9839609999999999</v>
      </c>
      <c r="V9">
        <v>4.4837990000000003</v>
      </c>
      <c r="W9">
        <v>4.5947589999999998</v>
      </c>
      <c r="X9">
        <v>5.2311439999999996</v>
      </c>
      <c r="Y9">
        <v>4.8164809999999996</v>
      </c>
      <c r="Z9">
        <v>6.7625789999999997</v>
      </c>
      <c r="AA9">
        <v>5.0114049999999999</v>
      </c>
      <c r="AB9">
        <v>6.5311890000000004</v>
      </c>
      <c r="AC9">
        <v>5.5067519999999996</v>
      </c>
      <c r="AD9" s="4">
        <v>2.0175603950239518</v>
      </c>
    </row>
    <row r="10" spans="1:30" x14ac:dyDescent="0.25">
      <c r="A10" t="s">
        <v>29</v>
      </c>
      <c r="B10" t="s">
        <v>39</v>
      </c>
      <c r="C10">
        <v>0.73892199999999997</v>
      </c>
      <c r="D10">
        <v>0.67552000000000001</v>
      </c>
      <c r="E10">
        <v>0.72179899999999997</v>
      </c>
      <c r="F10">
        <v>0.75100199999999995</v>
      </c>
      <c r="G10">
        <v>0.78440699999999997</v>
      </c>
      <c r="H10">
        <v>0.82030499999999995</v>
      </c>
      <c r="I10">
        <v>0.85608700000000004</v>
      </c>
      <c r="J10">
        <v>0.89382099999999998</v>
      </c>
      <c r="K10">
        <v>0.93069900000000005</v>
      </c>
      <c r="L10">
        <v>0.96663500000000002</v>
      </c>
      <c r="M10">
        <v>0.99922299999999997</v>
      </c>
      <c r="N10">
        <v>1.0357460000000001</v>
      </c>
      <c r="O10">
        <v>1.0739749999999999</v>
      </c>
      <c r="P10">
        <v>1.114509</v>
      </c>
      <c r="Q10">
        <v>1.15516</v>
      </c>
      <c r="R10">
        <v>1.1831689999999999</v>
      </c>
      <c r="S10">
        <v>1.210804</v>
      </c>
      <c r="T10">
        <v>0.52092899999999998</v>
      </c>
      <c r="U10">
        <v>0.70215099999999997</v>
      </c>
      <c r="V10">
        <v>0.71799199999999996</v>
      </c>
      <c r="W10">
        <v>0.72602699999999998</v>
      </c>
      <c r="X10">
        <v>0.73418499999999998</v>
      </c>
      <c r="Y10">
        <v>0.74227299999999996</v>
      </c>
      <c r="Z10">
        <v>0.71770500000000004</v>
      </c>
      <c r="AA10">
        <v>0.758629</v>
      </c>
      <c r="AB10">
        <v>0.758629</v>
      </c>
      <c r="AC10">
        <v>0.758629</v>
      </c>
      <c r="AD10" s="4">
        <v>2.6669932685723298E-2</v>
      </c>
    </row>
    <row r="11" spans="1:30" x14ac:dyDescent="0.25">
      <c r="A11" t="s">
        <v>29</v>
      </c>
      <c r="B11" t="s">
        <v>40</v>
      </c>
      <c r="C11">
        <v>0.15282499999999999</v>
      </c>
      <c r="D11">
        <v>0.171706</v>
      </c>
      <c r="E11">
        <v>0.17316699999999999</v>
      </c>
      <c r="F11">
        <v>0.17316699999999999</v>
      </c>
      <c r="G11">
        <v>0.171706</v>
      </c>
      <c r="H11">
        <v>0.171706</v>
      </c>
      <c r="I11">
        <v>0.17316699999999999</v>
      </c>
      <c r="J11">
        <v>0.17316699999999999</v>
      </c>
      <c r="K11">
        <v>0.17316699999999999</v>
      </c>
      <c r="L11">
        <v>0.17316699999999999</v>
      </c>
      <c r="M11">
        <v>0.17316699999999999</v>
      </c>
      <c r="N11">
        <v>0.17316699999999999</v>
      </c>
      <c r="O11">
        <v>0.17316699999999999</v>
      </c>
      <c r="P11">
        <v>0.17316699999999999</v>
      </c>
      <c r="Q11">
        <v>0.171518</v>
      </c>
      <c r="R11">
        <v>0.171518</v>
      </c>
      <c r="S11">
        <v>0.171518</v>
      </c>
      <c r="T11">
        <v>0.171518</v>
      </c>
      <c r="U11">
        <v>0.171518</v>
      </c>
      <c r="V11">
        <v>0.171518</v>
      </c>
      <c r="W11">
        <v>0.171518</v>
      </c>
      <c r="X11">
        <v>0.171518</v>
      </c>
      <c r="Y11">
        <v>0.171518</v>
      </c>
      <c r="Z11">
        <v>0.171518</v>
      </c>
      <c r="AA11">
        <v>0.171518</v>
      </c>
      <c r="AB11">
        <v>0.171518</v>
      </c>
      <c r="AC11">
        <v>0.171518</v>
      </c>
      <c r="AD11" s="4">
        <v>0.12231637493865544</v>
      </c>
    </row>
    <row r="12" spans="1:30" x14ac:dyDescent="0.25">
      <c r="A12" t="s">
        <v>29</v>
      </c>
      <c r="B12" t="s">
        <v>41</v>
      </c>
      <c r="C12">
        <v>1.8522529999999999</v>
      </c>
      <c r="D12">
        <v>1.7181789999999999</v>
      </c>
      <c r="E12">
        <v>1.9151320000000001</v>
      </c>
      <c r="F12">
        <v>1.9164840000000001</v>
      </c>
      <c r="G12">
        <v>1.9092830000000001</v>
      </c>
      <c r="H12">
        <v>1.9144330000000001</v>
      </c>
      <c r="I12">
        <v>1.9138980000000001</v>
      </c>
      <c r="J12">
        <v>1.9075690000000001</v>
      </c>
      <c r="K12">
        <v>1.9082520000000001</v>
      </c>
      <c r="L12">
        <v>1.862738</v>
      </c>
      <c r="M12">
        <v>1.297507</v>
      </c>
      <c r="N12">
        <v>1.733328</v>
      </c>
      <c r="O12">
        <v>1.274877</v>
      </c>
      <c r="P12">
        <v>0.954789</v>
      </c>
      <c r="Q12">
        <v>1.6247750000000001</v>
      </c>
      <c r="R12">
        <v>1.6680649999999999</v>
      </c>
      <c r="S12">
        <v>1.498453</v>
      </c>
      <c r="T12">
        <v>1.589618</v>
      </c>
      <c r="U12">
        <v>1.439838</v>
      </c>
      <c r="V12">
        <v>1.3812230000000001</v>
      </c>
      <c r="W12">
        <v>1.070117</v>
      </c>
      <c r="X12">
        <v>1.0673680000000001</v>
      </c>
      <c r="Y12">
        <v>1.4275260000000001</v>
      </c>
      <c r="Z12">
        <v>1.1120099999999999</v>
      </c>
      <c r="AA12">
        <v>1.463217</v>
      </c>
      <c r="AB12">
        <v>1.470944</v>
      </c>
      <c r="AC12">
        <v>1.487749</v>
      </c>
      <c r="AD12" s="4">
        <v>-0.19678953145169692</v>
      </c>
    </row>
    <row r="13" spans="1:30" x14ac:dyDescent="0.25">
      <c r="A13" t="s">
        <v>29</v>
      </c>
      <c r="B13" t="s">
        <v>42</v>
      </c>
      <c r="C13">
        <v>34.503677000000003</v>
      </c>
      <c r="D13">
        <v>38.483134999999997</v>
      </c>
      <c r="E13">
        <v>46.907393999999996</v>
      </c>
      <c r="F13">
        <v>48.514198</v>
      </c>
      <c r="G13">
        <v>48.373077000000002</v>
      </c>
      <c r="H13">
        <v>48.446049000000002</v>
      </c>
      <c r="I13">
        <v>56.039924999999997</v>
      </c>
      <c r="J13">
        <v>64.437584000000001</v>
      </c>
      <c r="K13">
        <v>76.554657000000006</v>
      </c>
      <c r="L13">
        <v>82.372596999999999</v>
      </c>
      <c r="M13">
        <v>83.826935000000006</v>
      </c>
      <c r="N13">
        <v>87.612091000000007</v>
      </c>
      <c r="O13">
        <v>86.459952999999999</v>
      </c>
      <c r="P13">
        <v>87.305060999999995</v>
      </c>
      <c r="Q13">
        <v>91.271782000000002</v>
      </c>
      <c r="R13">
        <v>95.050865000000002</v>
      </c>
      <c r="S13">
        <v>96.807464999999993</v>
      </c>
      <c r="T13">
        <v>99.812859000000003</v>
      </c>
      <c r="U13">
        <v>104.567886</v>
      </c>
      <c r="V13">
        <v>102.414833</v>
      </c>
      <c r="W13">
        <v>103.43589799999999</v>
      </c>
      <c r="X13">
        <v>102.72425800000001</v>
      </c>
      <c r="Y13">
        <v>106.200073</v>
      </c>
      <c r="Z13">
        <v>108.443619</v>
      </c>
      <c r="AA13">
        <v>109.28231</v>
      </c>
      <c r="AB13">
        <v>109.926041</v>
      </c>
      <c r="AC13">
        <v>111.423485</v>
      </c>
      <c r="AD13" s="4">
        <v>2.2293220516758252</v>
      </c>
    </row>
    <row r="14" spans="1:30" x14ac:dyDescent="0.25">
      <c r="A14" t="s">
        <v>29</v>
      </c>
      <c r="B14" t="s">
        <v>43</v>
      </c>
      <c r="C14">
        <v>11.128285999999999</v>
      </c>
      <c r="D14">
        <v>10.861995</v>
      </c>
      <c r="E14">
        <v>11.257605</v>
      </c>
      <c r="F14">
        <v>11.631055999999999</v>
      </c>
      <c r="G14">
        <v>11.634109</v>
      </c>
      <c r="H14">
        <v>11.631565999999999</v>
      </c>
      <c r="I14">
        <v>11.630124</v>
      </c>
      <c r="J14">
        <v>11.634118000000001</v>
      </c>
      <c r="K14">
        <v>11.306537000000001</v>
      </c>
      <c r="L14">
        <v>8.7351430000000008</v>
      </c>
      <c r="M14">
        <v>9.1870600000000007</v>
      </c>
      <c r="N14">
        <v>9.1132349999999995</v>
      </c>
      <c r="O14">
        <v>8.8457650000000001</v>
      </c>
      <c r="P14">
        <v>9.4059290000000004</v>
      </c>
      <c r="Q14">
        <v>12.143354</v>
      </c>
      <c r="R14">
        <v>17.524927000000002</v>
      </c>
      <c r="S14">
        <v>18.990715000000002</v>
      </c>
      <c r="T14">
        <v>18.402237</v>
      </c>
      <c r="U14">
        <v>22.755575</v>
      </c>
      <c r="V14">
        <v>29.911901</v>
      </c>
      <c r="W14">
        <v>31.40531</v>
      </c>
      <c r="X14">
        <v>31.493713</v>
      </c>
      <c r="Y14">
        <v>31.525724</v>
      </c>
      <c r="Z14">
        <v>31.648734999999999</v>
      </c>
      <c r="AA14">
        <v>31.780159000000001</v>
      </c>
      <c r="AB14">
        <v>32.014915000000002</v>
      </c>
      <c r="AC14">
        <v>32.213360000000002</v>
      </c>
      <c r="AD14" s="4">
        <v>1.8947279032907676</v>
      </c>
    </row>
    <row r="15" spans="1:30" x14ac:dyDescent="0.25">
      <c r="A15" t="s">
        <v>29</v>
      </c>
      <c r="B15" t="s">
        <v>44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 s="4" t="e">
        <v>#DIV/0!</v>
      </c>
    </row>
    <row r="16" spans="1:30" x14ac:dyDescent="0.25">
      <c r="A16" t="s">
        <v>29</v>
      </c>
      <c r="B16" s="5" t="s">
        <v>45</v>
      </c>
      <c r="C16">
        <v>0</v>
      </c>
      <c r="D16">
        <v>0</v>
      </c>
      <c r="E16">
        <v>0</v>
      </c>
      <c r="F16">
        <v>7.2069999999999999E-3</v>
      </c>
      <c r="G16">
        <v>1.3261999999999999E-2</v>
      </c>
      <c r="H16">
        <v>1.9073E-2</v>
      </c>
      <c r="I16">
        <v>2.4378E-2</v>
      </c>
      <c r="J16">
        <v>3.0043E-2</v>
      </c>
      <c r="K16">
        <v>8.8331000000000007E-2</v>
      </c>
      <c r="L16">
        <v>9.6930000000000002E-2</v>
      </c>
      <c r="M16">
        <v>0.12163499999999999</v>
      </c>
      <c r="N16">
        <v>0.147122</v>
      </c>
      <c r="O16">
        <v>0.17264399999999999</v>
      </c>
      <c r="P16">
        <v>0.197407</v>
      </c>
      <c r="Q16">
        <v>0.22215499999999999</v>
      </c>
      <c r="R16">
        <v>0.24826999999999999</v>
      </c>
      <c r="S16">
        <v>0.27225100000000002</v>
      </c>
      <c r="T16">
        <v>0.29363299999999998</v>
      </c>
      <c r="U16">
        <v>0.313747</v>
      </c>
      <c r="V16">
        <v>0.33265899999999998</v>
      </c>
      <c r="W16">
        <v>0.35295300000000002</v>
      </c>
      <c r="X16">
        <v>0.37262699999999999</v>
      </c>
      <c r="Y16">
        <v>0.39246300000000001</v>
      </c>
      <c r="Z16">
        <v>0.410997</v>
      </c>
      <c r="AA16">
        <v>0.42903400000000003</v>
      </c>
      <c r="AB16">
        <v>0.44691399999999998</v>
      </c>
      <c r="AC16">
        <v>0.46600399999999997</v>
      </c>
      <c r="AD16" s="4" t="e">
        <v>#DIV/0!</v>
      </c>
    </row>
    <row r="17" spans="1:30" x14ac:dyDescent="0.25">
      <c r="A17" t="s">
        <v>29</v>
      </c>
      <c r="B17" s="5" t="s">
        <v>46</v>
      </c>
      <c r="C17">
        <v>110.003387</v>
      </c>
      <c r="D17">
        <v>93.670867999999999</v>
      </c>
      <c r="E17">
        <v>94.372467</v>
      </c>
      <c r="F17">
        <v>99.340667999999994</v>
      </c>
      <c r="G17">
        <v>99.330314999999999</v>
      </c>
      <c r="H17">
        <v>97.961624</v>
      </c>
      <c r="I17">
        <v>106.15303</v>
      </c>
      <c r="J17">
        <v>114.763718</v>
      </c>
      <c r="K17">
        <v>128.975311</v>
      </c>
      <c r="L17">
        <v>130.611053</v>
      </c>
      <c r="M17">
        <v>129.95010400000001</v>
      </c>
      <c r="N17">
        <v>131.33377100000001</v>
      </c>
      <c r="O17">
        <v>124.137871</v>
      </c>
      <c r="P17">
        <v>119.522766</v>
      </c>
      <c r="Q17">
        <v>125.508354</v>
      </c>
      <c r="R17">
        <v>131.93597399999999</v>
      </c>
      <c r="S17">
        <v>135.65789799999999</v>
      </c>
      <c r="T17">
        <v>137.70019500000001</v>
      </c>
      <c r="U17">
        <v>144.047943</v>
      </c>
      <c r="V17">
        <v>146.468414</v>
      </c>
      <c r="W17">
        <v>149.33985899999999</v>
      </c>
      <c r="X17">
        <v>149.16201799999999</v>
      </c>
      <c r="Y17">
        <v>151.88975500000001</v>
      </c>
      <c r="Z17">
        <v>155.65332000000001</v>
      </c>
      <c r="AA17">
        <v>157.18026699999999</v>
      </c>
      <c r="AB17">
        <v>159.98223899999999</v>
      </c>
      <c r="AC17">
        <v>161.236053</v>
      </c>
      <c r="AD17" s="4">
        <v>0.46573716862008979</v>
      </c>
    </row>
    <row r="18" spans="1:30" x14ac:dyDescent="0.25">
      <c r="A18" t="s">
        <v>74</v>
      </c>
      <c r="B18" t="s">
        <v>47</v>
      </c>
      <c r="C18">
        <v>29.781094</v>
      </c>
      <c r="D18">
        <v>29.964485</v>
      </c>
      <c r="E18">
        <v>27.324942</v>
      </c>
      <c r="F18">
        <v>25.680783999999999</v>
      </c>
      <c r="G18">
        <v>25.773800000000001</v>
      </c>
      <c r="H18">
        <v>26.178833000000001</v>
      </c>
      <c r="I18">
        <v>26.793120999999999</v>
      </c>
      <c r="J18">
        <v>27.573076</v>
      </c>
      <c r="K18">
        <v>28.155812999999998</v>
      </c>
      <c r="L18">
        <v>28.541941000000001</v>
      </c>
      <c r="M18">
        <v>28.716107999999998</v>
      </c>
      <c r="N18">
        <v>28.711679</v>
      </c>
      <c r="O18">
        <v>28.769991000000001</v>
      </c>
      <c r="P18">
        <v>28.866099999999999</v>
      </c>
      <c r="Q18">
        <v>28.546513000000001</v>
      </c>
      <c r="R18">
        <v>28.034582</v>
      </c>
      <c r="S18">
        <v>27.854986</v>
      </c>
      <c r="T18">
        <v>27.991982</v>
      </c>
      <c r="U18">
        <v>28.431608000000001</v>
      </c>
      <c r="V18">
        <v>28.818764000000002</v>
      </c>
      <c r="W18">
        <v>29.019473999999999</v>
      </c>
      <c r="X18">
        <v>29.128893000000001</v>
      </c>
      <c r="Y18">
        <v>29.218336000000001</v>
      </c>
      <c r="Z18">
        <v>29.386455999999999</v>
      </c>
      <c r="AA18">
        <v>29.753428</v>
      </c>
      <c r="AB18">
        <v>30.056066999999999</v>
      </c>
      <c r="AC18">
        <v>30.381226000000002</v>
      </c>
      <c r="AD18" s="4" cm="1">
        <f t="array" ref="AD18:AD22">(AC18:AC22-C18:C22)/C18:C22</f>
        <v>2.0151442388248134E-2</v>
      </c>
    </row>
    <row r="19" spans="1:30" x14ac:dyDescent="0.25">
      <c r="A19" t="s">
        <v>74</v>
      </c>
      <c r="B19" t="s">
        <v>49</v>
      </c>
      <c r="C19">
        <v>25.077041999999999</v>
      </c>
      <c r="D19">
        <v>24.843464000000001</v>
      </c>
      <c r="E19">
        <v>22.172861000000001</v>
      </c>
      <c r="F19">
        <v>20.592604000000001</v>
      </c>
      <c r="G19">
        <v>20.631879999999999</v>
      </c>
      <c r="H19">
        <v>20.888292</v>
      </c>
      <c r="I19">
        <v>21.330143</v>
      </c>
      <c r="J19">
        <v>21.859082999999998</v>
      </c>
      <c r="K19">
        <v>22.175509999999999</v>
      </c>
      <c r="L19">
        <v>22.30397</v>
      </c>
      <c r="M19">
        <v>22.27936</v>
      </c>
      <c r="N19">
        <v>22.141113000000001</v>
      </c>
      <c r="O19">
        <v>22.079215999999999</v>
      </c>
      <c r="P19">
        <v>22.038837000000001</v>
      </c>
      <c r="Q19">
        <v>21.541184999999999</v>
      </c>
      <c r="R19">
        <v>20.894559999999998</v>
      </c>
      <c r="S19">
        <v>20.561295999999999</v>
      </c>
      <c r="T19">
        <v>20.520959999999999</v>
      </c>
      <c r="U19">
        <v>20.772167</v>
      </c>
      <c r="V19">
        <v>20.963920999999999</v>
      </c>
      <c r="W19">
        <v>20.958179000000001</v>
      </c>
      <c r="X19">
        <v>20.857067000000001</v>
      </c>
      <c r="Y19">
        <v>20.727442</v>
      </c>
      <c r="Z19">
        <v>20.668161000000001</v>
      </c>
      <c r="AA19">
        <v>20.792635000000001</v>
      </c>
      <c r="AB19">
        <v>20.884198999999999</v>
      </c>
      <c r="AC19">
        <v>20.950707999999999</v>
      </c>
      <c r="AD19" s="4">
        <v>-0.16454628101671642</v>
      </c>
    </row>
    <row r="20" spans="1:30" x14ac:dyDescent="0.25">
      <c r="A20" t="s">
        <v>74</v>
      </c>
      <c r="B20" t="s">
        <v>50</v>
      </c>
      <c r="C20">
        <v>20.675979999999999</v>
      </c>
      <c r="D20">
        <v>20.510774999999999</v>
      </c>
      <c r="E20">
        <v>17.628176</v>
      </c>
      <c r="F20">
        <v>16.334644000000001</v>
      </c>
      <c r="G20">
        <v>16.338985000000001</v>
      </c>
      <c r="H20">
        <v>16.542871000000002</v>
      </c>
      <c r="I20">
        <v>16.947171999999998</v>
      </c>
      <c r="J20">
        <v>17.402560999999999</v>
      </c>
      <c r="K20">
        <v>17.738985</v>
      </c>
      <c r="L20">
        <v>17.887028000000001</v>
      </c>
      <c r="M20">
        <v>17.909801000000002</v>
      </c>
      <c r="N20">
        <v>17.808489000000002</v>
      </c>
      <c r="O20">
        <v>17.764334000000002</v>
      </c>
      <c r="P20">
        <v>17.732316999999998</v>
      </c>
      <c r="Q20">
        <v>17.247505</v>
      </c>
      <c r="R20">
        <v>16.628307</v>
      </c>
      <c r="S20">
        <v>16.314907000000002</v>
      </c>
      <c r="T20">
        <v>16.274473</v>
      </c>
      <c r="U20">
        <v>16.481698999999999</v>
      </c>
      <c r="V20">
        <v>16.591996999999999</v>
      </c>
      <c r="W20">
        <v>16.570443999999998</v>
      </c>
      <c r="X20">
        <v>16.471440999999999</v>
      </c>
      <c r="Y20">
        <v>16.343304</v>
      </c>
      <c r="Z20">
        <v>16.286405999999999</v>
      </c>
      <c r="AA20">
        <v>16.410622</v>
      </c>
      <c r="AB20">
        <v>16.475180000000002</v>
      </c>
      <c r="AC20">
        <v>16.537474</v>
      </c>
      <c r="AD20" s="4">
        <v>-0.20016008914692313</v>
      </c>
    </row>
    <row r="21" spans="1:30" x14ac:dyDescent="0.25">
      <c r="A21" t="s">
        <v>74</v>
      </c>
      <c r="B21" t="s">
        <v>51</v>
      </c>
      <c r="C21">
        <v>26.092749000000001</v>
      </c>
      <c r="D21">
        <v>25.841277999999999</v>
      </c>
      <c r="E21">
        <v>23.332705000000001</v>
      </c>
      <c r="F21">
        <v>21.450533</v>
      </c>
      <c r="G21">
        <v>21.438044000000001</v>
      </c>
      <c r="H21">
        <v>21.701412000000001</v>
      </c>
      <c r="I21">
        <v>22.135926999999999</v>
      </c>
      <c r="J21">
        <v>22.65193</v>
      </c>
      <c r="K21">
        <v>23.004397999999998</v>
      </c>
      <c r="L21">
        <v>23.182358000000001</v>
      </c>
      <c r="M21">
        <v>23.197942999999999</v>
      </c>
      <c r="N21">
        <v>23.113174000000001</v>
      </c>
      <c r="O21">
        <v>23.081015000000001</v>
      </c>
      <c r="P21">
        <v>23.060299000000001</v>
      </c>
      <c r="Q21">
        <v>22.614820000000002</v>
      </c>
      <c r="R21">
        <v>21.983269</v>
      </c>
      <c r="S21">
        <v>21.586079000000002</v>
      </c>
      <c r="T21">
        <v>21.537693000000001</v>
      </c>
      <c r="U21">
        <v>21.777920000000002</v>
      </c>
      <c r="V21">
        <v>21.988192000000002</v>
      </c>
      <c r="W21">
        <v>21.991579000000002</v>
      </c>
      <c r="X21">
        <v>21.908200999999998</v>
      </c>
      <c r="Y21">
        <v>21.789936000000001</v>
      </c>
      <c r="Z21">
        <v>21.734783</v>
      </c>
      <c r="AA21">
        <v>21.853912000000001</v>
      </c>
      <c r="AB21">
        <v>21.957542</v>
      </c>
      <c r="AC21">
        <v>22.033276000000001</v>
      </c>
      <c r="AD21" s="4">
        <v>-0.15557858621948958</v>
      </c>
    </row>
    <row r="22" spans="1:30" x14ac:dyDescent="0.25">
      <c r="A22" t="s">
        <v>74</v>
      </c>
      <c r="B22" t="s">
        <v>52</v>
      </c>
      <c r="C22">
        <v>26.306426999999999</v>
      </c>
      <c r="D22">
        <v>26.147808000000001</v>
      </c>
      <c r="E22">
        <v>23.517063</v>
      </c>
      <c r="F22">
        <v>21.963142000000001</v>
      </c>
      <c r="G22">
        <v>22.023288999999998</v>
      </c>
      <c r="H22">
        <v>22.313503000000001</v>
      </c>
      <c r="I22">
        <v>22.789452000000001</v>
      </c>
      <c r="J22">
        <v>23.362551</v>
      </c>
      <c r="K22">
        <v>23.731258</v>
      </c>
      <c r="L22">
        <v>23.901733</v>
      </c>
      <c r="M22">
        <v>23.901989</v>
      </c>
      <c r="N22">
        <v>23.773734999999999</v>
      </c>
      <c r="O22">
        <v>23.719087999999999</v>
      </c>
      <c r="P22">
        <v>23.697617000000001</v>
      </c>
      <c r="Q22">
        <v>23.233906000000001</v>
      </c>
      <c r="R22">
        <v>22.611744000000002</v>
      </c>
      <c r="S22">
        <v>22.309356999999999</v>
      </c>
      <c r="T22">
        <v>22.310386999999999</v>
      </c>
      <c r="U22">
        <v>22.599589999999999</v>
      </c>
      <c r="V22">
        <v>22.829198999999999</v>
      </c>
      <c r="W22">
        <v>22.865279999999998</v>
      </c>
      <c r="X22">
        <v>22.812722999999998</v>
      </c>
      <c r="Y22">
        <v>22.732462000000002</v>
      </c>
      <c r="Z22">
        <v>22.724488999999998</v>
      </c>
      <c r="AA22">
        <v>22.898109000000002</v>
      </c>
      <c r="AB22">
        <v>23.025860000000002</v>
      </c>
      <c r="AC22">
        <v>23.139406000000001</v>
      </c>
      <c r="AD22" s="4">
        <v>-0.12038962950004568</v>
      </c>
    </row>
    <row r="23" spans="1:30" x14ac:dyDescent="0.25">
      <c r="A23" t="s">
        <v>75</v>
      </c>
      <c r="B23" t="s">
        <v>47</v>
      </c>
      <c r="C23">
        <v>29.781094</v>
      </c>
      <c r="D23">
        <v>30.652032999999999</v>
      </c>
      <c r="E23">
        <v>28.452774000000002</v>
      </c>
      <c r="F23">
        <v>27.200993</v>
      </c>
      <c r="G23">
        <v>27.778466999999999</v>
      </c>
      <c r="H23">
        <v>28.635484999999999</v>
      </c>
      <c r="I23">
        <v>29.768547000000002</v>
      </c>
      <c r="J23">
        <v>31.170687000000001</v>
      </c>
      <c r="K23">
        <v>32.387492999999999</v>
      </c>
      <c r="L23">
        <v>33.407767999999997</v>
      </c>
      <c r="M23">
        <v>34.199562</v>
      </c>
      <c r="N23">
        <v>34.786189999999998</v>
      </c>
      <c r="O23">
        <v>35.454861000000001</v>
      </c>
      <c r="P23">
        <v>36.210335000000001</v>
      </c>
      <c r="Q23">
        <v>36.477375000000002</v>
      </c>
      <c r="R23">
        <v>36.522762</v>
      </c>
      <c r="S23">
        <v>37.044651000000002</v>
      </c>
      <c r="T23">
        <v>38.046829000000002</v>
      </c>
      <c r="U23">
        <v>39.527259999999998</v>
      </c>
      <c r="V23">
        <v>41.008769999999998</v>
      </c>
      <c r="W23">
        <v>42.295242000000002</v>
      </c>
      <c r="X23">
        <v>43.491894000000002</v>
      </c>
      <c r="Y23">
        <v>44.693775000000002</v>
      </c>
      <c r="Z23">
        <v>46.046776000000001</v>
      </c>
      <c r="AA23">
        <v>47.740101000000003</v>
      </c>
      <c r="AB23">
        <v>49.369652000000002</v>
      </c>
      <c r="AC23">
        <v>51.061737000000001</v>
      </c>
      <c r="AD23" s="4" cm="1">
        <f t="array" ref="AD23:AD27">(AC23:AC27-C23:C27)/C23:C27</f>
        <v>0.71456888051191136</v>
      </c>
    </row>
    <row r="24" spans="1:30" x14ac:dyDescent="0.25">
      <c r="A24" t="s">
        <v>75</v>
      </c>
      <c r="B24" t="s">
        <v>49</v>
      </c>
      <c r="C24">
        <v>25.077041999999999</v>
      </c>
      <c r="D24">
        <v>25.413509000000001</v>
      </c>
      <c r="E24">
        <v>23.088041</v>
      </c>
      <c r="F24">
        <v>21.811609000000001</v>
      </c>
      <c r="G24">
        <v>22.236612000000001</v>
      </c>
      <c r="H24">
        <v>22.848472999999998</v>
      </c>
      <c r="I24">
        <v>23.698896000000001</v>
      </c>
      <c r="J24">
        <v>24.711158999999999</v>
      </c>
      <c r="K24">
        <v>25.508382999999998</v>
      </c>
      <c r="L24">
        <v>26.106349999999999</v>
      </c>
      <c r="M24">
        <v>26.533691000000001</v>
      </c>
      <c r="N24">
        <v>26.825493000000002</v>
      </c>
      <c r="O24">
        <v>27.209447999999998</v>
      </c>
      <c r="P24">
        <v>27.646051</v>
      </c>
      <c r="Q24">
        <v>27.525811999999998</v>
      </c>
      <c r="R24">
        <v>27.220917</v>
      </c>
      <c r="S24">
        <v>27.344694</v>
      </c>
      <c r="T24">
        <v>27.892182999999999</v>
      </c>
      <c r="U24">
        <v>28.878661999999998</v>
      </c>
      <c r="V24">
        <v>29.831416999999998</v>
      </c>
      <c r="W24">
        <v>30.546081999999998</v>
      </c>
      <c r="X24">
        <v>31.141361</v>
      </c>
      <c r="Y24">
        <v>31.705694000000001</v>
      </c>
      <c r="Z24">
        <v>32.385742</v>
      </c>
      <c r="AA24">
        <v>33.362288999999997</v>
      </c>
      <c r="AB24">
        <v>34.304076999999999</v>
      </c>
      <c r="AC24">
        <v>35.211860999999999</v>
      </c>
      <c r="AD24" s="4">
        <v>0.40414730732595977</v>
      </c>
    </row>
    <row r="25" spans="1:30" x14ac:dyDescent="0.25">
      <c r="A25" t="s">
        <v>75</v>
      </c>
      <c r="B25" t="s">
        <v>50</v>
      </c>
      <c r="C25">
        <v>20.675979999999999</v>
      </c>
      <c r="D25">
        <v>20.981403</v>
      </c>
      <c r="E25">
        <v>18.355775999999999</v>
      </c>
      <c r="F25">
        <v>17.301596</v>
      </c>
      <c r="G25">
        <v>17.609819000000002</v>
      </c>
      <c r="H25">
        <v>18.095274</v>
      </c>
      <c r="I25">
        <v>18.829187000000001</v>
      </c>
      <c r="J25">
        <v>19.673169999999999</v>
      </c>
      <c r="K25">
        <v>20.405069000000001</v>
      </c>
      <c r="L25">
        <v>20.936405000000001</v>
      </c>
      <c r="M25">
        <v>21.329747999999999</v>
      </c>
      <c r="N25">
        <v>21.576218000000001</v>
      </c>
      <c r="O25">
        <v>21.891977000000001</v>
      </c>
      <c r="P25">
        <v>22.243846999999999</v>
      </c>
      <c r="Q25">
        <v>22.039251</v>
      </c>
      <c r="R25">
        <v>21.662949000000001</v>
      </c>
      <c r="S25">
        <v>21.697372000000001</v>
      </c>
      <c r="T25">
        <v>22.120338</v>
      </c>
      <c r="U25">
        <v>22.913809000000001</v>
      </c>
      <c r="V25">
        <v>23.610220000000002</v>
      </c>
      <c r="W25">
        <v>24.151053999999998</v>
      </c>
      <c r="X25">
        <v>24.593252</v>
      </c>
      <c r="Y25">
        <v>24.999504000000002</v>
      </c>
      <c r="Z25">
        <v>25.5198</v>
      </c>
      <c r="AA25">
        <v>26.331244000000002</v>
      </c>
      <c r="AB25">
        <v>27.061888</v>
      </c>
      <c r="AC25">
        <v>27.794537999999999</v>
      </c>
      <c r="AD25" s="4">
        <v>0.3442912016746002</v>
      </c>
    </row>
    <row r="26" spans="1:30" x14ac:dyDescent="0.25">
      <c r="A26" t="s">
        <v>75</v>
      </c>
      <c r="B26" t="s">
        <v>51</v>
      </c>
      <c r="C26">
        <v>26.092749000000001</v>
      </c>
      <c r="D26">
        <v>26.434217</v>
      </c>
      <c r="E26">
        <v>24.295759</v>
      </c>
      <c r="F26">
        <v>22.720327000000001</v>
      </c>
      <c r="G26">
        <v>23.105478000000002</v>
      </c>
      <c r="H26">
        <v>23.737898000000001</v>
      </c>
      <c r="I26">
        <v>24.594163999999999</v>
      </c>
      <c r="J26">
        <v>25.607451999999999</v>
      </c>
      <c r="K26">
        <v>26.461849000000001</v>
      </c>
      <c r="L26">
        <v>27.134482999999999</v>
      </c>
      <c r="M26">
        <v>27.627682</v>
      </c>
      <c r="N26">
        <v>28.003214</v>
      </c>
      <c r="O26">
        <v>28.444019000000001</v>
      </c>
      <c r="P26">
        <v>28.927396999999999</v>
      </c>
      <c r="Q26">
        <v>28.897725999999999</v>
      </c>
      <c r="R26">
        <v>28.639258999999999</v>
      </c>
      <c r="S26">
        <v>28.707563</v>
      </c>
      <c r="T26">
        <v>29.274132000000002</v>
      </c>
      <c r="U26">
        <v>30.276917999999998</v>
      </c>
      <c r="V26">
        <v>31.288941999999999</v>
      </c>
      <c r="W26">
        <v>32.052238000000003</v>
      </c>
      <c r="X26">
        <v>32.710793000000002</v>
      </c>
      <c r="Y26">
        <v>33.330936000000001</v>
      </c>
      <c r="Z26">
        <v>34.057076000000002</v>
      </c>
      <c r="AA26">
        <v>35.065136000000003</v>
      </c>
      <c r="AB26">
        <v>36.067138999999997</v>
      </c>
      <c r="AC26">
        <v>37.031334000000001</v>
      </c>
      <c r="AD26" s="4">
        <v>0.41921933944177364</v>
      </c>
    </row>
    <row r="27" spans="1:30" x14ac:dyDescent="0.25">
      <c r="A27" t="s">
        <v>75</v>
      </c>
      <c r="B27" t="s">
        <v>52</v>
      </c>
      <c r="C27">
        <v>26.306426999999999</v>
      </c>
      <c r="D27">
        <v>26.747782000000001</v>
      </c>
      <c r="E27">
        <v>24.487725999999999</v>
      </c>
      <c r="F27">
        <v>23.263279000000001</v>
      </c>
      <c r="G27">
        <v>23.736243999999999</v>
      </c>
      <c r="H27">
        <v>24.407429</v>
      </c>
      <c r="I27">
        <v>25.320263000000001</v>
      </c>
      <c r="J27">
        <v>26.410791</v>
      </c>
      <c r="K27">
        <v>27.297951000000001</v>
      </c>
      <c r="L27">
        <v>27.976497999999999</v>
      </c>
      <c r="M27">
        <v>28.466166999999999</v>
      </c>
      <c r="N27">
        <v>28.803528</v>
      </c>
      <c r="O27">
        <v>29.230352</v>
      </c>
      <c r="P27">
        <v>29.726863999999999</v>
      </c>
      <c r="Q27">
        <v>29.688808000000002</v>
      </c>
      <c r="R27">
        <v>29.458020999999999</v>
      </c>
      <c r="S27">
        <v>29.669456</v>
      </c>
      <c r="T27">
        <v>30.324380999999999</v>
      </c>
      <c r="U27">
        <v>31.419253999999999</v>
      </c>
      <c r="V27">
        <v>32.485686999999999</v>
      </c>
      <c r="W27">
        <v>33.325642000000002</v>
      </c>
      <c r="X27">
        <v>34.061321</v>
      </c>
      <c r="Y27">
        <v>34.772671000000003</v>
      </c>
      <c r="Z27">
        <v>35.607883000000001</v>
      </c>
      <c r="AA27">
        <v>36.740577999999999</v>
      </c>
      <c r="AB27">
        <v>37.821938000000003</v>
      </c>
      <c r="AC27">
        <v>38.890408000000001</v>
      </c>
      <c r="AD27" s="4">
        <v>0.47836146657240841</v>
      </c>
    </row>
    <row r="28" spans="1:30" x14ac:dyDescent="0.25">
      <c r="A28" t="s">
        <v>76</v>
      </c>
      <c r="B28" t="s">
        <v>54</v>
      </c>
      <c r="C28">
        <v>17.116610999999999</v>
      </c>
      <c r="D28">
        <v>16.800791</v>
      </c>
      <c r="E28">
        <v>13.805365999999999</v>
      </c>
      <c r="F28">
        <v>12.016344</v>
      </c>
      <c r="G28">
        <v>11.855254</v>
      </c>
      <c r="H28">
        <v>11.898979000000001</v>
      </c>
      <c r="I28">
        <v>12.127748</v>
      </c>
      <c r="J28">
        <v>12.435083000000001</v>
      </c>
      <c r="K28">
        <v>12.580195</v>
      </c>
      <c r="L28">
        <v>12.567295</v>
      </c>
      <c r="M28">
        <v>12.417593</v>
      </c>
      <c r="N28">
        <v>12.160303000000001</v>
      </c>
      <c r="O28">
        <v>11.973364999999999</v>
      </c>
      <c r="P28">
        <v>11.816407999999999</v>
      </c>
      <c r="Q28">
        <v>11.224601</v>
      </c>
      <c r="R28">
        <v>10.465899</v>
      </c>
      <c r="S28">
        <v>10.042071999999999</v>
      </c>
      <c r="T28">
        <v>9.8960910000000002</v>
      </c>
      <c r="U28">
        <v>9.9908490000000008</v>
      </c>
      <c r="V28">
        <v>10.008327</v>
      </c>
      <c r="W28">
        <v>9.9046760000000003</v>
      </c>
      <c r="X28">
        <v>9.7228410000000007</v>
      </c>
      <c r="Y28">
        <v>9.5099029999999996</v>
      </c>
      <c r="Z28">
        <v>9.3528850000000006</v>
      </c>
      <c r="AA28">
        <v>9.374625</v>
      </c>
      <c r="AB28">
        <v>9.3458070000000006</v>
      </c>
      <c r="AC28">
        <v>9.3069869999999995</v>
      </c>
      <c r="AD28" s="4" cm="1">
        <f t="array" ref="AD28:AD30">(AC28:AC30-C28:C30)/C28:C30</f>
        <v>-0.45625994538287984</v>
      </c>
    </row>
    <row r="29" spans="1:30" x14ac:dyDescent="0.25">
      <c r="A29" t="s">
        <v>76</v>
      </c>
      <c r="B29" t="s">
        <v>55</v>
      </c>
      <c r="C29">
        <v>2.5044309999999999</v>
      </c>
      <c r="D29">
        <v>2.5880030000000001</v>
      </c>
      <c r="E29">
        <v>2.7452030000000001</v>
      </c>
      <c r="F29">
        <v>2.8360180000000001</v>
      </c>
      <c r="G29">
        <v>2.9192969999999998</v>
      </c>
      <c r="H29">
        <v>3.0148999999999999</v>
      </c>
      <c r="I29">
        <v>3.1125509999999998</v>
      </c>
      <c r="J29">
        <v>3.2322389999999999</v>
      </c>
      <c r="K29">
        <v>3.3340260000000002</v>
      </c>
      <c r="L29">
        <v>3.4149829999999999</v>
      </c>
      <c r="M29">
        <v>3.4741490000000002</v>
      </c>
      <c r="N29">
        <v>3.5194860000000001</v>
      </c>
      <c r="O29">
        <v>3.5694710000000001</v>
      </c>
      <c r="P29">
        <v>3.6228069999999999</v>
      </c>
      <c r="Q29">
        <v>3.6709179999999999</v>
      </c>
      <c r="R29">
        <v>3.7252200000000002</v>
      </c>
      <c r="S29">
        <v>3.7639309999999999</v>
      </c>
      <c r="T29">
        <v>3.819903</v>
      </c>
      <c r="U29">
        <v>3.9095749999999998</v>
      </c>
      <c r="V29">
        <v>4.0078199999999997</v>
      </c>
      <c r="W29">
        <v>4.0387890000000004</v>
      </c>
      <c r="X29">
        <v>4.0575450000000002</v>
      </c>
      <c r="Y29">
        <v>4.0773039999999998</v>
      </c>
      <c r="Z29">
        <v>4.1062510000000003</v>
      </c>
      <c r="AA29">
        <v>4.1375390000000003</v>
      </c>
      <c r="AB29">
        <v>4.1706940000000001</v>
      </c>
      <c r="AC29">
        <v>4.2036100000000003</v>
      </c>
      <c r="AD29" s="4">
        <v>0.67846908140012663</v>
      </c>
    </row>
    <row r="30" spans="1:30" x14ac:dyDescent="0.25">
      <c r="A30" t="s">
        <v>76</v>
      </c>
      <c r="B30" t="s">
        <v>56</v>
      </c>
      <c r="C30">
        <v>6.6853860000000003</v>
      </c>
      <c r="D30">
        <v>6.7590149999999998</v>
      </c>
      <c r="E30">
        <v>6.966494</v>
      </c>
      <c r="F30">
        <v>7.1107800000000001</v>
      </c>
      <c r="G30">
        <v>7.2487389999999996</v>
      </c>
      <c r="H30">
        <v>7.3996240000000002</v>
      </c>
      <c r="I30">
        <v>7.5491539999999997</v>
      </c>
      <c r="J30">
        <v>7.6952290000000003</v>
      </c>
      <c r="K30">
        <v>7.8170380000000002</v>
      </c>
      <c r="L30">
        <v>7.9194550000000001</v>
      </c>
      <c r="M30">
        <v>8.0102480000000007</v>
      </c>
      <c r="N30">
        <v>8.0939460000000008</v>
      </c>
      <c r="O30">
        <v>8.1762499999999996</v>
      </c>
      <c r="P30">
        <v>8.2584009999999992</v>
      </c>
      <c r="Q30">
        <v>8.3383870000000009</v>
      </c>
      <c r="R30">
        <v>8.4206240000000001</v>
      </c>
      <c r="S30">
        <v>8.5033539999999999</v>
      </c>
      <c r="T30">
        <v>8.5943909999999999</v>
      </c>
      <c r="U30">
        <v>8.6991639999999997</v>
      </c>
      <c r="V30">
        <v>8.8130520000000008</v>
      </c>
      <c r="W30">
        <v>8.9218150000000005</v>
      </c>
      <c r="X30">
        <v>9.0323370000000001</v>
      </c>
      <c r="Y30">
        <v>9.1452539999999996</v>
      </c>
      <c r="Z30">
        <v>9.265352</v>
      </c>
      <c r="AA30">
        <v>9.3859429999999993</v>
      </c>
      <c r="AB30">
        <v>9.5093589999999999</v>
      </c>
      <c r="AC30">
        <v>9.6288090000000004</v>
      </c>
      <c r="AD30" s="4">
        <v>0.44027719566229984</v>
      </c>
    </row>
    <row r="31" spans="1:30" x14ac:dyDescent="0.25">
      <c r="A31" t="s">
        <v>77</v>
      </c>
      <c r="B31" t="s">
        <v>54</v>
      </c>
      <c r="C31">
        <v>17.116610999999999</v>
      </c>
      <c r="D31">
        <v>17.186292999999999</v>
      </c>
      <c r="E31">
        <v>14.37518</v>
      </c>
      <c r="F31">
        <v>12.727668</v>
      </c>
      <c r="G31">
        <v>12.777348</v>
      </c>
      <c r="H31">
        <v>13.015594</v>
      </c>
      <c r="I31">
        <v>13.474558</v>
      </c>
      <c r="J31">
        <v>14.057556999999999</v>
      </c>
      <c r="K31">
        <v>14.470936999999999</v>
      </c>
      <c r="L31">
        <v>14.709766</v>
      </c>
      <c r="M31">
        <v>14.788779999999999</v>
      </c>
      <c r="N31">
        <v>14.733048999999999</v>
      </c>
      <c r="O31">
        <v>14.755445</v>
      </c>
      <c r="P31">
        <v>14.822787999999999</v>
      </c>
      <c r="Q31">
        <v>14.343048</v>
      </c>
      <c r="R31">
        <v>13.634715</v>
      </c>
      <c r="S31">
        <v>13.355062</v>
      </c>
      <c r="T31">
        <v>13.450813</v>
      </c>
      <c r="U31">
        <v>13.889855000000001</v>
      </c>
      <c r="V31">
        <v>14.241733999999999</v>
      </c>
      <c r="W31">
        <v>14.435847000000001</v>
      </c>
      <c r="X31">
        <v>14.517021</v>
      </c>
      <c r="Y31">
        <v>14.546805000000001</v>
      </c>
      <c r="Z31">
        <v>14.655398</v>
      </c>
      <c r="AA31">
        <v>15.041816000000001</v>
      </c>
      <c r="AB31">
        <v>15.351285000000001</v>
      </c>
      <c r="AC31">
        <v>15.642256</v>
      </c>
      <c r="AD31" s="4" cm="1">
        <f t="array" ref="AD31:AD33">(AC31:AC33-C31:C33)/C31:C33</f>
        <v>-8.6135917910385371E-2</v>
      </c>
    </row>
    <row r="32" spans="1:30" x14ac:dyDescent="0.25">
      <c r="A32" t="s">
        <v>77</v>
      </c>
      <c r="B32" t="s">
        <v>55</v>
      </c>
      <c r="C32">
        <v>2.5044309999999999</v>
      </c>
      <c r="D32">
        <v>2.647386</v>
      </c>
      <c r="E32">
        <v>2.858511</v>
      </c>
      <c r="F32">
        <v>3.0038990000000001</v>
      </c>
      <c r="G32">
        <v>3.1463570000000001</v>
      </c>
      <c r="H32">
        <v>3.297822</v>
      </c>
      <c r="I32">
        <v>3.458205</v>
      </c>
      <c r="J32">
        <v>3.6539670000000002</v>
      </c>
      <c r="K32">
        <v>3.8351139999999999</v>
      </c>
      <c r="L32">
        <v>3.997169</v>
      </c>
      <c r="M32">
        <v>4.1375510000000002</v>
      </c>
      <c r="N32">
        <v>4.2641010000000001</v>
      </c>
      <c r="O32">
        <v>4.3988579999999997</v>
      </c>
      <c r="P32">
        <v>4.544537</v>
      </c>
      <c r="Q32">
        <v>4.6907810000000003</v>
      </c>
      <c r="R32">
        <v>4.8531250000000004</v>
      </c>
      <c r="S32">
        <v>5.0056929999999999</v>
      </c>
      <c r="T32">
        <v>5.1920299999999999</v>
      </c>
      <c r="U32">
        <v>5.4353160000000003</v>
      </c>
      <c r="V32">
        <v>5.7030820000000002</v>
      </c>
      <c r="W32">
        <v>5.8864450000000001</v>
      </c>
      <c r="X32">
        <v>6.0582570000000002</v>
      </c>
      <c r="Y32">
        <v>6.2368420000000002</v>
      </c>
      <c r="Z32">
        <v>6.4342439999999996</v>
      </c>
      <c r="AA32">
        <v>6.6387830000000001</v>
      </c>
      <c r="AB32">
        <v>6.8507210000000001</v>
      </c>
      <c r="AC32">
        <v>7.0650089999999999</v>
      </c>
      <c r="AD32" s="4">
        <v>1.8210036531252007</v>
      </c>
    </row>
    <row r="33" spans="1:30" x14ac:dyDescent="0.25">
      <c r="A33" t="s">
        <v>77</v>
      </c>
      <c r="B33" t="s">
        <v>56</v>
      </c>
      <c r="C33">
        <v>6.6853860000000003</v>
      </c>
      <c r="D33">
        <v>6.914104</v>
      </c>
      <c r="E33">
        <v>7.2540339999999999</v>
      </c>
      <c r="F33">
        <v>7.5317129999999999</v>
      </c>
      <c r="G33">
        <v>7.8125400000000003</v>
      </c>
      <c r="H33">
        <v>8.0940130000000003</v>
      </c>
      <c r="I33">
        <v>8.3875019999999996</v>
      </c>
      <c r="J33">
        <v>8.6992670000000007</v>
      </c>
      <c r="K33">
        <v>8.9918999999999993</v>
      </c>
      <c r="L33">
        <v>9.2695629999999998</v>
      </c>
      <c r="M33">
        <v>9.5398370000000003</v>
      </c>
      <c r="N33">
        <v>9.8063769999999995</v>
      </c>
      <c r="O33">
        <v>10.076048</v>
      </c>
      <c r="P33">
        <v>10.359538000000001</v>
      </c>
      <c r="Q33">
        <v>10.65498</v>
      </c>
      <c r="R33">
        <v>10.970181</v>
      </c>
      <c r="S33">
        <v>11.308703</v>
      </c>
      <c r="T33">
        <v>11.681535999999999</v>
      </c>
      <c r="U33">
        <v>12.09408</v>
      </c>
      <c r="V33">
        <v>12.540872</v>
      </c>
      <c r="W33">
        <v>13.003347</v>
      </c>
      <c r="X33">
        <v>13.486041</v>
      </c>
      <c r="Y33">
        <v>13.989020999999999</v>
      </c>
      <c r="Z33">
        <v>14.518238999999999</v>
      </c>
      <c r="AA33">
        <v>15.059977</v>
      </c>
      <c r="AB33">
        <v>15.619933</v>
      </c>
      <c r="AC33">
        <v>16.183143999999999</v>
      </c>
      <c r="AD33" s="4">
        <v>1.4206745878248461</v>
      </c>
    </row>
    <row r="34" spans="1:30" x14ac:dyDescent="0.25">
      <c r="A34" t="s">
        <v>57</v>
      </c>
      <c r="B34" t="s">
        <v>58</v>
      </c>
      <c r="C34">
        <v>7.2262149999999998</v>
      </c>
      <c r="D34">
        <v>4.3198489999999996</v>
      </c>
      <c r="E34">
        <v>3.2801079999999998</v>
      </c>
      <c r="F34">
        <v>3.5723050000000001</v>
      </c>
      <c r="G34">
        <v>3.528699</v>
      </c>
      <c r="H34">
        <v>3.3601209999999999</v>
      </c>
      <c r="I34">
        <v>3.3719860000000001</v>
      </c>
      <c r="J34">
        <v>3.3697170000000001</v>
      </c>
      <c r="K34">
        <v>3.6978390000000001</v>
      </c>
      <c r="L34">
        <v>3.4954809999999998</v>
      </c>
      <c r="M34">
        <v>3.1979980000000001</v>
      </c>
      <c r="N34">
        <v>2.8472590000000002</v>
      </c>
      <c r="O34">
        <v>2.2375699999999998</v>
      </c>
      <c r="P34">
        <v>1.583804</v>
      </c>
      <c r="Q34">
        <v>1.412668</v>
      </c>
      <c r="R34">
        <v>1.085143</v>
      </c>
      <c r="S34">
        <v>1.2141310000000001</v>
      </c>
      <c r="T34">
        <v>1.215354</v>
      </c>
      <c r="U34">
        <v>1.098681</v>
      </c>
      <c r="V34">
        <v>1.0086809999999999</v>
      </c>
      <c r="W34">
        <v>1.093353</v>
      </c>
      <c r="X34">
        <v>1.0208189999999999</v>
      </c>
      <c r="Y34">
        <v>0.97754600000000003</v>
      </c>
      <c r="Z34">
        <v>0.95548</v>
      </c>
      <c r="AA34">
        <v>1.1876059999999999</v>
      </c>
      <c r="AB34">
        <v>1.2379009999999999</v>
      </c>
      <c r="AC34">
        <v>1.3027409999999999</v>
      </c>
      <c r="AD34" s="4" cm="1">
        <f t="array" ref="AD34:AD38">(AC34:AC38-C34:C38)/C34:C38</f>
        <v>-0.8197201439481111</v>
      </c>
    </row>
    <row r="35" spans="1:30" x14ac:dyDescent="0.25">
      <c r="A35" t="s">
        <v>57</v>
      </c>
      <c r="B35" t="s">
        <v>60</v>
      </c>
      <c r="C35">
        <v>26.496127999999999</v>
      </c>
      <c r="D35">
        <v>15.839444</v>
      </c>
      <c r="E35">
        <v>12.027060000000001</v>
      </c>
      <c r="F35">
        <v>13.098452999999999</v>
      </c>
      <c r="G35">
        <v>12.938563</v>
      </c>
      <c r="H35">
        <v>12.320441000000001</v>
      </c>
      <c r="I35">
        <v>12.363944999999999</v>
      </c>
      <c r="J35">
        <v>12.355632</v>
      </c>
      <c r="K35">
        <v>13.558745</v>
      </c>
      <c r="L35">
        <v>12.816755000000001</v>
      </c>
      <c r="M35">
        <v>11.725977</v>
      </c>
      <c r="N35">
        <v>10.439939000000001</v>
      </c>
      <c r="O35">
        <v>8.2044130000000006</v>
      </c>
      <c r="P35">
        <v>5.8072809999999997</v>
      </c>
      <c r="Q35">
        <v>5.1797800000000001</v>
      </c>
      <c r="R35">
        <v>3.9788549999999998</v>
      </c>
      <c r="S35">
        <v>4.4518110000000002</v>
      </c>
      <c r="T35">
        <v>4.4562970000000002</v>
      </c>
      <c r="U35">
        <v>4.028492</v>
      </c>
      <c r="V35">
        <v>3.698493</v>
      </c>
      <c r="W35">
        <v>4.0089610000000002</v>
      </c>
      <c r="X35">
        <v>3.7429990000000002</v>
      </c>
      <c r="Y35">
        <v>3.584333</v>
      </c>
      <c r="Z35">
        <v>3.5034239999999999</v>
      </c>
      <c r="AA35">
        <v>4.354552</v>
      </c>
      <c r="AB35">
        <v>4.5389650000000001</v>
      </c>
      <c r="AC35">
        <v>4.7767109999999997</v>
      </c>
      <c r="AD35" s="4">
        <v>-0.81972041348834068</v>
      </c>
    </row>
    <row r="36" spans="1:30" x14ac:dyDescent="0.25">
      <c r="A36" t="s">
        <v>57</v>
      </c>
      <c r="B36" t="s">
        <v>61</v>
      </c>
      <c r="C36">
        <v>7.1100000000000004E-4</v>
      </c>
      <c r="D36">
        <v>2.4899999999999998E-4</v>
      </c>
      <c r="E36">
        <v>2.9500000000000001E-4</v>
      </c>
      <c r="F36">
        <v>2.6800000000000001E-4</v>
      </c>
      <c r="G36">
        <v>2.5599999999999999E-4</v>
      </c>
      <c r="H36">
        <v>1.8699999999999999E-4</v>
      </c>
      <c r="I36">
        <v>7.2999999999999999E-5</v>
      </c>
      <c r="J36">
        <v>7.8999999999999996E-5</v>
      </c>
      <c r="K36">
        <v>3.0000000000000001E-5</v>
      </c>
      <c r="L36">
        <v>3.1999999999999999E-5</v>
      </c>
      <c r="M36">
        <v>3.4999999999999997E-5</v>
      </c>
      <c r="N36">
        <v>3.6999999999999998E-5</v>
      </c>
      <c r="O36">
        <v>3.8999999999999999E-5</v>
      </c>
      <c r="P36">
        <v>4.3000000000000002E-5</v>
      </c>
      <c r="Q36">
        <v>5.1E-5</v>
      </c>
      <c r="R36">
        <v>5.5400000000000002E-4</v>
      </c>
      <c r="S36">
        <v>5.6700000000000001E-4</v>
      </c>
      <c r="T36">
        <v>2.6600000000000001E-4</v>
      </c>
      <c r="U36">
        <v>3.48E-4</v>
      </c>
      <c r="V36">
        <v>3.5500000000000001E-4</v>
      </c>
      <c r="W36">
        <v>3.6499999999999998E-4</v>
      </c>
      <c r="X36">
        <v>3.6999999999999999E-4</v>
      </c>
      <c r="Y36">
        <v>3.7399999999999998E-4</v>
      </c>
      <c r="Z36">
        <v>3.6499999999999998E-4</v>
      </c>
      <c r="AA36">
        <v>3.7800000000000003E-4</v>
      </c>
      <c r="AB36">
        <v>3.2499999999999999E-4</v>
      </c>
      <c r="AC36">
        <v>2.8699999999999998E-4</v>
      </c>
      <c r="AD36" s="4">
        <v>-0.59634317862165964</v>
      </c>
    </row>
    <row r="37" spans="1:30" x14ac:dyDescent="0.25">
      <c r="A37" t="s">
        <v>57</v>
      </c>
      <c r="B37" t="s">
        <v>62</v>
      </c>
      <c r="C37">
        <v>1.1812E-2</v>
      </c>
      <c r="D37">
        <v>4.4359999999999998E-3</v>
      </c>
      <c r="E37">
        <v>3.9350000000000001E-3</v>
      </c>
      <c r="F37">
        <v>4.5279999999999999E-3</v>
      </c>
      <c r="G37">
        <v>4.372E-3</v>
      </c>
      <c r="H37">
        <v>4.0850000000000001E-3</v>
      </c>
      <c r="I37">
        <v>4.8019999999999998E-3</v>
      </c>
      <c r="J37">
        <v>4.0569999999999998E-3</v>
      </c>
      <c r="K37">
        <v>3.8509999999999998E-3</v>
      </c>
      <c r="L37">
        <v>3.5920000000000001E-3</v>
      </c>
      <c r="M37">
        <v>3.5330000000000001E-3</v>
      </c>
      <c r="N37">
        <v>3.2360000000000002E-3</v>
      </c>
      <c r="O37">
        <v>2.908E-3</v>
      </c>
      <c r="P37">
        <v>2.6510000000000001E-3</v>
      </c>
      <c r="Q37">
        <v>2.4629999999999999E-3</v>
      </c>
      <c r="R37">
        <v>2.7929999999999999E-3</v>
      </c>
      <c r="S37">
        <v>3.0379999999999999E-3</v>
      </c>
      <c r="T37">
        <v>2.6770000000000001E-3</v>
      </c>
      <c r="U37">
        <v>2.7929999999999999E-3</v>
      </c>
      <c r="V37">
        <v>2.826E-3</v>
      </c>
      <c r="W37">
        <v>3.1180000000000001E-3</v>
      </c>
      <c r="X37">
        <v>3.0300000000000001E-3</v>
      </c>
      <c r="Y37">
        <v>3.372E-3</v>
      </c>
      <c r="Z37">
        <v>3.2729999999999999E-3</v>
      </c>
      <c r="AA37">
        <v>3.3549999999999999E-3</v>
      </c>
      <c r="AB37">
        <v>3.4220000000000001E-3</v>
      </c>
      <c r="AC37">
        <v>3.418E-3</v>
      </c>
      <c r="AD37" s="4">
        <v>-0.71063325431764301</v>
      </c>
    </row>
    <row r="38" spans="1:30" x14ac:dyDescent="0.25">
      <c r="A38" t="s">
        <v>57</v>
      </c>
      <c r="B38" t="s">
        <v>63</v>
      </c>
      <c r="C38">
        <v>4.4479999999999997E-3</v>
      </c>
      <c r="D38">
        <v>1.9999999999999999E-6</v>
      </c>
      <c r="E38">
        <v>1.9999999999999999E-6</v>
      </c>
      <c r="F38">
        <v>1.9999999999999999E-6</v>
      </c>
      <c r="G38">
        <v>1.9999999999999999E-6</v>
      </c>
      <c r="H38">
        <v>1.9999999999999999E-6</v>
      </c>
      <c r="I38">
        <v>1.9999999999999999E-6</v>
      </c>
      <c r="J38">
        <v>1.9999999999999999E-6</v>
      </c>
      <c r="K38">
        <v>1.9999999999999999E-6</v>
      </c>
      <c r="L38">
        <v>1.9999999999999999E-6</v>
      </c>
      <c r="M38">
        <v>1.9999999999999999E-6</v>
      </c>
      <c r="N38">
        <v>1.9999999999999999E-6</v>
      </c>
      <c r="O38">
        <v>1.9999999999999999E-6</v>
      </c>
      <c r="P38">
        <v>1.9999999999999999E-6</v>
      </c>
      <c r="Q38">
        <v>1.9999999999999999E-6</v>
      </c>
      <c r="R38">
        <v>1.9999999999999999E-6</v>
      </c>
      <c r="S38">
        <v>9.9999999999999995E-7</v>
      </c>
      <c r="T38">
        <v>9.9999999999999995E-7</v>
      </c>
      <c r="U38">
        <v>9.9999999999999995E-7</v>
      </c>
      <c r="V38">
        <v>9.9999999999999995E-7</v>
      </c>
      <c r="W38">
        <v>9.9999999999999995E-7</v>
      </c>
      <c r="X38">
        <v>9.9999999999999995E-7</v>
      </c>
      <c r="Y38">
        <v>9.9999999999999995E-7</v>
      </c>
      <c r="Z38">
        <v>9.9999999999999995E-7</v>
      </c>
      <c r="AA38">
        <v>9.9999999999999995E-7</v>
      </c>
      <c r="AB38">
        <v>9.9999999999999995E-7</v>
      </c>
      <c r="AC38">
        <v>9.9999999999999995E-7</v>
      </c>
      <c r="AD38" s="4">
        <v>-0.99977517985611508</v>
      </c>
    </row>
    <row r="39" spans="1:30" x14ac:dyDescent="0.25">
      <c r="A39" t="s">
        <v>70</v>
      </c>
      <c r="B39" t="s">
        <v>66</v>
      </c>
      <c r="C39" cm="1">
        <f t="array" ref="C39:C42">907185*C34:C37*10^6/(C17*10^9)</f>
        <v>59.59374555235285</v>
      </c>
      <c r="D39" cm="1">
        <f t="array" ref="D39:D42">907185*D34:D37*10^6/(D17*10^9)</f>
        <v>41.836937126119075</v>
      </c>
      <c r="E39" cm="1">
        <f t="array" ref="E39:E42">907185*E34:E37*10^6/(E17*10^9)</f>
        <v>31.531069077382494</v>
      </c>
      <c r="F39" cm="1">
        <f t="array" ref="F39:F42">907185*F34:F37*10^6/(F17*10^9)</f>
        <v>32.62250573375448</v>
      </c>
      <c r="G39" cm="1">
        <f t="array" ref="G39:G42">907185*G34:G37*10^6/(G17*10^9)</f>
        <v>32.227651772925519</v>
      </c>
      <c r="H39" cm="1">
        <f t="array" ref="H39:H42">907185*H34:H37*10^6/(H17*10^9)</f>
        <v>31.116790891349453</v>
      </c>
      <c r="I39" cm="1">
        <f t="array" ref="I39:I42">907185*I34:I37*10^6/(I17*10^9)</f>
        <v>28.817030652916838</v>
      </c>
      <c r="J39" cm="1">
        <f t="array" ref="J39:J42">907185*J34:J37*10^6/(J17*10^9)</f>
        <v>26.636961314245674</v>
      </c>
      <c r="K39" cm="1">
        <f t="array" ref="K39:K42">907185*K34:K37*10^6/(K17*10^9)</f>
        <v>26.009815732989395</v>
      </c>
      <c r="L39" cm="1">
        <f t="array" ref="L39:L42">907185*L34:L37*10^6/(L17*10^9)</f>
        <v>24.278557274819612</v>
      </c>
      <c r="M39" cm="1">
        <f t="array" ref="M39:M42">907185*M34:M37*10^6/(M17*10^9)</f>
        <v>22.325305839155</v>
      </c>
      <c r="N39" cm="1">
        <f t="array" ref="N39:N42">907185*N34:N37*10^6/(N17*10^9)</f>
        <v>19.667376001219061</v>
      </c>
      <c r="O39" cm="1">
        <f t="array" ref="O39:O42">907185*O34:O37*10^6/(O17*10^9)</f>
        <v>16.351899094918423</v>
      </c>
      <c r="P39" cm="1">
        <f t="array" ref="P39:P42">907185*P34:P37*10^6/(P17*10^9)</f>
        <v>12.021167847972997</v>
      </c>
      <c r="Q39" cm="1">
        <f t="array" ref="Q39:Q42">907185*Q34:Q37*10^6/(Q17*10^9)</f>
        <v>10.210883807622878</v>
      </c>
      <c r="R39" cm="1">
        <f t="array" ref="R39:R42">907185*R34:R37*10^6/(R17*10^9)</f>
        <v>7.4613876913888557</v>
      </c>
      <c r="S39" cm="1">
        <f t="array" ref="S39:S42">907185*S34:S37*10^6/(S17*10^9)</f>
        <v>8.1192576877094176</v>
      </c>
      <c r="T39" cm="1">
        <f t="array" ref="T39:T42">907185*T34:T37*10^6/(T17*10^9)</f>
        <v>8.0068943874044631</v>
      </c>
      <c r="U39" cm="1">
        <f t="array" ref="U39:U42">907185*U34:U37*10^6/(U17*10^9)</f>
        <v>6.9192721688847731</v>
      </c>
      <c r="V39" cm="1">
        <f t="array" ref="V39:V42">907185*V34:V37*10^6/(V17*10^9)</f>
        <v>6.247492192992544</v>
      </c>
      <c r="W39" cm="1">
        <f t="array" ref="W39:W42">907185*W34:W37*10^6/(W17*10^9)</f>
        <v>6.6417194173526042</v>
      </c>
      <c r="X39" cm="1">
        <f t="array" ref="X39:X42">907185*X34:X37*10^6/(X17*10^9)</f>
        <v>6.2084952787042607</v>
      </c>
      <c r="Y39" cm="1">
        <f t="array" ref="Y39:Y42">907185*Y34:Y37*10^6/(Y17*10^9)</f>
        <v>5.8385443311170002</v>
      </c>
      <c r="Z39" cm="1">
        <f t="array" ref="Z39:Z42">907185*Z34:Z37*10^6/(Z17*10^9)</f>
        <v>5.5687673337131516</v>
      </c>
      <c r="AA39" cm="1">
        <f t="array" ref="AA39:AA42">907185*AA34:AA37*10^6/(AA17*10^9)</f>
        <v>6.8544122597145094</v>
      </c>
      <c r="AB39" cm="1">
        <f t="array" ref="AB39:AB42">907185*AB34:AB37*10^6/(AB17*10^9)</f>
        <v>7.0195618320168656</v>
      </c>
      <c r="AC39" cm="1">
        <f t="array" ref="AC39:AC42">907185*AC34:AC37*10^6/(AC17*10^9)</f>
        <v>7.3297942494598276</v>
      </c>
      <c r="AD39" s="4" cm="1">
        <f t="array" ref="AD39:AD43">(AC39:AC43-C39:C43)/C39:C43</f>
        <v>-0.87700396775663925</v>
      </c>
    </row>
    <row r="40" spans="1:30" x14ac:dyDescent="0.25">
      <c r="A40" t="s">
        <v>70</v>
      </c>
      <c r="B40" t="s">
        <v>67</v>
      </c>
      <c r="C40">
        <v>218.51045258888257</v>
      </c>
      <c r="D40">
        <v>153.402080197869</v>
      </c>
      <c r="E40">
        <v>115.61389431623103</v>
      </c>
      <c r="F40">
        <v>119.61586653318054</v>
      </c>
      <c r="G40">
        <v>118.16805650072689</v>
      </c>
      <c r="H40">
        <v>114.09487523997153</v>
      </c>
      <c r="I40">
        <v>105.66241439198674</v>
      </c>
      <c r="J40">
        <v>97.668881866654061</v>
      </c>
      <c r="K40">
        <v>95.369338421870523</v>
      </c>
      <c r="L40">
        <v>89.021316478284575</v>
      </c>
      <c r="M40">
        <v>81.859345374167603</v>
      </c>
      <c r="N40">
        <v>72.113638324715438</v>
      </c>
      <c r="O40">
        <v>59.956887833246313</v>
      </c>
      <c r="P40">
        <v>44.077612912547558</v>
      </c>
      <c r="Q40">
        <v>37.439888019724968</v>
      </c>
      <c r="R40">
        <v>27.358403199229048</v>
      </c>
      <c r="S40">
        <v>29.770593688802407</v>
      </c>
      <c r="T40">
        <v>29.358606165699328</v>
      </c>
      <c r="U40">
        <v>25.370633130248866</v>
      </c>
      <c r="V40">
        <v>22.907446599408114</v>
      </c>
      <c r="W40">
        <v>24.352971196959547</v>
      </c>
      <c r="X40">
        <v>22.76445836107554</v>
      </c>
      <c r="Y40">
        <v>21.407981944568942</v>
      </c>
      <c r="Z40">
        <v>20.418798014973277</v>
      </c>
      <c r="AA40">
        <v>25.132825713548382</v>
      </c>
      <c r="AB40">
        <v>25.738363141204694</v>
      </c>
      <c r="AC40">
        <v>26.87587848937855</v>
      </c>
      <c r="AD40" s="4">
        <v>-0.87700415165061107</v>
      </c>
    </row>
    <row r="41" spans="1:30" x14ac:dyDescent="0.25">
      <c r="A41" t="s">
        <v>70</v>
      </c>
      <c r="B41" t="s">
        <v>68</v>
      </c>
      <c r="C41">
        <v>5.8635334110212446E-3</v>
      </c>
      <c r="D41">
        <v>2.4115188619795859E-3</v>
      </c>
      <c r="E41">
        <v>2.8357802175501038E-3</v>
      </c>
      <c r="F41">
        <v>2.4473922402051896E-3</v>
      </c>
      <c r="G41">
        <v>2.3380511780316006E-3</v>
      </c>
      <c r="H41">
        <v>1.7317352252143145E-3</v>
      </c>
      <c r="I41">
        <v>6.2385882908853375E-4</v>
      </c>
      <c r="J41">
        <v>6.244797245066599E-4</v>
      </c>
      <c r="K41">
        <v>2.1101364120765717E-4</v>
      </c>
      <c r="L41">
        <v>2.2226235324815884E-4</v>
      </c>
      <c r="M41">
        <v>2.4433589526022997E-4</v>
      </c>
      <c r="N41">
        <v>2.5557664829406284E-4</v>
      </c>
      <c r="O41">
        <v>2.8500742533275767E-4</v>
      </c>
      <c r="P41">
        <v>3.2637259248166997E-4</v>
      </c>
      <c r="Q41">
        <v>3.6863231430793843E-4</v>
      </c>
      <c r="R41">
        <v>3.8092756263731382E-3</v>
      </c>
      <c r="S41">
        <v>3.791698843807827E-3</v>
      </c>
      <c r="T41">
        <v>1.7524391305328219E-3</v>
      </c>
      <c r="U41">
        <v>2.1916340728308768E-3</v>
      </c>
      <c r="V41">
        <v>2.1987721871556554E-3</v>
      </c>
      <c r="W41">
        <v>2.2172414465718758E-3</v>
      </c>
      <c r="X41">
        <v>2.2502943745370887E-3</v>
      </c>
      <c r="Y41">
        <v>2.2337727123201956E-3</v>
      </c>
      <c r="Z41">
        <v>2.1273078209960443E-3</v>
      </c>
      <c r="AA41">
        <v>2.1816729068159682E-3</v>
      </c>
      <c r="AB41">
        <v>1.842924107344191E-3</v>
      </c>
      <c r="AC41">
        <v>1.6147883190864266E-3</v>
      </c>
      <c r="AD41" s="4">
        <v>-0.72460490869699323</v>
      </c>
    </row>
    <row r="42" spans="1:30" x14ac:dyDescent="0.25">
      <c r="A42" t="s">
        <v>70</v>
      </c>
      <c r="B42" t="s">
        <v>69</v>
      </c>
      <c r="C42">
        <v>9.7412175317838162E-2</v>
      </c>
      <c r="D42">
        <v>4.2961838039122256E-2</v>
      </c>
      <c r="E42">
        <v>3.7826424257829359E-2</v>
      </c>
      <c r="F42">
        <v>4.1349970386750375E-2</v>
      </c>
      <c r="G42">
        <v>3.9929530274820935E-2</v>
      </c>
      <c r="H42">
        <v>3.7829617085564045E-2</v>
      </c>
      <c r="I42">
        <v>4.1037946538125189E-2</v>
      </c>
      <c r="J42">
        <v>3.2069800535740746E-2</v>
      </c>
      <c r="K42">
        <v>2.7087117743022925E-2</v>
      </c>
      <c r="L42">
        <v>2.4948949152105833E-2</v>
      </c>
      <c r="M42">
        <v>2.4663963370125504E-2</v>
      </c>
      <c r="N42">
        <v>2.2352595510259126E-2</v>
      </c>
      <c r="O42">
        <v>2.1251322894042544E-2</v>
      </c>
      <c r="P42">
        <v>2.0121249829509469E-2</v>
      </c>
      <c r="Q42">
        <v>1.7802772355695145E-2</v>
      </c>
      <c r="R42">
        <v>1.9204524953899228E-2</v>
      </c>
      <c r="S42">
        <v>2.031601602731601E-2</v>
      </c>
      <c r="T42">
        <v>1.7636389294873552E-2</v>
      </c>
      <c r="U42">
        <v>1.758975277418574E-2</v>
      </c>
      <c r="V42">
        <v>1.7503465354653188E-2</v>
      </c>
      <c r="W42">
        <v>1.8940709124414003E-2</v>
      </c>
      <c r="X42">
        <v>1.8428086364452378E-2</v>
      </c>
      <c r="Y42">
        <v>2.013979033674786E-2</v>
      </c>
      <c r="Z42">
        <v>1.9075831501698774E-2</v>
      </c>
      <c r="AA42">
        <v>1.9363789953353368E-2</v>
      </c>
      <c r="AB42">
        <v>1.9404573216405603E-2</v>
      </c>
      <c r="AC42">
        <v>1.9231172385496188E-2</v>
      </c>
      <c r="AD42" s="4">
        <v>-0.80257937652302325</v>
      </c>
    </row>
    <row r="43" spans="1:30" x14ac:dyDescent="0.25">
      <c r="A43" t="s">
        <v>70</v>
      </c>
      <c r="B43" t="s">
        <v>65</v>
      </c>
      <c r="C43">
        <f>907185*C38/(C17*10^9)</f>
        <v>3.6682133069229945E-8</v>
      </c>
      <c r="D43">
        <f>907185*D38/(D17*10^9)</f>
        <v>1.9369629413490646E-11</v>
      </c>
      <c r="E43">
        <f>907185*E38/(E17*10^9)</f>
        <v>1.9225628593560025E-11</v>
      </c>
      <c r="F43">
        <f>907185*F38/(F17*10^9)</f>
        <v>1.8264121195561114E-11</v>
      </c>
      <c r="G43">
        <f>907185*G38/(G17*10^9)</f>
        <v>1.8266024828371879E-11</v>
      </c>
      <c r="H43">
        <f>907185*H38/(H17*10^9)</f>
        <v>1.852123235523331E-11</v>
      </c>
      <c r="I43">
        <f>907185*I38/(I17*10^9)</f>
        <v>1.709202271475435E-11</v>
      </c>
      <c r="J43">
        <f>907185*J38/(J17*10^9)</f>
        <v>1.5809613278649613E-11</v>
      </c>
      <c r="K43">
        <f>907185*K38/(K17*10^9)</f>
        <v>1.4067576080510477E-11</v>
      </c>
      <c r="L43">
        <f>907185*L38/(L17*10^9)</f>
        <v>1.3891397078009927E-11</v>
      </c>
      <c r="M43">
        <f>907185*M38/(M17*10^9)</f>
        <v>1.3962051157727427E-11</v>
      </c>
      <c r="N43">
        <f>907185*N38/(N17*10^9)</f>
        <v>1.3814953961841236E-11</v>
      </c>
      <c r="O43">
        <f>907185*O38/(O17*10^9)</f>
        <v>1.4615765401679876E-11</v>
      </c>
      <c r="P43">
        <f>907185*P38/(P17*10^9)</f>
        <v>1.5180120580542788E-11</v>
      </c>
      <c r="Q43">
        <f>907185*Q38/(Q17*10^9)</f>
        <v>1.4456169188546603E-11</v>
      </c>
      <c r="R43">
        <f>907185*R38/(R17*10^9)</f>
        <v>1.3751897568134072E-11</v>
      </c>
      <c r="S43">
        <f>907185*S38/(S17*10^9)</f>
        <v>6.6872995481619507E-12</v>
      </c>
      <c r="T43">
        <f>907185*T38/(T17*10^9)</f>
        <v>6.5881170320782761E-12</v>
      </c>
      <c r="U43">
        <f>907185*U38/(U17*10^9)</f>
        <v>6.2977990598588413E-12</v>
      </c>
      <c r="V43">
        <f>907185*V38/(V17*10^9)</f>
        <v>6.1937244708610004E-12</v>
      </c>
      <c r="W43">
        <f>907185*W38/(W17*10^9)</f>
        <v>6.0746341001969202E-12</v>
      </c>
      <c r="X43">
        <f>907185*X38/(X17*10^9)</f>
        <v>6.0818766879380774E-12</v>
      </c>
      <c r="Y43">
        <f>907185*Y38/(Y17*10^9)</f>
        <v>5.9726543110165655E-12</v>
      </c>
      <c r="Z43">
        <f>907185*Z38/(Z17*10^9)</f>
        <v>5.8282406054686136E-12</v>
      </c>
      <c r="AA43">
        <f>907185*AA38/(AA17*10^9)</f>
        <v>5.7716214466030895E-12</v>
      </c>
      <c r="AB43">
        <f>907185*AB38/(AB17*10^9)</f>
        <v>5.6705357149052023E-12</v>
      </c>
      <c r="AC43">
        <f>907185*AC38/(AC17*10^9)</f>
        <v>5.626440136189639E-12</v>
      </c>
      <c r="AD43" s="4">
        <v>-0.9998466163315648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43"/>
  <sheetViews>
    <sheetView tabSelected="1" zoomScale="70" zoomScaleNormal="70" workbookViewId="0">
      <selection activeCell="B16" sqref="B16:B17"/>
    </sheetView>
  </sheetViews>
  <sheetFormatPr defaultRowHeight="15" x14ac:dyDescent="0.25"/>
  <cols>
    <col min="1" max="1" width="44.7109375" bestFit="1" customWidth="1"/>
    <col min="2" max="2" width="16.140625" bestFit="1" customWidth="1"/>
    <col min="3" max="10" width="11.5703125" bestFit="1" customWidth="1"/>
    <col min="11" max="29" width="12.7109375" bestFit="1" customWidth="1"/>
    <col min="30" max="30" width="19.42578125" bestFit="1" customWidth="1"/>
  </cols>
  <sheetData>
    <row r="1" spans="1:30" s="3" customFormat="1" ht="15.75" thickBot="1" x14ac:dyDescent="0.3">
      <c r="A1" s="3" t="s">
        <v>72</v>
      </c>
      <c r="B1" s="1" t="s">
        <v>73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</row>
    <row r="2" spans="1:30" ht="15.75" thickTop="1" x14ac:dyDescent="0.25">
      <c r="A2" t="s">
        <v>29</v>
      </c>
      <c r="B2" t="s">
        <v>30</v>
      </c>
      <c r="C2">
        <v>28.986761000000001</v>
      </c>
      <c r="D2">
        <v>27.206793000000001</v>
      </c>
      <c r="E2">
        <v>27.267137999999999</v>
      </c>
      <c r="F2">
        <v>23.881401</v>
      </c>
      <c r="G2">
        <v>22.927136999999998</v>
      </c>
      <c r="H2">
        <v>18.052123999999999</v>
      </c>
      <c r="I2">
        <v>6.0668709999999999</v>
      </c>
      <c r="J2">
        <v>4.3368760000000002</v>
      </c>
      <c r="K2">
        <v>2.524772</v>
      </c>
      <c r="L2">
        <v>2.603145</v>
      </c>
      <c r="M2">
        <v>2.6408809999999998</v>
      </c>
      <c r="N2">
        <v>2.609413</v>
      </c>
      <c r="O2">
        <v>2.6124459999999998</v>
      </c>
      <c r="P2">
        <v>2.5071050000000001</v>
      </c>
      <c r="Q2">
        <v>2.1531739999999999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 s="4" cm="1">
        <f t="array" ref="AD2:AD17">(AC2:AC17-C2:C17)/C2:C17</f>
        <v>-1</v>
      </c>
    </row>
    <row r="3" spans="1:30" x14ac:dyDescent="0.25">
      <c r="A3" t="s">
        <v>29</v>
      </c>
      <c r="B3" t="s">
        <v>32</v>
      </c>
      <c r="C3">
        <v>0.116767</v>
      </c>
      <c r="D3">
        <v>0.10947800000000001</v>
      </c>
      <c r="E3">
        <v>0.10795399999999999</v>
      </c>
      <c r="F3">
        <v>9.5837000000000006E-2</v>
      </c>
      <c r="G3">
        <v>8.3351999999999996E-2</v>
      </c>
      <c r="H3">
        <v>6.4742999999999995E-2</v>
      </c>
      <c r="I3">
        <v>3.1525999999999998E-2</v>
      </c>
      <c r="J3">
        <v>3.2542000000000001E-2</v>
      </c>
      <c r="K3">
        <v>2.5182E-2</v>
      </c>
      <c r="L3">
        <v>3.2919999999999998E-3</v>
      </c>
      <c r="M3">
        <v>2.7690000000000002E-3</v>
      </c>
      <c r="N3">
        <v>2.7690000000000002E-3</v>
      </c>
      <c r="O3">
        <v>2.7690000000000002E-3</v>
      </c>
      <c r="P3">
        <v>2.7690000000000002E-3</v>
      </c>
      <c r="Q3">
        <v>2.5969999999999999E-3</v>
      </c>
      <c r="R3">
        <v>2.5969999999999999E-3</v>
      </c>
      <c r="S3">
        <v>2.5969999999999999E-3</v>
      </c>
      <c r="T3">
        <v>8.8900000000000003E-4</v>
      </c>
      <c r="U3">
        <v>8.8900000000000003E-4</v>
      </c>
      <c r="V3">
        <v>8.8900000000000003E-4</v>
      </c>
      <c r="W3">
        <v>8.8900000000000003E-4</v>
      </c>
      <c r="X3">
        <v>8.8900000000000003E-4</v>
      </c>
      <c r="Y3">
        <v>8.8900000000000003E-4</v>
      </c>
      <c r="Z3">
        <v>8.8900000000000003E-4</v>
      </c>
      <c r="AA3">
        <v>8.8900000000000003E-4</v>
      </c>
      <c r="AB3">
        <v>8.8900000000000003E-4</v>
      </c>
      <c r="AC3">
        <v>8.8900000000000003E-4</v>
      </c>
      <c r="AD3" s="4">
        <v>-0.99238654756909062</v>
      </c>
    </row>
    <row r="4" spans="1:30" x14ac:dyDescent="0.25">
      <c r="A4" t="s">
        <v>29</v>
      </c>
      <c r="B4" t="s">
        <v>33</v>
      </c>
      <c r="C4">
        <v>25.256208000000001</v>
      </c>
      <c r="D4">
        <v>23.953966000000001</v>
      </c>
      <c r="E4">
        <v>17.807041000000002</v>
      </c>
      <c r="F4">
        <v>19.062888999999998</v>
      </c>
      <c r="G4">
        <v>19.498158</v>
      </c>
      <c r="H4">
        <v>17.590447999999999</v>
      </c>
      <c r="I4">
        <v>20.492535</v>
      </c>
      <c r="J4">
        <v>16.443674000000001</v>
      </c>
      <c r="K4">
        <v>23.206150000000001</v>
      </c>
      <c r="L4">
        <v>23.984434</v>
      </c>
      <c r="M4">
        <v>24.677464000000001</v>
      </c>
      <c r="N4">
        <v>24.360001</v>
      </c>
      <c r="O4">
        <v>25.022839999999999</v>
      </c>
      <c r="P4">
        <v>24.864525</v>
      </c>
      <c r="Q4">
        <v>21.763195</v>
      </c>
      <c r="R4">
        <v>23.034956000000001</v>
      </c>
      <c r="S4">
        <v>23.142465999999999</v>
      </c>
      <c r="T4">
        <v>19.999889</v>
      </c>
      <c r="U4">
        <v>18.593605</v>
      </c>
      <c r="V4">
        <v>18.058361000000001</v>
      </c>
      <c r="W4">
        <v>19.017612</v>
      </c>
      <c r="X4">
        <v>20.098531999999999</v>
      </c>
      <c r="Y4">
        <v>16.551062000000002</v>
      </c>
      <c r="Z4">
        <v>17.006648999999999</v>
      </c>
      <c r="AA4">
        <v>17.838684000000001</v>
      </c>
      <c r="AB4">
        <v>18.731489</v>
      </c>
      <c r="AC4">
        <v>19.742564999999999</v>
      </c>
      <c r="AD4" s="4">
        <v>-0.21830842539782699</v>
      </c>
    </row>
    <row r="5" spans="1:30" x14ac:dyDescent="0.25">
      <c r="A5" t="s">
        <v>29</v>
      </c>
      <c r="B5" t="s">
        <v>34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8.2506930000000001</v>
      </c>
      <c r="Z5">
        <v>8.9549099999999999</v>
      </c>
      <c r="AA5">
        <v>8.9549099999999999</v>
      </c>
      <c r="AB5">
        <v>8.9549099999999999</v>
      </c>
      <c r="AC5">
        <v>8.9820309999999992</v>
      </c>
      <c r="AD5" s="4" t="e">
        <v>#DIV/0!</v>
      </c>
    </row>
    <row r="6" spans="1:30" x14ac:dyDescent="0.25">
      <c r="A6" t="s">
        <v>29</v>
      </c>
      <c r="B6" t="s">
        <v>35</v>
      </c>
      <c r="C6">
        <v>-7.9926999999999998E-2</v>
      </c>
      <c r="D6">
        <v>-7.2035000000000002E-2</v>
      </c>
      <c r="E6">
        <v>-7.5198000000000001E-2</v>
      </c>
      <c r="F6">
        <v>-7.6882000000000006E-2</v>
      </c>
      <c r="G6">
        <v>-7.5791999999999998E-2</v>
      </c>
      <c r="H6">
        <v>-8.1338999999999995E-2</v>
      </c>
      <c r="I6">
        <v>-8.4706000000000004E-2</v>
      </c>
      <c r="J6">
        <v>-8.3824999999999997E-2</v>
      </c>
      <c r="K6">
        <v>-8.3627000000000007E-2</v>
      </c>
      <c r="L6">
        <v>-8.2905999999999994E-2</v>
      </c>
      <c r="M6">
        <v>-8.2532999999999995E-2</v>
      </c>
      <c r="N6">
        <v>-8.1724000000000005E-2</v>
      </c>
      <c r="O6">
        <v>-8.2768999999999995E-2</v>
      </c>
      <c r="P6">
        <v>-8.3129999999999996E-2</v>
      </c>
      <c r="Q6">
        <v>-8.4930000000000005E-2</v>
      </c>
      <c r="R6">
        <v>-8.3335999999999993E-2</v>
      </c>
      <c r="S6">
        <v>-8.4597000000000006E-2</v>
      </c>
      <c r="T6">
        <v>-8.4235000000000004E-2</v>
      </c>
      <c r="U6">
        <v>-8.795E-2</v>
      </c>
      <c r="V6">
        <v>-8.7098999999999996E-2</v>
      </c>
      <c r="W6">
        <v>-8.677E-2</v>
      </c>
      <c r="X6">
        <v>-8.5335999999999995E-2</v>
      </c>
      <c r="Y6">
        <v>-8.5181000000000007E-2</v>
      </c>
      <c r="Z6">
        <v>-8.6221000000000006E-2</v>
      </c>
      <c r="AA6">
        <v>-8.5227999999999998E-2</v>
      </c>
      <c r="AB6">
        <v>-8.5606000000000002E-2</v>
      </c>
      <c r="AC6">
        <v>-8.6597999999999994E-2</v>
      </c>
      <c r="AD6" s="4">
        <v>8.3463660590288591E-2</v>
      </c>
    </row>
    <row r="7" spans="1:30" x14ac:dyDescent="0.25">
      <c r="A7" t="s">
        <v>29</v>
      </c>
      <c r="B7" t="s">
        <v>36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7.2940000000000001E-3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 s="4" t="e">
        <v>#DIV/0!</v>
      </c>
    </row>
    <row r="8" spans="1:30" x14ac:dyDescent="0.25">
      <c r="A8" t="s">
        <v>29</v>
      </c>
      <c r="B8" t="s">
        <v>37</v>
      </c>
      <c r="C8">
        <v>1.560935</v>
      </c>
      <c r="D8">
        <v>1.6964079999999999</v>
      </c>
      <c r="E8">
        <v>1.7610209999999999</v>
      </c>
      <c r="F8">
        <v>1.8241499999999999</v>
      </c>
      <c r="G8">
        <v>1.844087</v>
      </c>
      <c r="H8">
        <v>1.8443529999999999</v>
      </c>
      <c r="I8">
        <v>1.846509</v>
      </c>
      <c r="J8">
        <v>1.856298</v>
      </c>
      <c r="K8">
        <v>1.900255</v>
      </c>
      <c r="L8">
        <v>1.8795269999999999</v>
      </c>
      <c r="M8">
        <v>1.9755259999999999</v>
      </c>
      <c r="N8">
        <v>1.9793750000000001</v>
      </c>
      <c r="O8">
        <v>1.9785379999999999</v>
      </c>
      <c r="P8">
        <v>2.0038559999999999</v>
      </c>
      <c r="Q8">
        <v>2.0027900000000001</v>
      </c>
      <c r="R8">
        <v>2.007282</v>
      </c>
      <c r="S8">
        <v>2.0046889999999999</v>
      </c>
      <c r="T8">
        <v>1.8817349999999999</v>
      </c>
      <c r="U8">
        <v>1.6502460000000001</v>
      </c>
      <c r="V8">
        <v>1.665214</v>
      </c>
      <c r="W8">
        <v>1.765104</v>
      </c>
      <c r="X8">
        <v>1.8122309999999999</v>
      </c>
      <c r="Y8">
        <v>1.859415</v>
      </c>
      <c r="Z8">
        <v>1.874528</v>
      </c>
      <c r="AA8">
        <v>1.890112</v>
      </c>
      <c r="AB8">
        <v>1.90404</v>
      </c>
      <c r="AC8">
        <v>1.9282319999999999</v>
      </c>
      <c r="AD8" s="4">
        <v>0.23530576225147107</v>
      </c>
    </row>
    <row r="9" spans="1:30" x14ac:dyDescent="0.25">
      <c r="A9" t="s">
        <v>29</v>
      </c>
      <c r="B9" t="s">
        <v>38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 s="4" t="e">
        <v>#DIV/0!</v>
      </c>
    </row>
    <row r="10" spans="1:30" x14ac:dyDescent="0.25">
      <c r="A10" t="s">
        <v>29</v>
      </c>
      <c r="B10" t="s">
        <v>39</v>
      </c>
      <c r="C10">
        <v>3.7019999999999997E-2</v>
      </c>
      <c r="D10">
        <v>7.6994999999999994E-2</v>
      </c>
      <c r="E10">
        <v>0.120168</v>
      </c>
      <c r="F10">
        <v>0.14979700000000001</v>
      </c>
      <c r="G10">
        <v>0.18368999999999999</v>
      </c>
      <c r="H10">
        <v>0.220112</v>
      </c>
      <c r="I10">
        <v>0.256415</v>
      </c>
      <c r="J10">
        <v>0.29470099999999999</v>
      </c>
      <c r="K10">
        <v>0.33211600000000002</v>
      </c>
      <c r="L10">
        <v>0.36857699999999999</v>
      </c>
      <c r="M10">
        <v>0.40164100000000003</v>
      </c>
      <c r="N10">
        <v>0.43869599999999997</v>
      </c>
      <c r="O10">
        <v>0.47748400000000002</v>
      </c>
      <c r="P10">
        <v>0.51860899999999999</v>
      </c>
      <c r="Q10">
        <v>0.55985300000000005</v>
      </c>
      <c r="R10">
        <v>0.58827099999999999</v>
      </c>
      <c r="S10">
        <v>0.60315300000000005</v>
      </c>
      <c r="T10">
        <v>0.36236099999999999</v>
      </c>
      <c r="U10">
        <v>0.378662</v>
      </c>
      <c r="V10">
        <v>0.39473399999999997</v>
      </c>
      <c r="W10">
        <v>0.402887</v>
      </c>
      <c r="X10">
        <v>0.41116399999999997</v>
      </c>
      <c r="Y10">
        <v>0.41937000000000002</v>
      </c>
      <c r="Z10">
        <v>0.42758800000000002</v>
      </c>
      <c r="AA10">
        <v>0.43596499999999999</v>
      </c>
      <c r="AB10">
        <v>0.43596499999999999</v>
      </c>
      <c r="AC10">
        <v>0.43596499999999999</v>
      </c>
      <c r="AD10" s="4">
        <v>10.776472177201514</v>
      </c>
    </row>
    <row r="11" spans="1:30" x14ac:dyDescent="0.25">
      <c r="A11" t="s">
        <v>29</v>
      </c>
      <c r="B11" t="s">
        <v>40</v>
      </c>
      <c r="C11">
        <v>8.1000000000000003E-2</v>
      </c>
      <c r="D11">
        <v>4.8582E-2</v>
      </c>
      <c r="E11">
        <v>0.115896</v>
      </c>
      <c r="F11">
        <v>8.0749000000000001E-2</v>
      </c>
      <c r="G11">
        <v>8.0768000000000006E-2</v>
      </c>
      <c r="H11">
        <v>0.123387</v>
      </c>
      <c r="I11">
        <v>0.236565</v>
      </c>
      <c r="J11">
        <v>0.23807800000000001</v>
      </c>
      <c r="K11">
        <v>0.231576</v>
      </c>
      <c r="L11">
        <v>0.231576</v>
      </c>
      <c r="M11">
        <v>0.28656399999999999</v>
      </c>
      <c r="N11">
        <v>0.28656399999999999</v>
      </c>
      <c r="O11">
        <v>0.28618500000000002</v>
      </c>
      <c r="P11">
        <v>0.623556</v>
      </c>
      <c r="Q11">
        <v>0.91638399999999998</v>
      </c>
      <c r="R11">
        <v>0.91638399999999998</v>
      </c>
      <c r="S11">
        <v>1.451649</v>
      </c>
      <c r="T11">
        <v>0.89555499999999999</v>
      </c>
      <c r="U11">
        <v>0.83073699999999995</v>
      </c>
      <c r="V11">
        <v>0.83073699999999995</v>
      </c>
      <c r="W11">
        <v>0.83073699999999995</v>
      </c>
      <c r="X11">
        <v>0.81748900000000002</v>
      </c>
      <c r="Y11">
        <v>0.81748900000000002</v>
      </c>
      <c r="Z11">
        <v>0.81748900000000002</v>
      </c>
      <c r="AA11">
        <v>0.73620799999999997</v>
      </c>
      <c r="AB11">
        <v>0.657196</v>
      </c>
      <c r="AC11">
        <v>0.657196</v>
      </c>
      <c r="AD11" s="4">
        <v>7.1135308641975312</v>
      </c>
    </row>
    <row r="12" spans="1:30" x14ac:dyDescent="0.25">
      <c r="A12" t="s">
        <v>29</v>
      </c>
      <c r="B12" t="s">
        <v>41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 s="4" t="e">
        <v>#DIV/0!</v>
      </c>
    </row>
    <row r="13" spans="1:30" x14ac:dyDescent="0.25">
      <c r="A13" t="s">
        <v>29</v>
      </c>
      <c r="B13" t="s">
        <v>42</v>
      </c>
      <c r="C13">
        <v>5.3561810000000003</v>
      </c>
      <c r="D13">
        <v>6.7394530000000001</v>
      </c>
      <c r="E13">
        <v>8.1735889999999998</v>
      </c>
      <c r="F13">
        <v>8.4226279999999996</v>
      </c>
      <c r="G13">
        <v>8.4169990000000006</v>
      </c>
      <c r="H13">
        <v>8.4382590000000004</v>
      </c>
      <c r="I13">
        <v>8.4295399999999994</v>
      </c>
      <c r="J13">
        <v>8.4369890000000005</v>
      </c>
      <c r="K13">
        <v>8.4327950000000005</v>
      </c>
      <c r="L13">
        <v>8.4246090000000002</v>
      </c>
      <c r="M13">
        <v>8.4484779999999997</v>
      </c>
      <c r="N13">
        <v>8.4274439999999995</v>
      </c>
      <c r="O13">
        <v>8.4085269999999994</v>
      </c>
      <c r="P13">
        <v>8.4174749999999996</v>
      </c>
      <c r="Q13">
        <v>8.4002110000000005</v>
      </c>
      <c r="R13">
        <v>8.4143290000000004</v>
      </c>
      <c r="S13">
        <v>8.4269660000000002</v>
      </c>
      <c r="T13">
        <v>8.4134729999999998</v>
      </c>
      <c r="U13">
        <v>8.4046810000000001</v>
      </c>
      <c r="V13">
        <v>8.3931079999999998</v>
      </c>
      <c r="W13">
        <v>8.4364089999999994</v>
      </c>
      <c r="X13">
        <v>8.4221500000000002</v>
      </c>
      <c r="Y13">
        <v>8.4064270000000008</v>
      </c>
      <c r="Z13">
        <v>8.4172989999999999</v>
      </c>
      <c r="AA13">
        <v>8.3810380000000002</v>
      </c>
      <c r="AB13">
        <v>8.3249929999999992</v>
      </c>
      <c r="AC13">
        <v>8.4148899999999998</v>
      </c>
      <c r="AD13" s="4">
        <v>0.57106154553029465</v>
      </c>
    </row>
    <row r="14" spans="1:30" x14ac:dyDescent="0.25">
      <c r="A14" t="s">
        <v>29</v>
      </c>
      <c r="B14" t="s">
        <v>43</v>
      </c>
      <c r="C14">
        <v>20.324349999999999</v>
      </c>
      <c r="D14">
        <v>19.609829000000001</v>
      </c>
      <c r="E14">
        <v>20.811157000000001</v>
      </c>
      <c r="F14">
        <v>27.340038</v>
      </c>
      <c r="G14">
        <v>35.358162</v>
      </c>
      <c r="H14">
        <v>44.676422000000002</v>
      </c>
      <c r="I14">
        <v>56.272723999999997</v>
      </c>
      <c r="J14">
        <v>64.285194000000004</v>
      </c>
      <c r="K14">
        <v>65.251259000000005</v>
      </c>
      <c r="L14">
        <v>66.211472000000001</v>
      </c>
      <c r="M14">
        <v>66.821503000000007</v>
      </c>
      <c r="N14">
        <v>67.781989999999993</v>
      </c>
      <c r="O14">
        <v>70.828674000000007</v>
      </c>
      <c r="P14">
        <v>74.024711999999994</v>
      </c>
      <c r="Q14">
        <v>74.191849000000005</v>
      </c>
      <c r="R14">
        <v>76.433387999999994</v>
      </c>
      <c r="S14">
        <v>78.611946000000003</v>
      </c>
      <c r="T14">
        <v>92.167289999999994</v>
      </c>
      <c r="U14">
        <v>96.525429000000003</v>
      </c>
      <c r="V14">
        <v>97.366309999999999</v>
      </c>
      <c r="W14">
        <v>98.422989000000001</v>
      </c>
      <c r="X14">
        <v>99.596137999999996</v>
      </c>
      <c r="Y14">
        <v>97.830810999999997</v>
      </c>
      <c r="Z14">
        <v>98.443977000000004</v>
      </c>
      <c r="AA14">
        <v>98.241005000000001</v>
      </c>
      <c r="AB14">
        <v>97.883148000000006</v>
      </c>
      <c r="AC14">
        <v>98.566863999999995</v>
      </c>
      <c r="AD14" s="4">
        <v>3.8496932989246893</v>
      </c>
    </row>
    <row r="15" spans="1:30" x14ac:dyDescent="0.25">
      <c r="A15" t="s">
        <v>29</v>
      </c>
      <c r="B15" t="s">
        <v>44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 s="4" t="e">
        <v>#DIV/0!</v>
      </c>
    </row>
    <row r="16" spans="1:30" x14ac:dyDescent="0.25">
      <c r="A16" t="s">
        <v>29</v>
      </c>
      <c r="B16" s="5" t="s">
        <v>45</v>
      </c>
      <c r="C16">
        <v>0</v>
      </c>
      <c r="D16">
        <v>0</v>
      </c>
      <c r="E16">
        <v>1.97E-3</v>
      </c>
      <c r="F16">
        <v>8.763E-3</v>
      </c>
      <c r="G16">
        <v>1.5739E-2</v>
      </c>
      <c r="H16">
        <v>2.3163E-2</v>
      </c>
      <c r="I16">
        <v>3.0126E-2</v>
      </c>
      <c r="J16">
        <v>3.8092000000000001E-2</v>
      </c>
      <c r="K16">
        <v>9.8493999999999998E-2</v>
      </c>
      <c r="L16">
        <v>0.109455</v>
      </c>
      <c r="M16">
        <v>0.122517</v>
      </c>
      <c r="N16">
        <v>0.13664399999999999</v>
      </c>
      <c r="O16">
        <v>0.15054799999999999</v>
      </c>
      <c r="P16">
        <v>0.190303</v>
      </c>
      <c r="Q16">
        <v>0.227718</v>
      </c>
      <c r="R16">
        <v>0.30802499999999999</v>
      </c>
      <c r="S16">
        <v>0.34440700000000002</v>
      </c>
      <c r="T16">
        <v>0.38028899999999999</v>
      </c>
      <c r="U16">
        <v>0.41542600000000002</v>
      </c>
      <c r="V16">
        <v>0.44898199999999999</v>
      </c>
      <c r="W16">
        <v>0.48504399999999998</v>
      </c>
      <c r="X16">
        <v>0.51966800000000002</v>
      </c>
      <c r="Y16">
        <v>0.55254300000000001</v>
      </c>
      <c r="Z16">
        <v>0.58414299999999997</v>
      </c>
      <c r="AA16">
        <v>0.61791399999999996</v>
      </c>
      <c r="AB16">
        <v>0.65392799999999995</v>
      </c>
      <c r="AC16">
        <v>0.69291899999999995</v>
      </c>
      <c r="AD16" s="4" t="e">
        <v>#DIV/0!</v>
      </c>
    </row>
    <row r="17" spans="1:30" x14ac:dyDescent="0.25">
      <c r="A17" t="s">
        <v>29</v>
      </c>
      <c r="B17" s="5" t="s">
        <v>46</v>
      </c>
      <c r="C17">
        <v>81.639296999999999</v>
      </c>
      <c r="D17">
        <v>79.369468999999995</v>
      </c>
      <c r="E17">
        <v>76.090728999999996</v>
      </c>
      <c r="F17">
        <v>80.789375000000007</v>
      </c>
      <c r="G17">
        <v>88.332297999999994</v>
      </c>
      <c r="H17">
        <v>90.951674999999994</v>
      </c>
      <c r="I17">
        <v>93.578109999999995</v>
      </c>
      <c r="J17">
        <v>95.878624000000002</v>
      </c>
      <c r="K17">
        <v>101.918976</v>
      </c>
      <c r="L17">
        <v>103.73318500000001</v>
      </c>
      <c r="M17">
        <v>105.29480700000001</v>
      </c>
      <c r="N17">
        <v>105.941177</v>
      </c>
      <c r="O17">
        <v>109.685249</v>
      </c>
      <c r="P17">
        <v>113.069771</v>
      </c>
      <c r="Q17">
        <v>110.13284299999999</v>
      </c>
      <c r="R17">
        <v>111.629181</v>
      </c>
      <c r="S17">
        <v>114.503265</v>
      </c>
      <c r="T17">
        <v>124.017242</v>
      </c>
      <c r="U17">
        <v>126.711731</v>
      </c>
      <c r="V17">
        <v>127.071236</v>
      </c>
      <c r="W17">
        <v>129.274902</v>
      </c>
      <c r="X17">
        <v>131.59292600000001</v>
      </c>
      <c r="Y17">
        <v>134.6035</v>
      </c>
      <c r="Z17">
        <v>136.441238</v>
      </c>
      <c r="AA17">
        <v>137.011505</v>
      </c>
      <c r="AB17">
        <v>137.46095299999999</v>
      </c>
      <c r="AC17">
        <v>139.334946</v>
      </c>
      <c r="AD17" s="4">
        <v>0.70671418201947533</v>
      </c>
    </row>
    <row r="18" spans="1:30" x14ac:dyDescent="0.25">
      <c r="A18" t="s">
        <v>74</v>
      </c>
      <c r="B18" t="s">
        <v>47</v>
      </c>
      <c r="C18">
        <v>12.858993</v>
      </c>
      <c r="D18">
        <v>12.584538999999999</v>
      </c>
      <c r="E18">
        <v>12.515031</v>
      </c>
      <c r="F18">
        <v>12.463443</v>
      </c>
      <c r="G18">
        <v>12.376693</v>
      </c>
      <c r="H18">
        <v>12.501155000000001</v>
      </c>
      <c r="I18">
        <v>12.832329</v>
      </c>
      <c r="J18">
        <v>12.837745999999999</v>
      </c>
      <c r="K18">
        <v>12.933600999999999</v>
      </c>
      <c r="L18">
        <v>13.160204999999999</v>
      </c>
      <c r="M18">
        <v>13.436586</v>
      </c>
      <c r="N18">
        <v>13.628548</v>
      </c>
      <c r="O18">
        <v>13.744960000000001</v>
      </c>
      <c r="P18">
        <v>13.706001000000001</v>
      </c>
      <c r="Q18">
        <v>13.683204</v>
      </c>
      <c r="R18">
        <v>13.959585000000001</v>
      </c>
      <c r="S18">
        <v>14.243878</v>
      </c>
      <c r="T18">
        <v>14.394278</v>
      </c>
      <c r="U18">
        <v>14.474036</v>
      </c>
      <c r="V18">
        <v>14.422321</v>
      </c>
      <c r="W18">
        <v>14.336838999999999</v>
      </c>
      <c r="X18">
        <v>14.271687999999999</v>
      </c>
      <c r="Y18">
        <v>14.752554</v>
      </c>
      <c r="Z18">
        <v>15.084887999999999</v>
      </c>
      <c r="AA18">
        <v>15.100244999999999</v>
      </c>
      <c r="AB18">
        <v>15.133995000000001</v>
      </c>
      <c r="AC18">
        <v>15.157591</v>
      </c>
      <c r="AD18" s="4" cm="1">
        <f t="array" ref="AD18:AD22">(AC18:AC22-C18:C22)/C18:C22</f>
        <v>0.17875412172632804</v>
      </c>
    </row>
    <row r="19" spans="1:30" x14ac:dyDescent="0.25">
      <c r="A19" t="s">
        <v>74</v>
      </c>
      <c r="B19" t="s">
        <v>49</v>
      </c>
      <c r="C19">
        <v>9.4338139999999999</v>
      </c>
      <c r="D19">
        <v>9.1099130000000006</v>
      </c>
      <c r="E19">
        <v>9.1205890000000007</v>
      </c>
      <c r="F19">
        <v>9.0536580000000004</v>
      </c>
      <c r="G19">
        <v>8.9608080000000001</v>
      </c>
      <c r="H19">
        <v>9.0280620000000003</v>
      </c>
      <c r="I19">
        <v>9.2958770000000008</v>
      </c>
      <c r="J19">
        <v>9.1880629999999996</v>
      </c>
      <c r="K19">
        <v>9.2348800000000004</v>
      </c>
      <c r="L19">
        <v>9.3561510000000006</v>
      </c>
      <c r="M19">
        <v>9.5212900000000005</v>
      </c>
      <c r="N19">
        <v>9.6106180000000005</v>
      </c>
      <c r="O19">
        <v>9.6317140000000006</v>
      </c>
      <c r="P19">
        <v>9.5416179999999997</v>
      </c>
      <c r="Q19">
        <v>9.4851109999999998</v>
      </c>
      <c r="R19">
        <v>9.7226040000000005</v>
      </c>
      <c r="S19">
        <v>9.9082209999999993</v>
      </c>
      <c r="T19">
        <v>9.9739109999999993</v>
      </c>
      <c r="U19">
        <v>9.9828469999999996</v>
      </c>
      <c r="V19">
        <v>9.8812359999999995</v>
      </c>
      <c r="W19">
        <v>9.7475989999999992</v>
      </c>
      <c r="X19">
        <v>9.6339930000000003</v>
      </c>
      <c r="Y19">
        <v>10.109385</v>
      </c>
      <c r="Z19">
        <v>10.275149000000001</v>
      </c>
      <c r="AA19">
        <v>10.210201</v>
      </c>
      <c r="AB19">
        <v>10.172298</v>
      </c>
      <c r="AC19">
        <v>10.107286</v>
      </c>
      <c r="AD19" s="4">
        <v>7.1389153951943535E-2</v>
      </c>
    </row>
    <row r="20" spans="1:30" x14ac:dyDescent="0.25">
      <c r="A20" t="s">
        <v>74</v>
      </c>
      <c r="B20" t="s">
        <v>50</v>
      </c>
      <c r="C20">
        <v>6.8749130000000003</v>
      </c>
      <c r="D20">
        <v>6.6556940000000004</v>
      </c>
      <c r="E20">
        <v>6.6569940000000001</v>
      </c>
      <c r="F20">
        <v>6.5590580000000003</v>
      </c>
      <c r="G20">
        <v>6.4648580000000004</v>
      </c>
      <c r="H20">
        <v>6.5460929999999999</v>
      </c>
      <c r="I20">
        <v>6.8170719999999996</v>
      </c>
      <c r="J20">
        <v>6.6754629999999997</v>
      </c>
      <c r="K20">
        <v>6.8173079999999997</v>
      </c>
      <c r="L20">
        <v>6.9655699999999996</v>
      </c>
      <c r="M20">
        <v>7.1752729999999998</v>
      </c>
      <c r="N20">
        <v>7.2873900000000003</v>
      </c>
      <c r="O20">
        <v>7.3337180000000002</v>
      </c>
      <c r="P20">
        <v>7.2728869999999999</v>
      </c>
      <c r="Q20">
        <v>7.2701770000000003</v>
      </c>
      <c r="R20">
        <v>7.5696149999999998</v>
      </c>
      <c r="S20">
        <v>7.7402519999999999</v>
      </c>
      <c r="T20">
        <v>7.7967139999999997</v>
      </c>
      <c r="U20">
        <v>7.8029890000000002</v>
      </c>
      <c r="V20">
        <v>7.7215680000000004</v>
      </c>
      <c r="W20">
        <v>7.6189850000000003</v>
      </c>
      <c r="X20">
        <v>7.5353630000000003</v>
      </c>
      <c r="Y20">
        <v>8.058548</v>
      </c>
      <c r="Z20">
        <v>8.157985</v>
      </c>
      <c r="AA20">
        <v>8.1110399999999991</v>
      </c>
      <c r="AB20">
        <v>8.0984449999999999</v>
      </c>
      <c r="AC20">
        <v>8.0468039999999998</v>
      </c>
      <c r="AD20" s="4">
        <v>0.1704590298088135</v>
      </c>
    </row>
    <row r="21" spans="1:30" x14ac:dyDescent="0.25">
      <c r="A21" t="s">
        <v>74</v>
      </c>
      <c r="B21" t="s">
        <v>51</v>
      </c>
      <c r="C21">
        <v>9.2889300000000006</v>
      </c>
      <c r="D21">
        <v>9.1031809999999993</v>
      </c>
      <c r="E21">
        <v>9.0268119999999996</v>
      </c>
      <c r="F21">
        <v>8.9292479999999994</v>
      </c>
      <c r="G21">
        <v>8.8013110000000001</v>
      </c>
      <c r="H21">
        <v>8.8589420000000008</v>
      </c>
      <c r="I21">
        <v>9.1157869999999992</v>
      </c>
      <c r="J21">
        <v>9.0298259999999999</v>
      </c>
      <c r="K21">
        <v>9.0718580000000006</v>
      </c>
      <c r="L21">
        <v>9.2110450000000004</v>
      </c>
      <c r="M21">
        <v>9.3966619999999992</v>
      </c>
      <c r="N21">
        <v>9.5055949999999996</v>
      </c>
      <c r="O21">
        <v>9.5442060000000009</v>
      </c>
      <c r="P21">
        <v>9.4693369999999994</v>
      </c>
      <c r="Q21">
        <v>9.4173950000000008</v>
      </c>
      <c r="R21">
        <v>9.6488329999999998</v>
      </c>
      <c r="S21">
        <v>9.8538370000000004</v>
      </c>
      <c r="T21">
        <v>9.9329830000000001</v>
      </c>
      <c r="U21">
        <v>9.9475920000000002</v>
      </c>
      <c r="V21">
        <v>9.8519939999999995</v>
      </c>
      <c r="W21">
        <v>9.7212019999999999</v>
      </c>
      <c r="X21">
        <v>9.6093679999999999</v>
      </c>
      <c r="Y21">
        <v>10.050198999999999</v>
      </c>
      <c r="Z21">
        <v>10.247412000000001</v>
      </c>
      <c r="AA21">
        <v>10.187760000000001</v>
      </c>
      <c r="AB21">
        <v>10.151161999999999</v>
      </c>
      <c r="AC21">
        <v>10.089563999999999</v>
      </c>
      <c r="AD21" s="4">
        <v>8.6192274029409058E-2</v>
      </c>
    </row>
    <row r="22" spans="1:30" x14ac:dyDescent="0.25">
      <c r="A22" t="s">
        <v>74</v>
      </c>
      <c r="B22" t="s">
        <v>52</v>
      </c>
      <c r="C22">
        <v>9.8453660000000003</v>
      </c>
      <c r="D22">
        <v>9.541366</v>
      </c>
      <c r="E22">
        <v>9.5584640000000007</v>
      </c>
      <c r="F22">
        <v>9.4923870000000008</v>
      </c>
      <c r="G22">
        <v>9.3955509999999993</v>
      </c>
      <c r="H22">
        <v>9.4779640000000001</v>
      </c>
      <c r="I22">
        <v>9.7590679999999992</v>
      </c>
      <c r="J22">
        <v>9.6597159999999995</v>
      </c>
      <c r="K22">
        <v>9.7219709999999999</v>
      </c>
      <c r="L22">
        <v>9.8552009999999992</v>
      </c>
      <c r="M22">
        <v>10.031389000000001</v>
      </c>
      <c r="N22">
        <v>10.126474999999999</v>
      </c>
      <c r="O22">
        <v>10.145277999999999</v>
      </c>
      <c r="P22">
        <v>10.078704</v>
      </c>
      <c r="Q22">
        <v>10.054963000000001</v>
      </c>
      <c r="R22">
        <v>10.325099</v>
      </c>
      <c r="S22">
        <v>10.534024</v>
      </c>
      <c r="T22">
        <v>10.623256</v>
      </c>
      <c r="U22">
        <v>10.651899999999999</v>
      </c>
      <c r="V22">
        <v>10.581060000000001</v>
      </c>
      <c r="W22">
        <v>10.476622000000001</v>
      </c>
      <c r="X22">
        <v>10.393414999999999</v>
      </c>
      <c r="Y22">
        <v>10.897961</v>
      </c>
      <c r="Z22">
        <v>11.092416</v>
      </c>
      <c r="AA22">
        <v>11.055261</v>
      </c>
      <c r="AB22">
        <v>11.047613</v>
      </c>
      <c r="AC22">
        <v>11.005615000000001</v>
      </c>
      <c r="AD22" s="4">
        <v>0.11784721868135734</v>
      </c>
    </row>
    <row r="23" spans="1:30" x14ac:dyDescent="0.25">
      <c r="A23" t="s">
        <v>75</v>
      </c>
      <c r="B23" t="s">
        <v>47</v>
      </c>
      <c r="C23">
        <v>12.858993</v>
      </c>
      <c r="D23">
        <v>12.873297000000001</v>
      </c>
      <c r="E23">
        <v>13.031586000000001</v>
      </c>
      <c r="F23">
        <v>13.201233</v>
      </c>
      <c r="G23">
        <v>13.339343</v>
      </c>
      <c r="H23">
        <v>13.674277999999999</v>
      </c>
      <c r="I23">
        <v>14.257383000000001</v>
      </c>
      <c r="J23">
        <v>14.512756</v>
      </c>
      <c r="K23">
        <v>14.877459</v>
      </c>
      <c r="L23">
        <v>15.403755</v>
      </c>
      <c r="M23">
        <v>16.002355999999999</v>
      </c>
      <c r="N23">
        <v>16.51193</v>
      </c>
      <c r="O23">
        <v>16.938679</v>
      </c>
      <c r="P23">
        <v>17.19314</v>
      </c>
      <c r="Q23">
        <v>17.484707</v>
      </c>
      <c r="R23">
        <v>18.186202999999999</v>
      </c>
      <c r="S23">
        <v>18.943090000000002</v>
      </c>
      <c r="T23">
        <v>19.564768000000001</v>
      </c>
      <c r="U23">
        <v>20.122638999999999</v>
      </c>
      <c r="V23">
        <v>20.522797000000001</v>
      </c>
      <c r="W23">
        <v>20.895624000000002</v>
      </c>
      <c r="X23">
        <v>21.308834000000001</v>
      </c>
      <c r="Y23">
        <v>22.566217000000002</v>
      </c>
      <c r="Z23">
        <v>23.637094000000001</v>
      </c>
      <c r="AA23">
        <v>24.22871</v>
      </c>
      <c r="AB23">
        <v>24.858877</v>
      </c>
      <c r="AC23">
        <v>25.475368</v>
      </c>
      <c r="AD23" s="4" cm="1">
        <f t="array" ref="AD23:AD27">(AC23:AC27-C23:C27)/C23:C27</f>
        <v>0.98113242615498741</v>
      </c>
    </row>
    <row r="24" spans="1:30" x14ac:dyDescent="0.25">
      <c r="A24" t="s">
        <v>75</v>
      </c>
      <c r="B24" t="s">
        <v>49</v>
      </c>
      <c r="C24">
        <v>9.4338139999999999</v>
      </c>
      <c r="D24">
        <v>9.3189440000000001</v>
      </c>
      <c r="E24">
        <v>9.4970400000000001</v>
      </c>
      <c r="F24">
        <v>9.589601</v>
      </c>
      <c r="G24">
        <v>9.6577719999999996</v>
      </c>
      <c r="H24">
        <v>9.8752659999999999</v>
      </c>
      <c r="I24">
        <v>10.328200000000001</v>
      </c>
      <c r="J24">
        <v>10.38688</v>
      </c>
      <c r="K24">
        <v>10.622838</v>
      </c>
      <c r="L24">
        <v>10.951186</v>
      </c>
      <c r="M24">
        <v>11.339416999999999</v>
      </c>
      <c r="N24">
        <v>11.643929</v>
      </c>
      <c r="O24">
        <v>11.869698</v>
      </c>
      <c r="P24">
        <v>11.969236</v>
      </c>
      <c r="Q24">
        <v>12.120289</v>
      </c>
      <c r="R24">
        <v>12.666368</v>
      </c>
      <c r="S24">
        <v>13.177052</v>
      </c>
      <c r="T24">
        <v>13.556585999999999</v>
      </c>
      <c r="U24">
        <v>13.878729999999999</v>
      </c>
      <c r="V24">
        <v>14.060885000000001</v>
      </c>
      <c r="W24">
        <v>14.206908</v>
      </c>
      <c r="X24">
        <v>14.384365000000001</v>
      </c>
      <c r="Y24">
        <v>15.463803</v>
      </c>
      <c r="Z24">
        <v>16.100529000000002</v>
      </c>
      <c r="AA24">
        <v>16.382518999999998</v>
      </c>
      <c r="AB24">
        <v>16.708867999999999</v>
      </c>
      <c r="AC24">
        <v>16.98732</v>
      </c>
      <c r="AD24" s="4">
        <v>0.80068421955319458</v>
      </c>
    </row>
    <row r="25" spans="1:30" x14ac:dyDescent="0.25">
      <c r="A25" t="s">
        <v>75</v>
      </c>
      <c r="B25" t="s">
        <v>50</v>
      </c>
      <c r="C25">
        <v>6.8749130000000003</v>
      </c>
      <c r="D25">
        <v>6.8084119999999997</v>
      </c>
      <c r="E25">
        <v>6.9317599999999997</v>
      </c>
      <c r="F25">
        <v>6.94733</v>
      </c>
      <c r="G25">
        <v>6.9676900000000002</v>
      </c>
      <c r="H25">
        <v>7.1603859999999999</v>
      </c>
      <c r="I25">
        <v>7.5741209999999999</v>
      </c>
      <c r="J25">
        <v>7.5464469999999997</v>
      </c>
      <c r="K25">
        <v>7.8419169999999996</v>
      </c>
      <c r="L25">
        <v>8.15306</v>
      </c>
      <c r="M25">
        <v>8.54542</v>
      </c>
      <c r="N25">
        <v>8.8291780000000006</v>
      </c>
      <c r="O25">
        <v>9.0377489999999998</v>
      </c>
      <c r="P25">
        <v>9.1232849999999992</v>
      </c>
      <c r="Q25">
        <v>9.2899949999999993</v>
      </c>
      <c r="R25">
        <v>9.8615080000000006</v>
      </c>
      <c r="S25">
        <v>10.293847</v>
      </c>
      <c r="T25">
        <v>10.597329999999999</v>
      </c>
      <c r="U25">
        <v>10.848166000000001</v>
      </c>
      <c r="V25">
        <v>10.987702000000001</v>
      </c>
      <c r="W25">
        <v>11.104502</v>
      </c>
      <c r="X25">
        <v>11.250933</v>
      </c>
      <c r="Y25">
        <v>12.326743</v>
      </c>
      <c r="Z25">
        <v>12.783063</v>
      </c>
      <c r="AA25">
        <v>13.014362</v>
      </c>
      <c r="AB25">
        <v>13.302386</v>
      </c>
      <c r="AC25">
        <v>13.524267</v>
      </c>
      <c r="AD25" s="4">
        <v>0.96719100299887428</v>
      </c>
    </row>
    <row r="26" spans="1:30" x14ac:dyDescent="0.25">
      <c r="A26" t="s">
        <v>75</v>
      </c>
      <c r="B26" t="s">
        <v>51</v>
      </c>
      <c r="C26">
        <v>9.2889300000000006</v>
      </c>
      <c r="D26">
        <v>9.3120569999999994</v>
      </c>
      <c r="E26">
        <v>9.3993909999999996</v>
      </c>
      <c r="F26">
        <v>9.457827</v>
      </c>
      <c r="G26">
        <v>9.4858700000000002</v>
      </c>
      <c r="H26">
        <v>9.6902749999999997</v>
      </c>
      <c r="I26">
        <v>10.128112</v>
      </c>
      <c r="J26">
        <v>10.207997000000001</v>
      </c>
      <c r="K26">
        <v>10.435314</v>
      </c>
      <c r="L26">
        <v>10.781343</v>
      </c>
      <c r="M26">
        <v>11.190991</v>
      </c>
      <c r="N26">
        <v>11.516686999999999</v>
      </c>
      <c r="O26">
        <v>11.761856999999999</v>
      </c>
      <c r="P26">
        <v>11.878565999999999</v>
      </c>
      <c r="Q26">
        <v>12.033759</v>
      </c>
      <c r="R26">
        <v>12.570262</v>
      </c>
      <c r="S26">
        <v>13.104725999999999</v>
      </c>
      <c r="T26">
        <v>13.500957</v>
      </c>
      <c r="U26">
        <v>13.829715999999999</v>
      </c>
      <c r="V26">
        <v>14.019273</v>
      </c>
      <c r="W26">
        <v>14.168436</v>
      </c>
      <c r="X26">
        <v>14.347597</v>
      </c>
      <c r="Y26">
        <v>15.373267999999999</v>
      </c>
      <c r="Z26">
        <v>16.057065999999999</v>
      </c>
      <c r="AA26">
        <v>16.346509999999999</v>
      </c>
      <c r="AB26">
        <v>16.674149</v>
      </c>
      <c r="AC26">
        <v>16.957535</v>
      </c>
      <c r="AD26" s="4">
        <v>0.82556387011205801</v>
      </c>
    </row>
    <row r="27" spans="1:30" x14ac:dyDescent="0.25">
      <c r="A27" t="s">
        <v>75</v>
      </c>
      <c r="B27" t="s">
        <v>52</v>
      </c>
      <c r="C27">
        <v>9.8453660000000003</v>
      </c>
      <c r="D27">
        <v>9.7602960000000003</v>
      </c>
      <c r="E27">
        <v>9.9529890000000005</v>
      </c>
      <c r="F27">
        <v>10.054301000000001</v>
      </c>
      <c r="G27">
        <v>10.126329</v>
      </c>
      <c r="H27">
        <v>10.367388</v>
      </c>
      <c r="I27">
        <v>10.842832</v>
      </c>
      <c r="J27">
        <v>10.920071999999999</v>
      </c>
      <c r="K27">
        <v>11.183135999999999</v>
      </c>
      <c r="L27">
        <v>11.535315000000001</v>
      </c>
      <c r="M27">
        <v>11.946922000000001</v>
      </c>
      <c r="N27">
        <v>12.268927</v>
      </c>
      <c r="O27">
        <v>12.502592</v>
      </c>
      <c r="P27">
        <v>12.642969000000001</v>
      </c>
      <c r="Q27">
        <v>12.848458000000001</v>
      </c>
      <c r="R27">
        <v>13.451283999999999</v>
      </c>
      <c r="S27">
        <v>14.009315000000001</v>
      </c>
      <c r="T27">
        <v>14.439178</v>
      </c>
      <c r="U27">
        <v>14.808885999999999</v>
      </c>
      <c r="V27">
        <v>15.056725999999999</v>
      </c>
      <c r="W27">
        <v>15.269444</v>
      </c>
      <c r="X27">
        <v>15.518246</v>
      </c>
      <c r="Y27">
        <v>16.670048000000001</v>
      </c>
      <c r="Z27">
        <v>17.381136000000001</v>
      </c>
      <c r="AA27">
        <v>17.738436</v>
      </c>
      <c r="AB27">
        <v>18.146646</v>
      </c>
      <c r="AC27">
        <v>18.497140999999999</v>
      </c>
      <c r="AD27" s="4">
        <v>0.87876621346529915</v>
      </c>
    </row>
    <row r="28" spans="1:30" x14ac:dyDescent="0.25">
      <c r="A28" t="s">
        <v>76</v>
      </c>
      <c r="B28" t="s">
        <v>54</v>
      </c>
      <c r="C28">
        <v>5.7062939999999998</v>
      </c>
      <c r="D28">
        <v>5.3706670000000001</v>
      </c>
      <c r="E28">
        <v>5.2911849999999996</v>
      </c>
      <c r="F28">
        <v>5.1492620000000002</v>
      </c>
      <c r="G28">
        <v>4.9620480000000002</v>
      </c>
      <c r="H28">
        <v>4.9408200000000004</v>
      </c>
      <c r="I28">
        <v>5.1129360000000004</v>
      </c>
      <c r="J28">
        <v>4.9254360000000004</v>
      </c>
      <c r="K28">
        <v>4.9615850000000004</v>
      </c>
      <c r="L28">
        <v>5.089429</v>
      </c>
      <c r="M28">
        <v>5.2756280000000002</v>
      </c>
      <c r="N28">
        <v>5.3882709999999996</v>
      </c>
      <c r="O28">
        <v>5.4148069999999997</v>
      </c>
      <c r="P28">
        <v>5.3325370000000003</v>
      </c>
      <c r="Q28">
        <v>5.2863990000000003</v>
      </c>
      <c r="R28">
        <v>5.5234189999999996</v>
      </c>
      <c r="S28">
        <v>5.696059</v>
      </c>
      <c r="T28">
        <v>5.7279530000000003</v>
      </c>
      <c r="U28">
        <v>5.6890070000000001</v>
      </c>
      <c r="V28">
        <v>5.5870610000000003</v>
      </c>
      <c r="W28">
        <v>5.4680299999999997</v>
      </c>
      <c r="X28">
        <v>5.3653959999999996</v>
      </c>
      <c r="Y28">
        <v>5.8283139999999998</v>
      </c>
      <c r="Z28">
        <v>5.9807779999999999</v>
      </c>
      <c r="AA28">
        <v>5.9180210000000004</v>
      </c>
      <c r="AB28">
        <v>5.8817890000000004</v>
      </c>
      <c r="AC28">
        <v>5.8104089999999999</v>
      </c>
      <c r="AD28" s="4" cm="1">
        <f t="array" ref="AD28:AD30">(AC28:AC30-C28:C30)/C28:C30</f>
        <v>1.8245642443239025E-2</v>
      </c>
    </row>
    <row r="29" spans="1:30" x14ac:dyDescent="0.25">
      <c r="A29" t="s">
        <v>76</v>
      </c>
      <c r="B29" t="s">
        <v>55</v>
      </c>
      <c r="C29">
        <v>0.95797600000000005</v>
      </c>
      <c r="D29">
        <v>0.97140599999999999</v>
      </c>
      <c r="E29">
        <v>1.0067379999999999</v>
      </c>
      <c r="F29">
        <v>1.040327</v>
      </c>
      <c r="G29">
        <v>1.0944480000000001</v>
      </c>
      <c r="H29">
        <v>1.1604300000000001</v>
      </c>
      <c r="I29">
        <v>1.234324</v>
      </c>
      <c r="J29">
        <v>1.2915270000000001</v>
      </c>
      <c r="K29">
        <v>1.2918909999999999</v>
      </c>
      <c r="L29">
        <v>1.2765740000000001</v>
      </c>
      <c r="M29">
        <v>1.2491159999999999</v>
      </c>
      <c r="N29">
        <v>1.2151179999999999</v>
      </c>
      <c r="O29">
        <v>1.1914450000000001</v>
      </c>
      <c r="P29">
        <v>1.18258</v>
      </c>
      <c r="Q29">
        <v>1.172372</v>
      </c>
      <c r="R29">
        <v>1.1707069999999999</v>
      </c>
      <c r="S29">
        <v>1.1733420000000001</v>
      </c>
      <c r="T29">
        <v>1.196642</v>
      </c>
      <c r="U29">
        <v>1.2296910000000001</v>
      </c>
      <c r="V29">
        <v>1.222302</v>
      </c>
      <c r="W29">
        <v>1.1985669999999999</v>
      </c>
      <c r="X29">
        <v>1.177065</v>
      </c>
      <c r="Y29">
        <v>1.17211</v>
      </c>
      <c r="Z29">
        <v>1.1681729999999999</v>
      </c>
      <c r="AA29">
        <v>1.1500779999999999</v>
      </c>
      <c r="AB29">
        <v>1.1335029999999999</v>
      </c>
      <c r="AC29">
        <v>1.1198349999999999</v>
      </c>
      <c r="AD29" s="4">
        <v>0.16895934762457498</v>
      </c>
    </row>
    <row r="30" spans="1:30" x14ac:dyDescent="0.25">
      <c r="A30" t="s">
        <v>76</v>
      </c>
      <c r="B30" t="s">
        <v>56</v>
      </c>
      <c r="C30">
        <v>3.1810960000000001</v>
      </c>
      <c r="D30">
        <v>3.1992919999999998</v>
      </c>
      <c r="E30">
        <v>3.2605420000000001</v>
      </c>
      <c r="F30">
        <v>3.3027989999999998</v>
      </c>
      <c r="G30">
        <v>3.3390550000000001</v>
      </c>
      <c r="H30">
        <v>3.3767149999999999</v>
      </c>
      <c r="I30">
        <v>3.4118089999999999</v>
      </c>
      <c r="J30">
        <v>3.4427530000000002</v>
      </c>
      <c r="K30">
        <v>3.4684949999999999</v>
      </c>
      <c r="L30">
        <v>3.489198</v>
      </c>
      <c r="M30">
        <v>3.5066459999999999</v>
      </c>
      <c r="N30">
        <v>3.5230860000000002</v>
      </c>
      <c r="O30">
        <v>3.5390269999999999</v>
      </c>
      <c r="P30">
        <v>3.5635870000000001</v>
      </c>
      <c r="Q30">
        <v>3.5961919999999998</v>
      </c>
      <c r="R30">
        <v>3.6309740000000001</v>
      </c>
      <c r="S30">
        <v>3.6646230000000002</v>
      </c>
      <c r="T30">
        <v>3.6986599999999998</v>
      </c>
      <c r="U30">
        <v>3.7332019999999999</v>
      </c>
      <c r="V30">
        <v>3.7716970000000001</v>
      </c>
      <c r="W30">
        <v>3.810025</v>
      </c>
      <c r="X30">
        <v>3.8509530000000001</v>
      </c>
      <c r="Y30">
        <v>3.8975369999999998</v>
      </c>
      <c r="Z30">
        <v>3.9434650000000002</v>
      </c>
      <c r="AA30">
        <v>3.9871620000000001</v>
      </c>
      <c r="AB30">
        <v>4.0323219999999997</v>
      </c>
      <c r="AC30">
        <v>4.0753709999999996</v>
      </c>
      <c r="AD30" s="4">
        <v>0.2811216637284758</v>
      </c>
    </row>
    <row r="31" spans="1:30" x14ac:dyDescent="0.25">
      <c r="A31" t="s">
        <v>77</v>
      </c>
      <c r="B31" t="s">
        <v>54</v>
      </c>
      <c r="C31">
        <v>5.7062939999999998</v>
      </c>
      <c r="D31">
        <v>5.4938989999999999</v>
      </c>
      <c r="E31">
        <v>5.5095770000000002</v>
      </c>
      <c r="F31">
        <v>5.4540790000000001</v>
      </c>
      <c r="G31">
        <v>5.3479919999999996</v>
      </c>
      <c r="H31">
        <v>5.4044720000000002</v>
      </c>
      <c r="I31">
        <v>5.6807379999999998</v>
      </c>
      <c r="J31">
        <v>5.5680839999999998</v>
      </c>
      <c r="K31">
        <v>5.707287</v>
      </c>
      <c r="L31">
        <v>5.9570740000000004</v>
      </c>
      <c r="M31">
        <v>6.2830300000000001</v>
      </c>
      <c r="N31">
        <v>6.5282640000000001</v>
      </c>
      <c r="O31">
        <v>6.672968</v>
      </c>
      <c r="P31">
        <v>6.6892630000000004</v>
      </c>
      <c r="Q31">
        <v>6.7550790000000003</v>
      </c>
      <c r="R31">
        <v>7.1957740000000001</v>
      </c>
      <c r="S31">
        <v>7.5752509999999997</v>
      </c>
      <c r="T31">
        <v>7.7854609999999997</v>
      </c>
      <c r="U31">
        <v>7.909186</v>
      </c>
      <c r="V31">
        <v>7.9503240000000002</v>
      </c>
      <c r="W31">
        <v>7.9695320000000001</v>
      </c>
      <c r="X31">
        <v>8.0109899999999996</v>
      </c>
      <c r="Y31">
        <v>8.9152710000000006</v>
      </c>
      <c r="Z31">
        <v>9.3715130000000002</v>
      </c>
      <c r="AA31">
        <v>9.4956080000000007</v>
      </c>
      <c r="AB31">
        <v>9.6613410000000002</v>
      </c>
      <c r="AC31">
        <v>9.7655560000000001</v>
      </c>
      <c r="AD31" s="4" cm="1">
        <f t="array" ref="AD31:AD33">(AC31:AC33-C31:C33)/C31:C33</f>
        <v>0.71136573054245023</v>
      </c>
    </row>
    <row r="32" spans="1:30" x14ac:dyDescent="0.25">
      <c r="A32" t="s">
        <v>77</v>
      </c>
      <c r="B32" t="s">
        <v>55</v>
      </c>
      <c r="C32">
        <v>0.95797600000000005</v>
      </c>
      <c r="D32">
        <v>0.99369499999999999</v>
      </c>
      <c r="E32">
        <v>1.0482910000000001</v>
      </c>
      <c r="F32">
        <v>1.1019099999999999</v>
      </c>
      <c r="G32">
        <v>1.179573</v>
      </c>
      <c r="H32">
        <v>1.269326</v>
      </c>
      <c r="I32">
        <v>1.3713979999999999</v>
      </c>
      <c r="J32">
        <v>1.46004</v>
      </c>
      <c r="K32">
        <v>1.486056</v>
      </c>
      <c r="L32">
        <v>1.4942040000000001</v>
      </c>
      <c r="M32">
        <v>1.4876389999999999</v>
      </c>
      <c r="N32">
        <v>1.4722</v>
      </c>
      <c r="O32">
        <v>1.4682839999999999</v>
      </c>
      <c r="P32">
        <v>1.483457</v>
      </c>
      <c r="Q32">
        <v>1.498084</v>
      </c>
      <c r="R32">
        <v>1.5251680000000001</v>
      </c>
      <c r="S32">
        <v>1.56044</v>
      </c>
      <c r="T32">
        <v>1.6264810000000001</v>
      </c>
      <c r="U32">
        <v>1.709587</v>
      </c>
      <c r="V32">
        <v>1.739322</v>
      </c>
      <c r="W32">
        <v>1.746885</v>
      </c>
      <c r="X32">
        <v>1.757457</v>
      </c>
      <c r="Y32">
        <v>1.792916</v>
      </c>
      <c r="Z32">
        <v>1.8304549999999999</v>
      </c>
      <c r="AA32">
        <v>1.8453280000000001</v>
      </c>
      <c r="AB32">
        <v>1.8618749999999999</v>
      </c>
      <c r="AC32">
        <v>1.882107</v>
      </c>
      <c r="AD32" s="4">
        <v>0.96467030489281558</v>
      </c>
    </row>
    <row r="33" spans="1:30" x14ac:dyDescent="0.25">
      <c r="A33" t="s">
        <v>77</v>
      </c>
      <c r="B33" t="s">
        <v>56</v>
      </c>
      <c r="C33">
        <v>3.1810960000000001</v>
      </c>
      <c r="D33">
        <v>3.2727010000000001</v>
      </c>
      <c r="E33">
        <v>3.3951199999999999</v>
      </c>
      <c r="F33">
        <v>3.4983119999999999</v>
      </c>
      <c r="G33">
        <v>3.5987640000000001</v>
      </c>
      <c r="H33">
        <v>3.6935889999999998</v>
      </c>
      <c r="I33">
        <v>3.7906970000000002</v>
      </c>
      <c r="J33">
        <v>3.8919480000000002</v>
      </c>
      <c r="K33">
        <v>3.9897930000000001</v>
      </c>
      <c r="L33">
        <v>4.0840360000000002</v>
      </c>
      <c r="M33">
        <v>4.176253</v>
      </c>
      <c r="N33">
        <v>4.2684629999999997</v>
      </c>
      <c r="O33">
        <v>4.3613400000000002</v>
      </c>
      <c r="P33">
        <v>4.4702500000000001</v>
      </c>
      <c r="Q33">
        <v>4.595294</v>
      </c>
      <c r="R33">
        <v>4.7303430000000004</v>
      </c>
      <c r="S33">
        <v>4.8736230000000003</v>
      </c>
      <c r="T33">
        <v>5.0272360000000003</v>
      </c>
      <c r="U33">
        <v>5.1901130000000002</v>
      </c>
      <c r="V33">
        <v>5.3670819999999999</v>
      </c>
      <c r="W33">
        <v>5.5530270000000002</v>
      </c>
      <c r="X33">
        <v>5.7497980000000002</v>
      </c>
      <c r="Y33">
        <v>5.9618599999999997</v>
      </c>
      <c r="Z33">
        <v>6.1791669999999996</v>
      </c>
      <c r="AA33">
        <v>6.3975</v>
      </c>
      <c r="AB33">
        <v>6.6234330000000003</v>
      </c>
      <c r="AC33">
        <v>6.8494770000000003</v>
      </c>
      <c r="AD33" s="4">
        <v>1.1531814821055384</v>
      </c>
    </row>
    <row r="34" spans="1:30" x14ac:dyDescent="0.25">
      <c r="A34" t="s">
        <v>57</v>
      </c>
      <c r="B34" t="s">
        <v>58</v>
      </c>
      <c r="C34">
        <v>12.469424</v>
      </c>
      <c r="D34">
        <v>11.706313</v>
      </c>
      <c r="E34">
        <v>10.81231</v>
      </c>
      <c r="F34">
        <v>9.9525989999999993</v>
      </c>
      <c r="G34">
        <v>9.6168499999999995</v>
      </c>
      <c r="H34">
        <v>8.0091420000000006</v>
      </c>
      <c r="I34">
        <v>4.4014689999999996</v>
      </c>
      <c r="J34">
        <v>3.3811100000000001</v>
      </c>
      <c r="K34">
        <v>3.4698150000000001</v>
      </c>
      <c r="L34">
        <v>3.6055109999999999</v>
      </c>
      <c r="M34">
        <v>3.7050930000000002</v>
      </c>
      <c r="N34">
        <v>3.6674359999999999</v>
      </c>
      <c r="O34">
        <v>3.7559979999999999</v>
      </c>
      <c r="P34">
        <v>3.7272759999999998</v>
      </c>
      <c r="Q34">
        <v>3.3194180000000002</v>
      </c>
      <c r="R34">
        <v>2.728637</v>
      </c>
      <c r="S34">
        <v>2.7672500000000002</v>
      </c>
      <c r="T34">
        <v>2.4438789999999999</v>
      </c>
      <c r="U34">
        <v>2.345145</v>
      </c>
      <c r="V34">
        <v>2.291595</v>
      </c>
      <c r="W34">
        <v>2.4114620000000002</v>
      </c>
      <c r="X34">
        <v>2.5453860000000001</v>
      </c>
      <c r="Y34">
        <v>2.1324160000000001</v>
      </c>
      <c r="Z34">
        <v>2.1903630000000001</v>
      </c>
      <c r="AA34">
        <v>2.2872059999999999</v>
      </c>
      <c r="AB34">
        <v>2.3944570000000001</v>
      </c>
      <c r="AC34">
        <v>2.5158140000000002</v>
      </c>
      <c r="AD34" s="4" cm="1">
        <f t="array" ref="AD34:AD38">(AC34:AC38-C34:C38)/C34:C38</f>
        <v>-0.7982413622313268</v>
      </c>
    </row>
    <row r="35" spans="1:30" x14ac:dyDescent="0.25">
      <c r="A35" t="s">
        <v>57</v>
      </c>
      <c r="B35" t="s">
        <v>60</v>
      </c>
      <c r="C35">
        <v>45.721195000000002</v>
      </c>
      <c r="D35">
        <v>42.923152999999999</v>
      </c>
      <c r="E35">
        <v>39.645133999999999</v>
      </c>
      <c r="F35">
        <v>36.492851000000002</v>
      </c>
      <c r="G35">
        <v>35.261791000000002</v>
      </c>
      <c r="H35">
        <v>29.366861</v>
      </c>
      <c r="I35">
        <v>16.138722999999999</v>
      </c>
      <c r="J35">
        <v>12.397411</v>
      </c>
      <c r="K35">
        <v>12.722651000000001</v>
      </c>
      <c r="L35">
        <v>13.220211000000001</v>
      </c>
      <c r="M35">
        <v>13.585345</v>
      </c>
      <c r="N35">
        <v>13.447272999999999</v>
      </c>
      <c r="O35">
        <v>13.771991</v>
      </c>
      <c r="P35">
        <v>13.666677</v>
      </c>
      <c r="Q35">
        <v>12.171200000000001</v>
      </c>
      <c r="R35">
        <v>10.005001999999999</v>
      </c>
      <c r="S35">
        <v>10.146584000000001</v>
      </c>
      <c r="T35">
        <v>8.9608910000000002</v>
      </c>
      <c r="U35">
        <v>8.5988720000000001</v>
      </c>
      <c r="V35">
        <v>8.4025210000000001</v>
      </c>
      <c r="W35">
        <v>8.8420290000000001</v>
      </c>
      <c r="X35">
        <v>9.3330800000000007</v>
      </c>
      <c r="Y35">
        <v>7.8188519999999997</v>
      </c>
      <c r="Z35">
        <v>8.0313339999999993</v>
      </c>
      <c r="AA35">
        <v>8.3864289999999997</v>
      </c>
      <c r="AB35">
        <v>8.7796769999999995</v>
      </c>
      <c r="AC35">
        <v>9.2246559999999995</v>
      </c>
      <c r="AD35" s="4">
        <v>-0.79824114395960122</v>
      </c>
    </row>
    <row r="36" spans="1:30" x14ac:dyDescent="0.25">
      <c r="A36" t="s">
        <v>57</v>
      </c>
      <c r="B36" t="s">
        <v>61</v>
      </c>
      <c r="C36">
        <v>1.1244000000000001E-2</v>
      </c>
      <c r="D36">
        <v>9.7070000000000004E-3</v>
      </c>
      <c r="E36">
        <v>9.7300000000000008E-3</v>
      </c>
      <c r="F36">
        <v>7.2719999999999998E-3</v>
      </c>
      <c r="G36">
        <v>6.6010000000000001E-3</v>
      </c>
      <c r="H36">
        <v>8.3059999999999991E-3</v>
      </c>
      <c r="I36">
        <v>1.758E-3</v>
      </c>
      <c r="J36">
        <v>1.147E-3</v>
      </c>
      <c r="K36">
        <v>5.8200000000000005E-4</v>
      </c>
      <c r="L36">
        <v>6.2399999999999999E-4</v>
      </c>
      <c r="M36">
        <v>6.5899999999999997E-4</v>
      </c>
      <c r="N36">
        <v>6.7199999999999996E-4</v>
      </c>
      <c r="O36">
        <v>6.8400000000000004E-4</v>
      </c>
      <c r="P36">
        <v>7.0200000000000004E-4</v>
      </c>
      <c r="Q36">
        <v>7.0600000000000003E-4</v>
      </c>
      <c r="R36">
        <v>2.6699999999999998E-4</v>
      </c>
      <c r="S36">
        <v>2.7399999999999999E-4</v>
      </c>
      <c r="T36">
        <v>1.64E-4</v>
      </c>
      <c r="U36">
        <v>1.73E-4</v>
      </c>
      <c r="V36">
        <v>1.8100000000000001E-4</v>
      </c>
      <c r="W36">
        <v>1.8799999999999999E-4</v>
      </c>
      <c r="X36">
        <v>1.92E-4</v>
      </c>
      <c r="Y36">
        <v>1.9599999999999999E-4</v>
      </c>
      <c r="Z36">
        <v>1.9900000000000001E-4</v>
      </c>
      <c r="AA36">
        <v>2.02E-4</v>
      </c>
      <c r="AB36">
        <v>1.74E-4</v>
      </c>
      <c r="AC36">
        <v>1.5300000000000001E-4</v>
      </c>
      <c r="AD36" s="4">
        <v>-0.98639274279615796</v>
      </c>
    </row>
    <row r="37" spans="1:30" x14ac:dyDescent="0.25">
      <c r="A37" t="s">
        <v>57</v>
      </c>
      <c r="B37" t="s">
        <v>62</v>
      </c>
      <c r="C37">
        <v>4.5215999999999999E-2</v>
      </c>
      <c r="D37">
        <v>4.0759999999999998E-2</v>
      </c>
      <c r="E37">
        <v>3.7870000000000001E-2</v>
      </c>
      <c r="F37">
        <v>3.6479999999999999E-2</v>
      </c>
      <c r="G37">
        <v>3.4306999999999997E-2</v>
      </c>
      <c r="H37">
        <v>3.116E-2</v>
      </c>
      <c r="I37">
        <v>1.6820999999999999E-2</v>
      </c>
      <c r="J37">
        <v>1.0207000000000001E-2</v>
      </c>
      <c r="K37">
        <v>9.1070000000000005E-3</v>
      </c>
      <c r="L37">
        <v>9.2689999999999995E-3</v>
      </c>
      <c r="M37">
        <v>9.8309999999999995E-3</v>
      </c>
      <c r="N37">
        <v>9.5809999999999992E-3</v>
      </c>
      <c r="O37">
        <v>9.7649999999999994E-3</v>
      </c>
      <c r="P37">
        <v>9.495E-3</v>
      </c>
      <c r="Q37">
        <v>7.744E-3</v>
      </c>
      <c r="R37">
        <v>3.176E-3</v>
      </c>
      <c r="S37">
        <v>3.5100000000000001E-3</v>
      </c>
      <c r="T37">
        <v>3.0929999999999998E-3</v>
      </c>
      <c r="U37">
        <v>3.0829999999999998E-3</v>
      </c>
      <c r="V37">
        <v>3.078E-3</v>
      </c>
      <c r="W37">
        <v>3.3470000000000001E-3</v>
      </c>
      <c r="X37">
        <v>3.5569999999999998E-3</v>
      </c>
      <c r="Y37">
        <v>3.186E-3</v>
      </c>
      <c r="Z37">
        <v>3.2239999999999999E-3</v>
      </c>
      <c r="AA37">
        <v>3.235E-3</v>
      </c>
      <c r="AB37">
        <v>3.2919999999999998E-3</v>
      </c>
      <c r="AC37">
        <v>3.4169999999999999E-3</v>
      </c>
      <c r="AD37" s="4">
        <v>-0.92442940552016994</v>
      </c>
    </row>
    <row r="38" spans="1:30" x14ac:dyDescent="0.25">
      <c r="A38" t="s">
        <v>57</v>
      </c>
      <c r="B38" t="s">
        <v>63</v>
      </c>
      <c r="C38">
        <v>0.102969</v>
      </c>
      <c r="D38">
        <v>0.10025199999999999</v>
      </c>
      <c r="E38">
        <v>9.9826999999999999E-2</v>
      </c>
      <c r="F38">
        <v>9.2128000000000002E-2</v>
      </c>
      <c r="G38">
        <v>8.8830000000000006E-2</v>
      </c>
      <c r="H38">
        <v>7.0540000000000005E-2</v>
      </c>
      <c r="I38">
        <v>2.4597999999999998E-2</v>
      </c>
      <c r="J38">
        <v>1.7675E-2</v>
      </c>
      <c r="K38">
        <v>9.7750000000000007E-3</v>
      </c>
      <c r="L38">
        <v>1.0292000000000001E-2</v>
      </c>
      <c r="M38">
        <v>1.0500000000000001E-2</v>
      </c>
      <c r="N38">
        <v>1.0381E-2</v>
      </c>
      <c r="O38">
        <v>1.0430999999999999E-2</v>
      </c>
      <c r="P38">
        <v>1.0036E-2</v>
      </c>
      <c r="Q38">
        <v>8.685E-3</v>
      </c>
      <c r="R38">
        <v>1.9999999999999999E-6</v>
      </c>
      <c r="S38">
        <v>1.9999999999999999E-6</v>
      </c>
      <c r="T38">
        <v>9.9999999999999995E-7</v>
      </c>
      <c r="U38">
        <v>9.9999999999999995E-7</v>
      </c>
      <c r="V38">
        <v>9.9999999999999995E-7</v>
      </c>
      <c r="W38">
        <v>9.9999999999999995E-7</v>
      </c>
      <c r="X38">
        <v>9.9999999999999995E-7</v>
      </c>
      <c r="Y38">
        <v>9.9999999999999995E-7</v>
      </c>
      <c r="Z38">
        <v>9.9999999999999995E-7</v>
      </c>
      <c r="AA38">
        <v>9.9999999999999995E-7</v>
      </c>
      <c r="AB38">
        <v>9.9999999999999995E-7</v>
      </c>
      <c r="AC38">
        <v>9.9999999999999995E-7</v>
      </c>
      <c r="AD38" s="4">
        <v>-0.99999028833920889</v>
      </c>
    </row>
    <row r="39" spans="1:30" x14ac:dyDescent="0.25">
      <c r="A39" t="s">
        <v>70</v>
      </c>
      <c r="B39" t="s">
        <v>66</v>
      </c>
      <c r="C39" cm="1">
        <f t="array" ref="C39:C42">907185*C34:C37*10^6/(C17*10^9)</f>
        <v>138.56163425121116</v>
      </c>
      <c r="D39" cm="1">
        <f t="array" ref="D39:D42">907185*D34:D37*10^6/(D17*10^9)</f>
        <v>133.80197313535007</v>
      </c>
      <c r="E39" cm="1">
        <f t="array" ref="E39:E42">907185*E34:E37*10^6/(E17*10^9)</f>
        <v>128.90881157611199</v>
      </c>
      <c r="F39" cm="1">
        <f t="array" ref="F39:F42">907185*F34:F37*10^6/(F17*10^9)</f>
        <v>111.75787068305699</v>
      </c>
      <c r="G39" cm="1">
        <f t="array" ref="G39:G42">907185*G34:G37*10^6/(G17*10^9)</f>
        <v>98.766388566614665</v>
      </c>
      <c r="H39" cm="1">
        <f t="array" ref="H39:H42">907185*H34:H37*10^6/(H17*10^9)</f>
        <v>79.886087697340386</v>
      </c>
      <c r="I39" cm="1">
        <f t="array" ref="I39:I42">907185*I34:I37*10^6/(I17*10^9)</f>
        <v>42.669665531447464</v>
      </c>
      <c r="J39" cm="1">
        <f t="array" ref="J39:J42">907185*J34:J37*10^6/(J17*10^9)</f>
        <v>31.991409006349528</v>
      </c>
      <c r="K39" cm="1">
        <f t="array" ref="K39:K42">907185*K34:K37*10^6/(K17*10^9)</f>
        <v>30.884966120293438</v>
      </c>
      <c r="L39" cm="1">
        <f t="array" ref="L39:L42">907185*L34:L37*10^6/(L17*10^9)</f>
        <v>31.531524810840427</v>
      </c>
      <c r="M39" cm="1">
        <f t="array" ref="M39:M42">907185*M34:M37*10^6/(M17*10^9)</f>
        <v>31.921847705224437</v>
      </c>
      <c r="N39" cm="1">
        <f t="array" ref="N39:N42">907185*N34:N37*10^6/(N17*10^9)</f>
        <v>31.404624923697043</v>
      </c>
      <c r="O39" cm="1">
        <f t="array" ref="O39:O42">907185*O34:O37*10^6/(O17*10^9)</f>
        <v>31.065116564853675</v>
      </c>
      <c r="P39" cm="1">
        <f t="array" ref="P39:P42">907185*P34:P37*10^6/(P17*10^9)</f>
        <v>29.904799913851424</v>
      </c>
      <c r="Q39" cm="1">
        <f t="array" ref="Q39:Q42">907185*Q34:Q37*10^6/(Q17*10^9)</f>
        <v>27.342672143040929</v>
      </c>
      <c r="R39" cm="1">
        <f t="array" ref="R39:R42">907185*R34:R37*10^6/(R17*10^9)</f>
        <v>22.175013152206141</v>
      </c>
      <c r="S39" cm="1">
        <f t="array" ref="S39:S42">907185*S34:S37*10^6/(S17*10^9)</f>
        <v>21.924332823609877</v>
      </c>
      <c r="T39" cm="1">
        <f t="array" ref="T39:T42">907185*T34:T37*10^6/(T17*10^9)</f>
        <v>17.876952711260905</v>
      </c>
      <c r="U39" cm="1">
        <f t="array" ref="U39:U42">907185*U34:U37*10^6/(U17*10^9)</f>
        <v>16.78992426380001</v>
      </c>
      <c r="V39" cm="1">
        <f t="array" ref="V39:V42">907185*V34:V37*10^6/(V17*10^9)</f>
        <v>16.360119532283452</v>
      </c>
      <c r="W39" cm="1">
        <f t="array" ref="W39:W42">907185*W34:W37*10^6/(W17*10^9)</f>
        <v>16.92240427666308</v>
      </c>
      <c r="X39" cm="1">
        <f t="array" ref="X39:X42">907185*X34:X37*10^6/(X17*10^9)</f>
        <v>17.547569376259634</v>
      </c>
      <c r="Y39" cm="1">
        <f t="array" ref="Y39:Y42">907185*Y34:Y37*10^6/(Y17*10^9)</f>
        <v>14.371809120565215</v>
      </c>
      <c r="Z39" cm="1">
        <f t="array" ref="Z39:Z42">907185*Z34:Z37*10^6/(Z17*10^9)</f>
        <v>14.563518238928614</v>
      </c>
      <c r="AA39" cm="1">
        <f t="array" ref="AA39:AA42">907185*AA34:AA37*10^6/(AA17*10^9)</f>
        <v>15.144122204263063</v>
      </c>
      <c r="AB39" cm="1">
        <f t="array" ref="AB39:AB42">907185*AB34:AB37*10^6/(AB17*10^9)</f>
        <v>15.802418258696344</v>
      </c>
      <c r="AC39" cm="1">
        <f t="array" ref="AC39:AC42">907185*AC34:AC37*10^6/(AC17*10^9)</f>
        <v>16.380016565191045</v>
      </c>
      <c r="AD39" s="4" cm="1">
        <f t="array" ref="AD39:AD43">(AC39:AC43-C39:C43)/C39:C43</f>
        <v>-0.88178533939997994</v>
      </c>
    </row>
    <row r="40" spans="1:30" x14ac:dyDescent="0.25">
      <c r="A40" t="s">
        <v>70</v>
      </c>
      <c r="B40" t="s">
        <v>67</v>
      </c>
      <c r="C40">
        <v>508.05903296882872</v>
      </c>
      <c r="D40">
        <v>490.60729578907728</v>
      </c>
      <c r="E40">
        <v>472.66561065264602</v>
      </c>
      <c r="F40">
        <v>409.77872442304448</v>
      </c>
      <c r="G40">
        <v>362.14350348198798</v>
      </c>
      <c r="H40">
        <v>292.91572471078734</v>
      </c>
      <c r="I40">
        <v>156.45547259668956</v>
      </c>
      <c r="J40">
        <v>117.30190556379908</v>
      </c>
      <c r="K40">
        <v>113.24484017024464</v>
      </c>
      <c r="L40">
        <v>115.61562595455834</v>
      </c>
      <c r="M40">
        <v>117.0468093818245</v>
      </c>
      <c r="N40">
        <v>115.15035703733025</v>
      </c>
      <c r="O40">
        <v>113.90541361979312</v>
      </c>
      <c r="P40">
        <v>109.65091964540196</v>
      </c>
      <c r="Q40">
        <v>100.25647001594247</v>
      </c>
      <c r="R40">
        <v>81.308378849164896</v>
      </c>
      <c r="S40">
        <v>80.389225635094334</v>
      </c>
      <c r="T40">
        <v>65.548836361277893</v>
      </c>
      <c r="U40">
        <v>61.563105750011417</v>
      </c>
      <c r="V40">
        <v>59.987147786813061</v>
      </c>
      <c r="W40">
        <v>62.048827376910332</v>
      </c>
      <c r="X40">
        <v>64.341073925204768</v>
      </c>
      <c r="Y40">
        <v>52.696588510848521</v>
      </c>
      <c r="Z40">
        <v>53.399586822790326</v>
      </c>
      <c r="AA40">
        <v>55.528494430923878</v>
      </c>
      <c r="AB40">
        <v>57.942209081330894</v>
      </c>
      <c r="AC40">
        <v>60.060091122868769</v>
      </c>
      <c r="AD40" s="4">
        <v>-0.88178521150995137</v>
      </c>
    </row>
    <row r="41" spans="1:30" x14ac:dyDescent="0.25">
      <c r="A41" t="s">
        <v>70</v>
      </c>
      <c r="B41" t="s">
        <v>68</v>
      </c>
      <c r="C41">
        <v>0.1249445856938234</v>
      </c>
      <c r="D41">
        <v>0.11095002783753033</v>
      </c>
      <c r="E41">
        <v>0.11600506613624374</v>
      </c>
      <c r="F41">
        <v>8.1657387744366136E-2</v>
      </c>
      <c r="G41">
        <v>6.7793189134511142E-2</v>
      </c>
      <c r="H41">
        <v>8.2847057077288566E-2</v>
      </c>
      <c r="I41">
        <v>1.7042780945244567E-2</v>
      </c>
      <c r="J41">
        <v>1.0852692201757089E-2</v>
      </c>
      <c r="K41">
        <v>5.1804059530582407E-3</v>
      </c>
      <c r="L41">
        <v>5.4571103740813512E-3</v>
      </c>
      <c r="M41">
        <v>5.6777245909192843E-3</v>
      </c>
      <c r="N41">
        <v>5.754403880183433E-3</v>
      </c>
      <c r="O41">
        <v>5.6572287126776732E-3</v>
      </c>
      <c r="P41">
        <v>5.6323088334546993E-3</v>
      </c>
      <c r="Q41">
        <v>5.8154551590028419E-3</v>
      </c>
      <c r="R41">
        <v>2.1698483571244691E-3</v>
      </c>
      <c r="S41">
        <v>2.170843687295729E-3</v>
      </c>
      <c r="T41">
        <v>1.1996585119994846E-3</v>
      </c>
      <c r="U41">
        <v>1.2385830716810269E-3</v>
      </c>
      <c r="V41">
        <v>1.2921923967120301E-3</v>
      </c>
      <c r="W41">
        <v>1.3192876371316065E-3</v>
      </c>
      <c r="X41">
        <v>1.3236237333912615E-3</v>
      </c>
      <c r="Y41">
        <v>1.3209779834848277E-3</v>
      </c>
      <c r="Z41">
        <v>1.3231323436100749E-3</v>
      </c>
      <c r="AA41">
        <v>1.3374889210946189E-3</v>
      </c>
      <c r="AB41">
        <v>1.1483274817685864E-3</v>
      </c>
      <c r="AC41">
        <v>9.9615573109706449E-4</v>
      </c>
      <c r="AD41" s="4">
        <v>-0.99202721970251562</v>
      </c>
    </row>
    <row r="42" spans="1:30" x14ac:dyDescent="0.25">
      <c r="A42" t="s">
        <v>70</v>
      </c>
      <c r="B42" t="s">
        <v>69</v>
      </c>
      <c r="C42">
        <v>0.50244524962041259</v>
      </c>
      <c r="D42">
        <v>0.46588267586872728</v>
      </c>
      <c r="E42">
        <v>0.45150173222811418</v>
      </c>
      <c r="F42">
        <v>0.40963442036777731</v>
      </c>
      <c r="G42">
        <v>0.35233766696525887</v>
      </c>
      <c r="H42">
        <v>0.3108011435743212</v>
      </c>
      <c r="I42">
        <v>0.16306974873717794</v>
      </c>
      <c r="J42">
        <v>9.6576660247022314E-2</v>
      </c>
      <c r="K42">
        <v>8.106178181185808E-2</v>
      </c>
      <c r="L42">
        <v>8.1060827015000059E-2</v>
      </c>
      <c r="M42">
        <v>8.4700622842682066E-2</v>
      </c>
      <c r="N42">
        <v>8.2043070797674825E-2</v>
      </c>
      <c r="O42">
        <v>8.0764383595464145E-2</v>
      </c>
      <c r="P42">
        <v>7.6180587426855226E-2</v>
      </c>
      <c r="Q42">
        <v>6.3788788599600577E-2</v>
      </c>
      <c r="R42">
        <v>2.5810630645046118E-2</v>
      </c>
      <c r="S42">
        <v>2.7808983001489089E-2</v>
      </c>
      <c r="T42">
        <v>2.2625266936673209E-2</v>
      </c>
      <c r="U42">
        <v>2.2072552658916798E-2</v>
      </c>
      <c r="V42">
        <v>2.1974409928616732E-2</v>
      </c>
      <c r="W42">
        <v>2.3487530433401526E-2</v>
      </c>
      <c r="X42">
        <v>2.4521508435795397E-2</v>
      </c>
      <c r="Y42">
        <v>2.1472631915217658E-2</v>
      </c>
      <c r="Z42">
        <v>2.1436073747733073E-2</v>
      </c>
      <c r="AA42">
        <v>2.1419686434361845E-2</v>
      </c>
      <c r="AB42">
        <v>2.1725827988403369E-2</v>
      </c>
      <c r="AC42">
        <v>2.2247477994501108E-2</v>
      </c>
      <c r="AD42" s="4">
        <v>-0.9557215875534526</v>
      </c>
    </row>
    <row r="43" spans="1:30" x14ac:dyDescent="0.25">
      <c r="A43" t="s">
        <v>70</v>
      </c>
      <c r="B43" t="s">
        <v>65</v>
      </c>
      <c r="C43">
        <f>907185*C38/(C17*10^9)</f>
        <v>1.1442030455627271E-6</v>
      </c>
      <c r="D43">
        <f>907185*D38/(D17*10^9)</f>
        <v>1.145870216417852E-6</v>
      </c>
      <c r="E43">
        <f>907185*E38/(E17*10^9)</f>
        <v>1.1901785958050159E-6</v>
      </c>
      <c r="F43">
        <f>907185*F38/(F17*10^9)</f>
        <v>1.0345065756480973E-6</v>
      </c>
      <c r="G43">
        <f>907185*G38/(G17*10^9)</f>
        <v>9.1229646884087632E-7</v>
      </c>
      <c r="H43">
        <f>907185*H38/(H17*10^9)</f>
        <v>7.0359154902864631E-7</v>
      </c>
      <c r="I43">
        <f>907185*I38/(I17*10^9)</f>
        <v>2.3846321142839923E-7</v>
      </c>
      <c r="J43">
        <f>907185*J38/(J17*10^9)</f>
        <v>1.672374321412873E-7</v>
      </c>
      <c r="K43">
        <f>907185*K38/(K17*10^9)</f>
        <v>8.7007677304371655E-8</v>
      </c>
      <c r="L43">
        <f>907185*L38/(L17*10^9)</f>
        <v>9.0007339695585367E-8</v>
      </c>
      <c r="M43">
        <f>907185*M38/(M17*10^9)</f>
        <v>9.0464504104176765E-8</v>
      </c>
      <c r="N43">
        <f>907185*N38/(N17*10^9)</f>
        <v>8.8893551607417002E-8</v>
      </c>
      <c r="O43">
        <f>907185*O38/(O17*10^9)</f>
        <v>8.6272737868334509E-8</v>
      </c>
      <c r="P43">
        <f>907185*P38/(P17*10^9)</f>
        <v>8.0521155915315334E-8</v>
      </c>
      <c r="Q43">
        <f>907185*Q38/(Q17*10^9)</f>
        <v>7.1539983082067535E-8</v>
      </c>
      <c r="R43">
        <f>907185*R38/(R17*10^9)</f>
        <v>1.6253545746250702E-11</v>
      </c>
      <c r="S43">
        <f>907185*S38/(S17*10^9)</f>
        <v>1.5845574359822839E-11</v>
      </c>
      <c r="T43">
        <f>907185*T38/(T17*10^9)</f>
        <v>7.3149909268261254E-12</v>
      </c>
      <c r="U43">
        <f>907185*U38/(U17*10^9)</f>
        <v>7.1594397206995767E-12</v>
      </c>
      <c r="V43">
        <f>907185*V38/(V17*10^9)</f>
        <v>7.1391845122211598E-12</v>
      </c>
      <c r="W43">
        <f>907185*W38/(W17*10^9)</f>
        <v>7.0174874315510983E-12</v>
      </c>
      <c r="X43">
        <f>907185*X38/(X17*10^9)</f>
        <v>6.8938736114128194E-12</v>
      </c>
      <c r="Y43">
        <f>907185*Y38/(Y17*10^9)</f>
        <v>6.7396835892083035E-12</v>
      </c>
      <c r="Z43">
        <f>907185*Z38/(Z17*10^9)</f>
        <v>6.6489062492968582E-12</v>
      </c>
      <c r="AA43">
        <f>907185*AA38/(AA17*10^9)</f>
        <v>6.6212322826466282E-12</v>
      </c>
      <c r="AB43">
        <f>907185*AB38/(AB17*10^9)</f>
        <v>6.5995832285550933E-12</v>
      </c>
      <c r="AC43">
        <f>907185*AC38/(AC17*10^9)</f>
        <v>6.5108217718762378E-12</v>
      </c>
      <c r="AD43" s="4">
        <v>-0.99999430973217818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43"/>
  <sheetViews>
    <sheetView tabSelected="1" zoomScale="70" zoomScaleNormal="70" workbookViewId="0">
      <selection activeCell="B16" sqref="B16:B17"/>
    </sheetView>
  </sheetViews>
  <sheetFormatPr defaultRowHeight="15" x14ac:dyDescent="0.25"/>
  <cols>
    <col min="1" max="1" width="44.7109375" bestFit="1" customWidth="1"/>
    <col min="2" max="2" width="16.140625" bestFit="1" customWidth="1"/>
    <col min="3" max="29" width="12.7109375" bestFit="1" customWidth="1"/>
    <col min="30" max="30" width="19.42578125" bestFit="1" customWidth="1"/>
  </cols>
  <sheetData>
    <row r="1" spans="1:30" s="3" customFormat="1" ht="15.75" thickBot="1" x14ac:dyDescent="0.3">
      <c r="A1" s="3" t="s">
        <v>72</v>
      </c>
      <c r="B1" s="1" t="s">
        <v>73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</row>
    <row r="2" spans="1:30" ht="15.75" thickTop="1" x14ac:dyDescent="0.25">
      <c r="A2" t="s">
        <v>29</v>
      </c>
      <c r="B2" t="s">
        <v>30</v>
      </c>
      <c r="C2">
        <v>16.552782000000001</v>
      </c>
      <c r="D2">
        <v>19.556163999999999</v>
      </c>
      <c r="E2">
        <v>20.945174999999999</v>
      </c>
      <c r="F2">
        <v>17.179281</v>
      </c>
      <c r="G2">
        <v>19.467849999999999</v>
      </c>
      <c r="H2">
        <v>19.990172999999999</v>
      </c>
      <c r="I2">
        <v>19.709205999999998</v>
      </c>
      <c r="J2">
        <v>19.862034000000001</v>
      </c>
      <c r="K2">
        <v>0.52360499999999999</v>
      </c>
      <c r="L2">
        <v>0.38329999999999997</v>
      </c>
      <c r="M2">
        <v>0.35330600000000001</v>
      </c>
      <c r="N2">
        <v>0.34082200000000001</v>
      </c>
      <c r="O2">
        <v>0.34074500000000002</v>
      </c>
      <c r="P2">
        <v>0.13622100000000001</v>
      </c>
      <c r="Q2">
        <v>9.5130000000000006E-2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 s="4" cm="1">
        <f t="array" ref="AD2:AD17">(AC2:AC17-C2:C17)/C2:C17</f>
        <v>-1</v>
      </c>
    </row>
    <row r="3" spans="1:30" x14ac:dyDescent="0.25">
      <c r="A3" t="s">
        <v>29</v>
      </c>
      <c r="B3" t="s">
        <v>32</v>
      </c>
      <c r="C3">
        <v>7.2577000000000003E-2</v>
      </c>
      <c r="D3">
        <v>8.4527000000000005E-2</v>
      </c>
      <c r="E3">
        <v>8.7384000000000003E-2</v>
      </c>
      <c r="F3">
        <v>7.2394E-2</v>
      </c>
      <c r="G3">
        <v>8.1450999999999996E-2</v>
      </c>
      <c r="H3">
        <v>8.3548999999999998E-2</v>
      </c>
      <c r="I3">
        <v>8.2908999999999997E-2</v>
      </c>
      <c r="J3">
        <v>8.1229999999999997E-2</v>
      </c>
      <c r="K3">
        <v>5.8650000000000004E-3</v>
      </c>
      <c r="L3">
        <v>5.2700000000000004E-3</v>
      </c>
      <c r="M3">
        <v>3.026E-3</v>
      </c>
      <c r="N3">
        <v>1.307E-3</v>
      </c>
      <c r="O3">
        <v>3.026E-3</v>
      </c>
      <c r="P3">
        <v>3.026E-3</v>
      </c>
      <c r="Q3">
        <v>1.307E-3</v>
      </c>
      <c r="R3">
        <v>1.307E-3</v>
      </c>
      <c r="S3">
        <v>1.307E-3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 s="4">
        <v>-1</v>
      </c>
    </row>
    <row r="4" spans="1:30" x14ac:dyDescent="0.25">
      <c r="A4" t="s">
        <v>29</v>
      </c>
      <c r="B4" t="s">
        <v>33</v>
      </c>
      <c r="C4">
        <v>66.151015999999998</v>
      </c>
      <c r="D4">
        <v>55.469527999999997</v>
      </c>
      <c r="E4">
        <v>40.247421000000003</v>
      </c>
      <c r="F4">
        <v>42.398899</v>
      </c>
      <c r="G4">
        <v>37.824558000000003</v>
      </c>
      <c r="H4">
        <v>38.435654</v>
      </c>
      <c r="I4">
        <v>36.192355999999997</v>
      </c>
      <c r="J4">
        <v>31.626076000000001</v>
      </c>
      <c r="K4">
        <v>44.410774000000004</v>
      </c>
      <c r="L4">
        <v>40.133617000000001</v>
      </c>
      <c r="M4">
        <v>35.302658000000001</v>
      </c>
      <c r="N4">
        <v>33.786751000000002</v>
      </c>
      <c r="O4">
        <v>29.421558000000001</v>
      </c>
      <c r="P4">
        <v>28.711369000000001</v>
      </c>
      <c r="Q4">
        <v>25.288477</v>
      </c>
      <c r="R4">
        <v>25.67923</v>
      </c>
      <c r="S4">
        <v>24.244337000000002</v>
      </c>
      <c r="T4">
        <v>16.864491000000001</v>
      </c>
      <c r="U4">
        <v>14.586046</v>
      </c>
      <c r="V4">
        <v>12.376450999999999</v>
      </c>
      <c r="W4">
        <v>13.852830000000001</v>
      </c>
      <c r="X4">
        <v>14.517894999999999</v>
      </c>
      <c r="Y4">
        <v>14.689423</v>
      </c>
      <c r="Z4">
        <v>15.563128000000001</v>
      </c>
      <c r="AA4">
        <v>17.197989</v>
      </c>
      <c r="AB4">
        <v>19.536346000000002</v>
      </c>
      <c r="AC4">
        <v>21.114735</v>
      </c>
      <c r="AD4" s="4">
        <v>-0.68081011786727519</v>
      </c>
    </row>
    <row r="5" spans="1:30" x14ac:dyDescent="0.25">
      <c r="A5" t="s">
        <v>29</v>
      </c>
      <c r="B5" t="s">
        <v>34</v>
      </c>
      <c r="C5">
        <v>31.338919000000001</v>
      </c>
      <c r="D5">
        <v>31.824728</v>
      </c>
      <c r="E5">
        <v>31.752289000000001</v>
      </c>
      <c r="F5">
        <v>31.679852</v>
      </c>
      <c r="G5">
        <v>31.679852</v>
      </c>
      <c r="H5">
        <v>31.679853000000001</v>
      </c>
      <c r="I5">
        <v>31.679852</v>
      </c>
      <c r="J5">
        <v>31.679852</v>
      </c>
      <c r="K5">
        <v>31.679853000000001</v>
      </c>
      <c r="L5">
        <v>31.679853000000001</v>
      </c>
      <c r="M5">
        <v>29.499609</v>
      </c>
      <c r="N5">
        <v>28.944749999999999</v>
      </c>
      <c r="O5">
        <v>28.298836000000001</v>
      </c>
      <c r="P5">
        <v>27.847504000000001</v>
      </c>
      <c r="Q5">
        <v>27.144911</v>
      </c>
      <c r="R5">
        <v>25.856642000000001</v>
      </c>
      <c r="S5">
        <v>24.481030000000001</v>
      </c>
      <c r="T5">
        <v>21.828769999999999</v>
      </c>
      <c r="U5">
        <v>21.828769999999999</v>
      </c>
      <c r="V5">
        <v>21.828769999999999</v>
      </c>
      <c r="W5">
        <v>21.828769999999999</v>
      </c>
      <c r="X5">
        <v>21.828769999999999</v>
      </c>
      <c r="Y5">
        <v>21.828769999999999</v>
      </c>
      <c r="Z5">
        <v>21.828769999999999</v>
      </c>
      <c r="AA5">
        <v>21.828769999999999</v>
      </c>
      <c r="AB5">
        <v>21.828769999999999</v>
      </c>
      <c r="AC5">
        <v>21.828769999999999</v>
      </c>
      <c r="AD5" s="4">
        <v>-0.3034612967983995</v>
      </c>
    </row>
    <row r="6" spans="1:30" x14ac:dyDescent="0.25">
      <c r="A6" t="s">
        <v>29</v>
      </c>
      <c r="B6" t="s">
        <v>35</v>
      </c>
      <c r="C6">
        <v>-6.5017000000000005E-2</v>
      </c>
      <c r="D6">
        <v>-0.20316799999999999</v>
      </c>
      <c r="E6">
        <v>-0.30200900000000003</v>
      </c>
      <c r="F6">
        <v>-0.35138900000000001</v>
      </c>
      <c r="G6">
        <v>-0.41756199999999999</v>
      </c>
      <c r="H6">
        <v>-0.52706699999999995</v>
      </c>
      <c r="I6">
        <v>-0.58087200000000005</v>
      </c>
      <c r="J6">
        <v>-0.60459499999999999</v>
      </c>
      <c r="K6">
        <v>-0.53541799999999995</v>
      </c>
      <c r="L6">
        <v>-0.60521499999999995</v>
      </c>
      <c r="M6">
        <v>-0.66261199999999998</v>
      </c>
      <c r="N6">
        <v>-0.58917399999999998</v>
      </c>
      <c r="O6">
        <v>-0.69098400000000004</v>
      </c>
      <c r="P6">
        <v>-0.68364499999999995</v>
      </c>
      <c r="Q6">
        <v>-0.71061700000000005</v>
      </c>
      <c r="R6">
        <v>-0.89099899999999999</v>
      </c>
      <c r="S6">
        <v>-0.92418299999999998</v>
      </c>
      <c r="T6">
        <v>-0.94317399999999996</v>
      </c>
      <c r="U6">
        <v>-0.93693599999999999</v>
      </c>
      <c r="V6">
        <v>-0.88721000000000005</v>
      </c>
      <c r="W6">
        <v>-0.93437199999999998</v>
      </c>
      <c r="X6">
        <v>-0.96702999999999995</v>
      </c>
      <c r="Y6">
        <v>-0.94787500000000002</v>
      </c>
      <c r="Z6">
        <v>-0.95650400000000002</v>
      </c>
      <c r="AA6">
        <v>-0.95533100000000004</v>
      </c>
      <c r="AB6">
        <v>-0.93786000000000003</v>
      </c>
      <c r="AC6">
        <v>-0.92545299999999997</v>
      </c>
      <c r="AD6" s="4">
        <v>13.234015718965807</v>
      </c>
    </row>
    <row r="7" spans="1:30" x14ac:dyDescent="0.25">
      <c r="A7" t="s">
        <v>29</v>
      </c>
      <c r="B7" t="s">
        <v>36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 s="4" t="e">
        <v>#DIV/0!</v>
      </c>
    </row>
    <row r="8" spans="1:30" x14ac:dyDescent="0.25">
      <c r="A8" t="s">
        <v>29</v>
      </c>
      <c r="B8" t="s">
        <v>37</v>
      </c>
      <c r="C8">
        <v>8.9031029999999998</v>
      </c>
      <c r="D8">
        <v>9.6741700000000002</v>
      </c>
      <c r="E8">
        <v>10.039329</v>
      </c>
      <c r="F8">
        <v>10.40724</v>
      </c>
      <c r="G8">
        <v>10.467714000000001</v>
      </c>
      <c r="H8">
        <v>10.476857000000001</v>
      </c>
      <c r="I8">
        <v>10.790839</v>
      </c>
      <c r="J8">
        <v>11.239727</v>
      </c>
      <c r="K8">
        <v>10.224587</v>
      </c>
      <c r="L8">
        <v>9.6892890000000005</v>
      </c>
      <c r="M8">
        <v>9.5912030000000001</v>
      </c>
      <c r="N8">
        <v>9.4749359999999996</v>
      </c>
      <c r="O8">
        <v>9.4641699999999993</v>
      </c>
      <c r="P8">
        <v>9.6719259999999991</v>
      </c>
      <c r="Q8">
        <v>9.5467510000000004</v>
      </c>
      <c r="R8">
        <v>9.7952759999999994</v>
      </c>
      <c r="S8">
        <v>9.7130500000000008</v>
      </c>
      <c r="T8">
        <v>9.5713709999999992</v>
      </c>
      <c r="U8">
        <v>8.7494960000000006</v>
      </c>
      <c r="V8">
        <v>8.9345099999999995</v>
      </c>
      <c r="W8">
        <v>8.4102969999999999</v>
      </c>
      <c r="X8">
        <v>9.6315000000000008</v>
      </c>
      <c r="Y8">
        <v>9.9372249999999998</v>
      </c>
      <c r="Z8">
        <v>10.589271999999999</v>
      </c>
      <c r="AA8">
        <v>10.682957999999999</v>
      </c>
      <c r="AB8">
        <v>10.721026</v>
      </c>
      <c r="AC8">
        <v>10.760946000000001</v>
      </c>
      <c r="AD8" s="4">
        <v>0.20867365007458644</v>
      </c>
    </row>
    <row r="9" spans="1:30" x14ac:dyDescent="0.25">
      <c r="A9" t="s">
        <v>29</v>
      </c>
      <c r="B9" t="s">
        <v>38</v>
      </c>
      <c r="C9">
        <v>3.6312259999999998</v>
      </c>
      <c r="D9">
        <v>3.564835</v>
      </c>
      <c r="E9">
        <v>3.7527439999999999</v>
      </c>
      <c r="F9">
        <v>3.9112230000000001</v>
      </c>
      <c r="G9">
        <v>4.5964099999999997</v>
      </c>
      <c r="H9">
        <v>5.2816130000000001</v>
      </c>
      <c r="I9">
        <v>6.3527300000000002</v>
      </c>
      <c r="J9">
        <v>7.3724559999999997</v>
      </c>
      <c r="K9">
        <v>8.0274330000000003</v>
      </c>
      <c r="L9">
        <v>8.7263500000000001</v>
      </c>
      <c r="M9">
        <v>9.2238469999999992</v>
      </c>
      <c r="N9">
        <v>10.113557</v>
      </c>
      <c r="O9">
        <v>10.931129</v>
      </c>
      <c r="P9">
        <v>12.021222</v>
      </c>
      <c r="Q9">
        <v>13.008194</v>
      </c>
      <c r="R9">
        <v>13.600904</v>
      </c>
      <c r="S9">
        <v>14.160710999999999</v>
      </c>
      <c r="T9">
        <v>8.3718760000000003</v>
      </c>
      <c r="U9">
        <v>8.5730029999999999</v>
      </c>
      <c r="V9">
        <v>8.6204210000000003</v>
      </c>
      <c r="W9">
        <v>8.6689810000000005</v>
      </c>
      <c r="X9">
        <v>8.7180990000000005</v>
      </c>
      <c r="Y9">
        <v>9.07484</v>
      </c>
      <c r="Z9">
        <v>9.4566890000000008</v>
      </c>
      <c r="AA9">
        <v>9.6717650000000006</v>
      </c>
      <c r="AB9">
        <v>9.8513409999999997</v>
      </c>
      <c r="AC9">
        <v>10.013062</v>
      </c>
      <c r="AD9" s="4">
        <v>1.757487966873998</v>
      </c>
    </row>
    <row r="10" spans="1:30" x14ac:dyDescent="0.25">
      <c r="A10" t="s">
        <v>29</v>
      </c>
      <c r="B10" t="s">
        <v>39</v>
      </c>
      <c r="C10">
        <v>3.3981999999999998E-2</v>
      </c>
      <c r="D10">
        <v>0.13605200000000001</v>
      </c>
      <c r="E10">
        <v>0.24419199999999999</v>
      </c>
      <c r="F10">
        <v>0.32022099999999998</v>
      </c>
      <c r="G10">
        <v>0.407194</v>
      </c>
      <c r="H10">
        <v>0.50065300000000001</v>
      </c>
      <c r="I10">
        <v>0.59380999999999995</v>
      </c>
      <c r="J10">
        <v>0.69205099999999997</v>
      </c>
      <c r="K10">
        <v>0.78806200000000004</v>
      </c>
      <c r="L10">
        <v>0.88162300000000005</v>
      </c>
      <c r="M10">
        <v>0.96646600000000005</v>
      </c>
      <c r="N10">
        <v>1.06155</v>
      </c>
      <c r="O10">
        <v>1.1610819999999999</v>
      </c>
      <c r="P10">
        <v>1.2666109999999999</v>
      </c>
      <c r="Q10">
        <v>1.3724460000000001</v>
      </c>
      <c r="R10">
        <v>1.4453659999999999</v>
      </c>
      <c r="S10">
        <v>0.85772099999999996</v>
      </c>
      <c r="T10">
        <v>0.89146800000000004</v>
      </c>
      <c r="U10">
        <v>0.93329700000000004</v>
      </c>
      <c r="V10">
        <v>0.97453800000000002</v>
      </c>
      <c r="W10">
        <v>0.99545799999999995</v>
      </c>
      <c r="X10">
        <v>1.016697</v>
      </c>
      <c r="Y10">
        <v>1.0377540000000001</v>
      </c>
      <c r="Z10">
        <v>1.0588420000000001</v>
      </c>
      <c r="AA10">
        <v>1.080338</v>
      </c>
      <c r="AB10">
        <v>1.080338</v>
      </c>
      <c r="AC10">
        <v>1.080338</v>
      </c>
      <c r="AD10" s="4">
        <v>30.791477841210057</v>
      </c>
    </row>
    <row r="11" spans="1:30" x14ac:dyDescent="0.25">
      <c r="A11" t="s">
        <v>29</v>
      </c>
      <c r="B11" t="s">
        <v>40</v>
      </c>
      <c r="C11">
        <v>0.49179699999999998</v>
      </c>
      <c r="D11">
        <v>0.49179699999999998</v>
      </c>
      <c r="E11">
        <v>0.49179699999999998</v>
      </c>
      <c r="F11">
        <v>0.49179699999999998</v>
      </c>
      <c r="G11">
        <v>0.49179699999999998</v>
      </c>
      <c r="H11">
        <v>0.49179699999999998</v>
      </c>
      <c r="I11">
        <v>0.49179699999999998</v>
      </c>
      <c r="J11">
        <v>0.49505300000000002</v>
      </c>
      <c r="K11">
        <v>0.71239799999999998</v>
      </c>
      <c r="L11">
        <v>0.71239799999999998</v>
      </c>
      <c r="M11">
        <v>0.71229799999999999</v>
      </c>
      <c r="N11">
        <v>0.70935000000000004</v>
      </c>
      <c r="O11">
        <v>0.70935000000000004</v>
      </c>
      <c r="P11">
        <v>0.70935000000000004</v>
      </c>
      <c r="Q11">
        <v>0.70935000000000004</v>
      </c>
      <c r="R11">
        <v>0.67009300000000005</v>
      </c>
      <c r="S11">
        <v>0.616927</v>
      </c>
      <c r="T11">
        <v>0.616927</v>
      </c>
      <c r="U11">
        <v>0.616927</v>
      </c>
      <c r="V11">
        <v>0.56451399999999996</v>
      </c>
      <c r="W11">
        <v>0.56451399999999996</v>
      </c>
      <c r="X11">
        <v>0.70857800000000004</v>
      </c>
      <c r="Y11">
        <v>0.70857800000000004</v>
      </c>
      <c r="Z11">
        <v>0.70857800000000004</v>
      </c>
      <c r="AA11">
        <v>0.70857800000000004</v>
      </c>
      <c r="AB11">
        <v>0.70857800000000004</v>
      </c>
      <c r="AC11">
        <v>0.73239699999999996</v>
      </c>
      <c r="AD11" s="4">
        <v>0.48922624578840457</v>
      </c>
    </row>
    <row r="12" spans="1:30" x14ac:dyDescent="0.25">
      <c r="A12" t="s">
        <v>29</v>
      </c>
      <c r="B12" t="s">
        <v>41</v>
      </c>
      <c r="C12">
        <v>0.67092600000000002</v>
      </c>
      <c r="D12">
        <v>0.66480499999999998</v>
      </c>
      <c r="E12">
        <v>0.740313</v>
      </c>
      <c r="F12">
        <v>0.73981300000000005</v>
      </c>
      <c r="G12">
        <v>0.73935700000000004</v>
      </c>
      <c r="H12">
        <v>0.73773200000000005</v>
      </c>
      <c r="I12">
        <v>0.73920399999999997</v>
      </c>
      <c r="J12">
        <v>0.74080999999999997</v>
      </c>
      <c r="K12">
        <v>0.739039</v>
      </c>
      <c r="L12">
        <v>0.740089</v>
      </c>
      <c r="M12">
        <v>0.73871699999999996</v>
      </c>
      <c r="N12">
        <v>0.73707800000000001</v>
      </c>
      <c r="O12">
        <v>0.73826400000000003</v>
      </c>
      <c r="P12">
        <v>0.735707</v>
      </c>
      <c r="Q12">
        <v>0.73921599999999998</v>
      </c>
      <c r="R12">
        <v>0.73633700000000002</v>
      </c>
      <c r="S12">
        <v>0.74010699999999996</v>
      </c>
      <c r="T12">
        <v>0.738985</v>
      </c>
      <c r="U12">
        <v>0.74099300000000001</v>
      </c>
      <c r="V12">
        <v>0.73842600000000003</v>
      </c>
      <c r="W12">
        <v>0.74095</v>
      </c>
      <c r="X12">
        <v>0.74125099999999999</v>
      </c>
      <c r="Y12">
        <v>0.73816199999999998</v>
      </c>
      <c r="Z12">
        <v>0.73913899999999999</v>
      </c>
      <c r="AA12">
        <v>0.73913899999999999</v>
      </c>
      <c r="AB12">
        <v>0.73913899999999999</v>
      </c>
      <c r="AC12">
        <v>0.73909599999999998</v>
      </c>
      <c r="AD12" s="4">
        <v>0.10160584028641005</v>
      </c>
    </row>
    <row r="13" spans="1:30" x14ac:dyDescent="0.25">
      <c r="A13" t="s">
        <v>29</v>
      </c>
      <c r="B13" t="s">
        <v>42</v>
      </c>
      <c r="C13">
        <v>12.068218999999999</v>
      </c>
      <c r="D13">
        <v>18.020782000000001</v>
      </c>
      <c r="E13">
        <v>24.461303999999998</v>
      </c>
      <c r="F13">
        <v>24.755607999999999</v>
      </c>
      <c r="G13">
        <v>24.68581</v>
      </c>
      <c r="H13">
        <v>24.608340999999999</v>
      </c>
      <c r="I13">
        <v>24.670321999999999</v>
      </c>
      <c r="J13">
        <v>24.718502000000001</v>
      </c>
      <c r="K13">
        <v>23.869938000000001</v>
      </c>
      <c r="L13">
        <v>24.668700999999999</v>
      </c>
      <c r="M13">
        <v>24.633572000000001</v>
      </c>
      <c r="N13">
        <v>22.738060000000001</v>
      </c>
      <c r="O13">
        <v>23.766459999999999</v>
      </c>
      <c r="P13">
        <v>24.45966</v>
      </c>
      <c r="Q13">
        <v>24.618497999999999</v>
      </c>
      <c r="R13">
        <v>24.481144</v>
      </c>
      <c r="S13">
        <v>24.652539999999998</v>
      </c>
      <c r="T13">
        <v>24.590641000000002</v>
      </c>
      <c r="U13">
        <v>24.403786</v>
      </c>
      <c r="V13">
        <v>24.623671999999999</v>
      </c>
      <c r="W13">
        <v>24.764234999999999</v>
      </c>
      <c r="X13">
        <v>24.770126000000001</v>
      </c>
      <c r="Y13">
        <v>24.593273</v>
      </c>
      <c r="Z13">
        <v>24.586697000000001</v>
      </c>
      <c r="AA13">
        <v>24.569465999999998</v>
      </c>
      <c r="AB13">
        <v>24.551434</v>
      </c>
      <c r="AC13">
        <v>24.53623</v>
      </c>
      <c r="AD13" s="4">
        <v>1.0331276719456286</v>
      </c>
    </row>
    <row r="14" spans="1:30" x14ac:dyDescent="0.25">
      <c r="A14" t="s">
        <v>29</v>
      </c>
      <c r="B14" t="s">
        <v>43</v>
      </c>
      <c r="C14">
        <v>13.335143</v>
      </c>
      <c r="D14">
        <v>13.318295000000001</v>
      </c>
      <c r="E14">
        <v>19.963144</v>
      </c>
      <c r="F14">
        <v>27.584689999999998</v>
      </c>
      <c r="G14">
        <v>27.586040000000001</v>
      </c>
      <c r="H14">
        <v>27.587831000000001</v>
      </c>
      <c r="I14">
        <v>27.582803999999999</v>
      </c>
      <c r="J14">
        <v>30.117622000000001</v>
      </c>
      <c r="K14">
        <v>45.814236000000001</v>
      </c>
      <c r="L14">
        <v>48.144416999999997</v>
      </c>
      <c r="M14">
        <v>66.772712999999996</v>
      </c>
      <c r="N14">
        <v>83.719009</v>
      </c>
      <c r="O14">
        <v>86.765220999999997</v>
      </c>
      <c r="P14">
        <v>87.004043999999993</v>
      </c>
      <c r="Q14">
        <v>93.450057999999999</v>
      </c>
      <c r="R14">
        <v>98.087387000000007</v>
      </c>
      <c r="S14">
        <v>102.727966</v>
      </c>
      <c r="T14">
        <v>120.732697</v>
      </c>
      <c r="U14">
        <v>124.05233800000001</v>
      </c>
      <c r="V14">
        <v>120.851814</v>
      </c>
      <c r="W14">
        <v>134.128525</v>
      </c>
      <c r="X14">
        <v>122.467361</v>
      </c>
      <c r="Y14">
        <v>122.83311500000001</v>
      </c>
      <c r="Z14">
        <v>125.609848</v>
      </c>
      <c r="AA14">
        <v>127.445305</v>
      </c>
      <c r="AB14">
        <v>130.92639199999999</v>
      </c>
      <c r="AC14">
        <v>133.86917099999999</v>
      </c>
      <c r="AD14" s="4">
        <v>9.0388253054354184</v>
      </c>
    </row>
    <row r="15" spans="1:30" x14ac:dyDescent="0.25">
      <c r="A15" t="s">
        <v>29</v>
      </c>
      <c r="B15" t="s">
        <v>44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 s="4" t="e">
        <v>#DIV/0!</v>
      </c>
    </row>
    <row r="16" spans="1:30" x14ac:dyDescent="0.25">
      <c r="A16" t="s">
        <v>29</v>
      </c>
      <c r="B16" s="5" t="s">
        <v>45</v>
      </c>
      <c r="C16">
        <v>0</v>
      </c>
      <c r="D16">
        <v>0</v>
      </c>
      <c r="E16">
        <v>1.121E-3</v>
      </c>
      <c r="F16">
        <v>1.2715000000000001E-2</v>
      </c>
      <c r="G16">
        <v>2.4473000000000002E-2</v>
      </c>
      <c r="H16">
        <v>3.7849000000000001E-2</v>
      </c>
      <c r="I16">
        <v>5.0205E-2</v>
      </c>
      <c r="J16">
        <v>6.4017000000000004E-2</v>
      </c>
      <c r="K16">
        <v>0.113884</v>
      </c>
      <c r="L16">
        <v>0.13290099999999999</v>
      </c>
      <c r="M16">
        <v>0.155253</v>
      </c>
      <c r="N16">
        <v>0.17944199999999999</v>
      </c>
      <c r="O16">
        <v>0.20352300000000001</v>
      </c>
      <c r="P16">
        <v>0.22592899999999999</v>
      </c>
      <c r="Q16">
        <v>0.291962</v>
      </c>
      <c r="R16">
        <v>0.35848000000000002</v>
      </c>
      <c r="S16">
        <v>0.37913999999999998</v>
      </c>
      <c r="T16">
        <v>0.44283899999999998</v>
      </c>
      <c r="U16">
        <v>0.50566999999999995</v>
      </c>
      <c r="V16">
        <v>0.56653799999999999</v>
      </c>
      <c r="W16">
        <v>0.63060799999999995</v>
      </c>
      <c r="X16">
        <v>0.69226299999999996</v>
      </c>
      <c r="Y16">
        <v>0.75039400000000001</v>
      </c>
      <c r="Z16">
        <v>0.80606500000000003</v>
      </c>
      <c r="AA16">
        <v>0.86507400000000001</v>
      </c>
      <c r="AB16">
        <v>0.92735500000000004</v>
      </c>
      <c r="AC16">
        <v>0.99389000000000005</v>
      </c>
      <c r="AD16" s="4" t="e">
        <v>#DIV/0!</v>
      </c>
    </row>
    <row r="17" spans="1:30" x14ac:dyDescent="0.25">
      <c r="A17" t="s">
        <v>29</v>
      </c>
      <c r="B17" s="5" t="s">
        <v>46</v>
      </c>
      <c r="C17">
        <v>153.18467699999999</v>
      </c>
      <c r="D17">
        <v>152.602509</v>
      </c>
      <c r="E17">
        <v>152.42420999999999</v>
      </c>
      <c r="F17">
        <v>159.202347</v>
      </c>
      <c r="G17">
        <v>157.63494900000001</v>
      </c>
      <c r="H17">
        <v>159.38484199999999</v>
      </c>
      <c r="I17">
        <v>158.355164</v>
      </c>
      <c r="J17">
        <v>158.084824</v>
      </c>
      <c r="K17">
        <v>166.37425200000001</v>
      </c>
      <c r="L17">
        <v>165.29260300000001</v>
      </c>
      <c r="M17">
        <v>177.290054</v>
      </c>
      <c r="N17">
        <v>191.21743799999999</v>
      </c>
      <c r="O17">
        <v>191.112381</v>
      </c>
      <c r="P17">
        <v>192.10891699999999</v>
      </c>
      <c r="Q17">
        <v>195.55569499999999</v>
      </c>
      <c r="R17">
        <v>199.82115200000001</v>
      </c>
      <c r="S17">
        <v>201.65063499999999</v>
      </c>
      <c r="T17">
        <v>203.70689400000001</v>
      </c>
      <c r="U17">
        <v>204.053406</v>
      </c>
      <c r="V17">
        <v>199.19244399999999</v>
      </c>
      <c r="W17">
        <v>213.65078700000001</v>
      </c>
      <c r="X17">
        <v>204.12550400000001</v>
      </c>
      <c r="Y17">
        <v>205.243652</v>
      </c>
      <c r="Z17">
        <v>209.990509</v>
      </c>
      <c r="AA17">
        <v>213.834045</v>
      </c>
      <c r="AB17">
        <v>219.932861</v>
      </c>
      <c r="AC17">
        <v>224.743179</v>
      </c>
      <c r="AD17" s="4">
        <v>0.46713877263324455</v>
      </c>
    </row>
    <row r="18" spans="1:30" x14ac:dyDescent="0.25">
      <c r="A18" t="s">
        <v>74</v>
      </c>
      <c r="B18" t="s">
        <v>47</v>
      </c>
      <c r="C18">
        <v>14.321308999999999</v>
      </c>
      <c r="D18">
        <v>14.278326</v>
      </c>
      <c r="E18">
        <v>13.835286</v>
      </c>
      <c r="F18">
        <v>13.378728000000001</v>
      </c>
      <c r="G18">
        <v>13.140980000000001</v>
      </c>
      <c r="H18">
        <v>13.251721999999999</v>
      </c>
      <c r="I18">
        <v>13.453435000000001</v>
      </c>
      <c r="J18">
        <v>13.581208</v>
      </c>
      <c r="K18">
        <v>14.06771</v>
      </c>
      <c r="L18">
        <v>14.103954999999999</v>
      </c>
      <c r="M18">
        <v>13.735702</v>
      </c>
      <c r="N18">
        <v>13.371205</v>
      </c>
      <c r="O18">
        <v>13.243634999999999</v>
      </c>
      <c r="P18">
        <v>13.354946</v>
      </c>
      <c r="Q18">
        <v>13.423473</v>
      </c>
      <c r="R18">
        <v>13.57047</v>
      </c>
      <c r="S18">
        <v>13.563223000000001</v>
      </c>
      <c r="T18">
        <v>13.657722</v>
      </c>
      <c r="U18">
        <v>13.663971</v>
      </c>
      <c r="V18">
        <v>13.702465999999999</v>
      </c>
      <c r="W18">
        <v>13.649492</v>
      </c>
      <c r="X18">
        <v>13.801354999999999</v>
      </c>
      <c r="Y18">
        <v>13.992808</v>
      </c>
      <c r="Z18">
        <v>14.030086000000001</v>
      </c>
      <c r="AA18">
        <v>14.019515</v>
      </c>
      <c r="AB18">
        <v>14.046659</v>
      </c>
      <c r="AC18">
        <v>14.042437</v>
      </c>
      <c r="AD18" s="4" cm="1">
        <f t="array" ref="AD18:AD22">(AC18:AC22-C18:C22)/C18:C22</f>
        <v>-1.9472521680804444E-2</v>
      </c>
    </row>
    <row r="19" spans="1:30" x14ac:dyDescent="0.25">
      <c r="A19" t="s">
        <v>74</v>
      </c>
      <c r="B19" t="s">
        <v>49</v>
      </c>
      <c r="C19">
        <v>11.819063999999999</v>
      </c>
      <c r="D19">
        <v>11.774405</v>
      </c>
      <c r="E19">
        <v>11.385175</v>
      </c>
      <c r="F19">
        <v>10.941182</v>
      </c>
      <c r="G19">
        <v>10.744379</v>
      </c>
      <c r="H19">
        <v>10.821649000000001</v>
      </c>
      <c r="I19">
        <v>10.99099</v>
      </c>
      <c r="J19">
        <v>11.069483999999999</v>
      </c>
      <c r="K19">
        <v>11.516726999999999</v>
      </c>
      <c r="L19">
        <v>11.473822999999999</v>
      </c>
      <c r="M19">
        <v>11.038905</v>
      </c>
      <c r="N19">
        <v>10.640733000000001</v>
      </c>
      <c r="O19">
        <v>10.495704</v>
      </c>
      <c r="P19">
        <v>10.592134</v>
      </c>
      <c r="Q19">
        <v>10.63438</v>
      </c>
      <c r="R19">
        <v>10.719588</v>
      </c>
      <c r="S19">
        <v>10.676826</v>
      </c>
      <c r="T19">
        <v>10.716108999999999</v>
      </c>
      <c r="U19">
        <v>10.672461999999999</v>
      </c>
      <c r="V19">
        <v>10.701097000000001</v>
      </c>
      <c r="W19">
        <v>10.614312999999999</v>
      </c>
      <c r="X19">
        <v>10.763552000000001</v>
      </c>
      <c r="Y19">
        <v>10.924963999999999</v>
      </c>
      <c r="Z19">
        <v>10.889632000000001</v>
      </c>
      <c r="AA19">
        <v>10.838825</v>
      </c>
      <c r="AB19">
        <v>10.814446</v>
      </c>
      <c r="AC19">
        <v>10.755747</v>
      </c>
      <c r="AD19" s="4">
        <v>-8.9966261287695859E-2</v>
      </c>
    </row>
    <row r="20" spans="1:30" x14ac:dyDescent="0.25">
      <c r="A20" t="s">
        <v>74</v>
      </c>
      <c r="B20" t="s">
        <v>50</v>
      </c>
      <c r="C20">
        <v>7.3024810000000002</v>
      </c>
      <c r="D20">
        <v>7.3732810000000004</v>
      </c>
      <c r="E20">
        <v>6.9679060000000002</v>
      </c>
      <c r="F20">
        <v>6.622223</v>
      </c>
      <c r="G20">
        <v>6.5553720000000002</v>
      </c>
      <c r="H20">
        <v>6.6385870000000002</v>
      </c>
      <c r="I20">
        <v>6.8161310000000004</v>
      </c>
      <c r="J20">
        <v>6.9991159999999999</v>
      </c>
      <c r="K20">
        <v>7.4236110000000002</v>
      </c>
      <c r="L20">
        <v>7.4820409999999997</v>
      </c>
      <c r="M20">
        <v>7.2510719999999997</v>
      </c>
      <c r="N20">
        <v>7.0847759999999997</v>
      </c>
      <c r="O20">
        <v>7.132352</v>
      </c>
      <c r="P20">
        <v>7.219722</v>
      </c>
      <c r="Q20">
        <v>7.2722990000000003</v>
      </c>
      <c r="R20">
        <v>7.2572890000000001</v>
      </c>
      <c r="S20">
        <v>7.2297950000000002</v>
      </c>
      <c r="T20">
        <v>7.2640729999999998</v>
      </c>
      <c r="U20">
        <v>7.2244130000000002</v>
      </c>
      <c r="V20">
        <v>7.2768839999999999</v>
      </c>
      <c r="W20">
        <v>7.2236570000000002</v>
      </c>
      <c r="X20">
        <v>7.3997289999999998</v>
      </c>
      <c r="Y20">
        <v>7.5644530000000003</v>
      </c>
      <c r="Z20">
        <v>7.4970809999999997</v>
      </c>
      <c r="AA20">
        <v>7.4651199999999998</v>
      </c>
      <c r="AB20">
        <v>7.4467319999999999</v>
      </c>
      <c r="AC20">
        <v>7.4047890000000001</v>
      </c>
      <c r="AD20" s="4">
        <v>1.401003302850084E-2</v>
      </c>
    </row>
    <row r="21" spans="1:30" x14ac:dyDescent="0.25">
      <c r="A21" t="s">
        <v>74</v>
      </c>
      <c r="B21" t="s">
        <v>51</v>
      </c>
      <c r="C21">
        <v>12.402697</v>
      </c>
      <c r="D21">
        <v>12.446032000000001</v>
      </c>
      <c r="E21">
        <v>12.003844000000001</v>
      </c>
      <c r="F21">
        <v>11.522104000000001</v>
      </c>
      <c r="G21">
        <v>11.207589</v>
      </c>
      <c r="H21">
        <v>11.255621</v>
      </c>
      <c r="I21">
        <v>11.387392999999999</v>
      </c>
      <c r="J21">
        <v>11.463243</v>
      </c>
      <c r="K21">
        <v>11.83071</v>
      </c>
      <c r="L21">
        <v>11.821797</v>
      </c>
      <c r="M21">
        <v>11.417847</v>
      </c>
      <c r="N21">
        <v>11.0063</v>
      </c>
      <c r="O21">
        <v>10.807067999999999</v>
      </c>
      <c r="P21">
        <v>10.879374</v>
      </c>
      <c r="Q21">
        <v>10.922233</v>
      </c>
      <c r="R21">
        <v>11.021636000000001</v>
      </c>
      <c r="S21">
        <v>10.993105</v>
      </c>
      <c r="T21">
        <v>11.048555</v>
      </c>
      <c r="U21">
        <v>11.021782</v>
      </c>
      <c r="V21">
        <v>11.019121999999999</v>
      </c>
      <c r="W21">
        <v>10.941069000000001</v>
      </c>
      <c r="X21">
        <v>11.04857</v>
      </c>
      <c r="Y21">
        <v>11.206904</v>
      </c>
      <c r="Z21">
        <v>11.189997</v>
      </c>
      <c r="AA21">
        <v>11.130587999999999</v>
      </c>
      <c r="AB21">
        <v>11.108086999999999</v>
      </c>
      <c r="AC21">
        <v>11.053464999999999</v>
      </c>
      <c r="AD21" s="4">
        <v>-0.10878537143977642</v>
      </c>
    </row>
    <row r="22" spans="1:30" x14ac:dyDescent="0.25">
      <c r="A22" t="s">
        <v>74</v>
      </c>
      <c r="B22" t="s">
        <v>52</v>
      </c>
      <c r="C22">
        <v>12.073306000000001</v>
      </c>
      <c r="D22">
        <v>12.022568</v>
      </c>
      <c r="E22">
        <v>11.642071</v>
      </c>
      <c r="F22">
        <v>11.212614</v>
      </c>
      <c r="G22">
        <v>11.002732999999999</v>
      </c>
      <c r="H22">
        <v>11.084056</v>
      </c>
      <c r="I22">
        <v>11.248065</v>
      </c>
      <c r="J22">
        <v>11.381857999999999</v>
      </c>
      <c r="K22">
        <v>11.796339</v>
      </c>
      <c r="L22">
        <v>11.795991000000001</v>
      </c>
      <c r="M22">
        <v>11.391584999999999</v>
      </c>
      <c r="N22">
        <v>11.018077</v>
      </c>
      <c r="O22">
        <v>10.878119</v>
      </c>
      <c r="P22">
        <v>10.974257</v>
      </c>
      <c r="Q22">
        <v>11.03247</v>
      </c>
      <c r="R22">
        <v>11.060138999999999</v>
      </c>
      <c r="S22">
        <v>11.031553000000001</v>
      </c>
      <c r="T22">
        <v>11.079791999999999</v>
      </c>
      <c r="U22">
        <v>11.066165</v>
      </c>
      <c r="V22">
        <v>11.119994</v>
      </c>
      <c r="W22">
        <v>11.0678</v>
      </c>
      <c r="X22">
        <v>11.255042</v>
      </c>
      <c r="Y22">
        <v>11.469431999999999</v>
      </c>
      <c r="Z22">
        <v>11.435523999999999</v>
      </c>
      <c r="AA22">
        <v>11.399189</v>
      </c>
      <c r="AB22">
        <v>11.390407</v>
      </c>
      <c r="AC22">
        <v>11.347528000000001</v>
      </c>
      <c r="AD22" s="4">
        <v>-6.0114271931813873E-2</v>
      </c>
    </row>
    <row r="23" spans="1:30" x14ac:dyDescent="0.25">
      <c r="A23" t="s">
        <v>75</v>
      </c>
      <c r="B23" t="s">
        <v>47</v>
      </c>
      <c r="C23">
        <v>14.321308999999999</v>
      </c>
      <c r="D23">
        <v>14.605948</v>
      </c>
      <c r="E23">
        <v>14.406335</v>
      </c>
      <c r="F23">
        <v>14.1707</v>
      </c>
      <c r="G23">
        <v>14.163074999999999</v>
      </c>
      <c r="H23">
        <v>14.495279</v>
      </c>
      <c r="I23">
        <v>14.947464</v>
      </c>
      <c r="J23">
        <v>15.353224000000001</v>
      </c>
      <c r="K23">
        <v>16.182017999999999</v>
      </c>
      <c r="L23">
        <v>16.508396000000001</v>
      </c>
      <c r="M23">
        <v>16.358587</v>
      </c>
      <c r="N23">
        <v>16.200142</v>
      </c>
      <c r="O23">
        <v>16.320868999999998</v>
      </c>
      <c r="P23">
        <v>16.752768</v>
      </c>
      <c r="Q23">
        <v>17.152816999999999</v>
      </c>
      <c r="R23">
        <v>17.679273999999999</v>
      </c>
      <c r="S23">
        <v>18.037877999999999</v>
      </c>
      <c r="T23">
        <v>18.563638999999998</v>
      </c>
      <c r="U23">
        <v>18.996438999999999</v>
      </c>
      <c r="V23">
        <v>19.498449000000001</v>
      </c>
      <c r="W23">
        <v>19.893833000000001</v>
      </c>
      <c r="X23">
        <v>20.606587999999999</v>
      </c>
      <c r="Y23">
        <v>21.404074000000001</v>
      </c>
      <c r="Z23">
        <v>21.984285</v>
      </c>
      <c r="AA23">
        <v>22.494654000000001</v>
      </c>
      <c r="AB23">
        <v>23.072835999999999</v>
      </c>
      <c r="AC23">
        <v>23.601127999999999</v>
      </c>
      <c r="AD23" s="4" cm="1">
        <f t="array" ref="AD23:AD27">(AC23:AC27-C23:C27)/C23:C27</f>
        <v>0.64797282147881874</v>
      </c>
    </row>
    <row r="24" spans="1:30" x14ac:dyDescent="0.25">
      <c r="A24" t="s">
        <v>75</v>
      </c>
      <c r="B24" t="s">
        <v>49</v>
      </c>
      <c r="C24">
        <v>11.819063999999999</v>
      </c>
      <c r="D24">
        <v>12.044575</v>
      </c>
      <c r="E24">
        <v>11.855096</v>
      </c>
      <c r="F24">
        <v>11.58886</v>
      </c>
      <c r="G24">
        <v>11.580069</v>
      </c>
      <c r="H24">
        <v>11.837164</v>
      </c>
      <c r="I24">
        <v>12.21156</v>
      </c>
      <c r="J24">
        <v>12.513781</v>
      </c>
      <c r="K24">
        <v>13.247636</v>
      </c>
      <c r="L24">
        <v>13.429878</v>
      </c>
      <c r="M24">
        <v>13.146827</v>
      </c>
      <c r="N24">
        <v>12.891985999999999</v>
      </c>
      <c r="O24">
        <v>12.93444</v>
      </c>
      <c r="P24">
        <v>13.287027999999999</v>
      </c>
      <c r="Q24">
        <v>13.588851</v>
      </c>
      <c r="R24">
        <v>13.965215000000001</v>
      </c>
      <c r="S24">
        <v>14.199228</v>
      </c>
      <c r="T24">
        <v>14.565384999999999</v>
      </c>
      <c r="U24">
        <v>14.837472</v>
      </c>
      <c r="V24">
        <v>15.227537999999999</v>
      </c>
      <c r="W24">
        <v>15.470124999999999</v>
      </c>
      <c r="X24">
        <v>16.070889999999999</v>
      </c>
      <c r="Y24">
        <v>16.711351000000001</v>
      </c>
      <c r="Z24">
        <v>17.063386999999999</v>
      </c>
      <c r="AA24">
        <v>17.391158999999998</v>
      </c>
      <c r="AB24">
        <v>17.763650999999999</v>
      </c>
      <c r="AC24">
        <v>18.077188</v>
      </c>
      <c r="AD24" s="4">
        <v>0.52949404453686022</v>
      </c>
    </row>
    <row r="25" spans="1:30" x14ac:dyDescent="0.25">
      <c r="A25" t="s">
        <v>75</v>
      </c>
      <c r="B25" t="s">
        <v>50</v>
      </c>
      <c r="C25">
        <v>7.3024810000000002</v>
      </c>
      <c r="D25">
        <v>7.542465</v>
      </c>
      <c r="E25">
        <v>7.2555059999999996</v>
      </c>
      <c r="F25">
        <v>7.0142350000000002</v>
      </c>
      <c r="G25">
        <v>7.0652439999999999</v>
      </c>
      <c r="H25">
        <v>7.2615590000000001</v>
      </c>
      <c r="I25">
        <v>7.5730740000000001</v>
      </c>
      <c r="J25">
        <v>7.9123299999999999</v>
      </c>
      <c r="K25">
        <v>8.5393439999999998</v>
      </c>
      <c r="L25">
        <v>8.7575789999999998</v>
      </c>
      <c r="M25">
        <v>8.6356940000000009</v>
      </c>
      <c r="N25">
        <v>8.5836970000000008</v>
      </c>
      <c r="O25">
        <v>8.7895950000000003</v>
      </c>
      <c r="P25">
        <v>9.0565949999999997</v>
      </c>
      <c r="Q25">
        <v>9.2927079999999993</v>
      </c>
      <c r="R25">
        <v>9.454618</v>
      </c>
      <c r="S25">
        <v>9.6149839999999998</v>
      </c>
      <c r="T25">
        <v>9.8733609999999992</v>
      </c>
      <c r="U25">
        <v>10.043796</v>
      </c>
      <c r="V25">
        <v>10.354920999999999</v>
      </c>
      <c r="W25">
        <v>10.528320000000001</v>
      </c>
      <c r="X25">
        <v>11.048419000000001</v>
      </c>
      <c r="Y25">
        <v>11.570952</v>
      </c>
      <c r="Z25">
        <v>11.747465999999999</v>
      </c>
      <c r="AA25">
        <v>11.977967</v>
      </c>
      <c r="AB25">
        <v>12.231892</v>
      </c>
      <c r="AC25">
        <v>12.445231</v>
      </c>
      <c r="AD25" s="4">
        <v>0.70424695387772995</v>
      </c>
    </row>
    <row r="26" spans="1:30" x14ac:dyDescent="0.25">
      <c r="A26" t="s">
        <v>75</v>
      </c>
      <c r="B26" t="s">
        <v>51</v>
      </c>
      <c r="C26">
        <v>12.402697</v>
      </c>
      <c r="D26">
        <v>12.731610999999999</v>
      </c>
      <c r="E26">
        <v>12.499301000000001</v>
      </c>
      <c r="F26">
        <v>12.204171000000001</v>
      </c>
      <c r="G26">
        <v>12.079307999999999</v>
      </c>
      <c r="H26">
        <v>12.311862</v>
      </c>
      <c r="I26">
        <v>12.651984000000001</v>
      </c>
      <c r="J26">
        <v>12.958914999999999</v>
      </c>
      <c r="K26">
        <v>13.608809000000001</v>
      </c>
      <c r="L26">
        <v>13.837175999999999</v>
      </c>
      <c r="M26">
        <v>13.598129</v>
      </c>
      <c r="N26">
        <v>13.334894999999999</v>
      </c>
      <c r="O26">
        <v>13.318151</v>
      </c>
      <c r="P26">
        <v>13.647349</v>
      </c>
      <c r="Q26">
        <v>13.956675000000001</v>
      </c>
      <c r="R26">
        <v>14.358715999999999</v>
      </c>
      <c r="S26">
        <v>14.619851000000001</v>
      </c>
      <c r="T26">
        <v>15.017246999999999</v>
      </c>
      <c r="U26">
        <v>15.323117</v>
      </c>
      <c r="V26">
        <v>15.680084000000001</v>
      </c>
      <c r="W26">
        <v>15.946364000000001</v>
      </c>
      <c r="X26">
        <v>16.496447</v>
      </c>
      <c r="Y26">
        <v>17.142621999999999</v>
      </c>
      <c r="Z26">
        <v>17.534039</v>
      </c>
      <c r="AA26">
        <v>17.859300999999999</v>
      </c>
      <c r="AB26">
        <v>18.245978999999998</v>
      </c>
      <c r="AC26">
        <v>18.577562</v>
      </c>
      <c r="AD26" s="4">
        <v>0.49786469829908775</v>
      </c>
    </row>
    <row r="27" spans="1:30" x14ac:dyDescent="0.25">
      <c r="A27" t="s">
        <v>75</v>
      </c>
      <c r="B27" t="s">
        <v>52</v>
      </c>
      <c r="C27">
        <v>12.073306000000001</v>
      </c>
      <c r="D27">
        <v>12.298431000000001</v>
      </c>
      <c r="E27">
        <v>12.122596</v>
      </c>
      <c r="F27">
        <v>11.87636</v>
      </c>
      <c r="G27">
        <v>11.858518</v>
      </c>
      <c r="H27">
        <v>12.124196</v>
      </c>
      <c r="I27">
        <v>12.497184000000001</v>
      </c>
      <c r="J27">
        <v>12.866911999999999</v>
      </c>
      <c r="K27">
        <v>13.569272</v>
      </c>
      <c r="L27">
        <v>13.806971000000001</v>
      </c>
      <c r="M27">
        <v>13.566853999999999</v>
      </c>
      <c r="N27">
        <v>13.349164</v>
      </c>
      <c r="O27">
        <v>13.405711999999999</v>
      </c>
      <c r="P27">
        <v>13.766374000000001</v>
      </c>
      <c r="Q27">
        <v>14.097538999999999</v>
      </c>
      <c r="R27">
        <v>14.408875999999999</v>
      </c>
      <c r="S27">
        <v>14.670983</v>
      </c>
      <c r="T27">
        <v>15.059704999999999</v>
      </c>
      <c r="U27">
        <v>15.384821000000001</v>
      </c>
      <c r="V27">
        <v>15.823623</v>
      </c>
      <c r="W27">
        <v>16.131073000000001</v>
      </c>
      <c r="X27">
        <v>16.804728000000001</v>
      </c>
      <c r="Y27">
        <v>17.544197</v>
      </c>
      <c r="Z27">
        <v>17.918763999999999</v>
      </c>
      <c r="AA27">
        <v>18.290277</v>
      </c>
      <c r="AB27">
        <v>18.709714999999999</v>
      </c>
      <c r="AC27">
        <v>19.071795000000002</v>
      </c>
      <c r="AD27" s="4">
        <v>0.5796663316576256</v>
      </c>
    </row>
    <row r="28" spans="1:30" x14ac:dyDescent="0.25">
      <c r="A28" t="s">
        <v>76</v>
      </c>
      <c r="B28" t="s">
        <v>54</v>
      </c>
      <c r="C28">
        <v>7.5335789999999996</v>
      </c>
      <c r="D28">
        <v>7.4371200000000002</v>
      </c>
      <c r="E28">
        <v>6.9149940000000001</v>
      </c>
      <c r="F28">
        <v>6.4131850000000004</v>
      </c>
      <c r="G28">
        <v>6.1835849999999999</v>
      </c>
      <c r="H28">
        <v>6.2432350000000003</v>
      </c>
      <c r="I28">
        <v>6.3922780000000001</v>
      </c>
      <c r="J28">
        <v>6.4858149999999997</v>
      </c>
      <c r="K28">
        <v>6.8364880000000001</v>
      </c>
      <c r="L28">
        <v>6.7684939999999996</v>
      </c>
      <c r="M28">
        <v>6.3276969999999997</v>
      </c>
      <c r="N28">
        <v>5.8973560000000003</v>
      </c>
      <c r="O28">
        <v>5.7497280000000002</v>
      </c>
      <c r="P28">
        <v>5.8624989999999997</v>
      </c>
      <c r="Q28">
        <v>5.9225589999999997</v>
      </c>
      <c r="R28">
        <v>5.9995310000000002</v>
      </c>
      <c r="S28">
        <v>5.9867549999999996</v>
      </c>
      <c r="T28">
        <v>5.9851890000000001</v>
      </c>
      <c r="U28">
        <v>5.9123900000000003</v>
      </c>
      <c r="V28">
        <v>5.9559509999999998</v>
      </c>
      <c r="W28">
        <v>5.9133180000000003</v>
      </c>
      <c r="X28">
        <v>6.0968159999999996</v>
      </c>
      <c r="Y28">
        <v>6.2910589999999997</v>
      </c>
      <c r="Z28">
        <v>6.2625590000000004</v>
      </c>
      <c r="AA28">
        <v>6.2363980000000003</v>
      </c>
      <c r="AB28">
        <v>6.2298790000000004</v>
      </c>
      <c r="AC28">
        <v>6.1883520000000001</v>
      </c>
      <c r="AD28" s="4" cm="1">
        <f t="array" ref="AD28:AD30">(AC28:AC30-C28:C30)/C28:C30</f>
        <v>-0.17856413266523116</v>
      </c>
    </row>
    <row r="29" spans="1:30" x14ac:dyDescent="0.25">
      <c r="A29" t="s">
        <v>76</v>
      </c>
      <c r="B29" t="s">
        <v>55</v>
      </c>
      <c r="C29">
        <v>1.3786620000000001</v>
      </c>
      <c r="D29">
        <v>1.4191659999999999</v>
      </c>
      <c r="E29">
        <v>1.5115529999999999</v>
      </c>
      <c r="F29">
        <v>1.560392</v>
      </c>
      <c r="G29">
        <v>1.5674859999999999</v>
      </c>
      <c r="H29">
        <v>1.5733600000000001</v>
      </c>
      <c r="I29">
        <v>1.5770059999999999</v>
      </c>
      <c r="J29">
        <v>1.597405</v>
      </c>
      <c r="K29">
        <v>1.660749</v>
      </c>
      <c r="L29">
        <v>1.726972</v>
      </c>
      <c r="M29">
        <v>1.7687010000000001</v>
      </c>
      <c r="N29">
        <v>1.837272</v>
      </c>
      <c r="O29">
        <v>1.8569089999999999</v>
      </c>
      <c r="P29">
        <v>1.846422</v>
      </c>
      <c r="Q29">
        <v>1.842948</v>
      </c>
      <c r="R29">
        <v>1.8125070000000001</v>
      </c>
      <c r="S29">
        <v>1.805094</v>
      </c>
      <c r="T29">
        <v>1.8576299999999999</v>
      </c>
      <c r="U29">
        <v>1.910013</v>
      </c>
      <c r="V29">
        <v>1.9068430000000001</v>
      </c>
      <c r="W29">
        <v>1.885675</v>
      </c>
      <c r="X29">
        <v>1.8702700000000001</v>
      </c>
      <c r="Y29">
        <v>1.863054</v>
      </c>
      <c r="Z29">
        <v>1.845729</v>
      </c>
      <c r="AA29">
        <v>1.825998</v>
      </c>
      <c r="AB29">
        <v>1.8125169999999999</v>
      </c>
      <c r="AC29">
        <v>1.8010969999999999</v>
      </c>
      <c r="AD29" s="4">
        <v>0.30640940273975775</v>
      </c>
    </row>
    <row r="30" spans="1:30" x14ac:dyDescent="0.25">
      <c r="A30" t="s">
        <v>76</v>
      </c>
      <c r="B30" t="s">
        <v>56</v>
      </c>
      <c r="C30">
        <v>3.1610649999999998</v>
      </c>
      <c r="D30">
        <v>3.1662819999999998</v>
      </c>
      <c r="E30">
        <v>3.2155230000000001</v>
      </c>
      <c r="F30">
        <v>3.2390379999999999</v>
      </c>
      <c r="G30">
        <v>3.2516630000000002</v>
      </c>
      <c r="H30">
        <v>3.2674609999999999</v>
      </c>
      <c r="I30">
        <v>3.2787799999999998</v>
      </c>
      <c r="J30">
        <v>3.2986390000000001</v>
      </c>
      <c r="K30">
        <v>3.299102</v>
      </c>
      <c r="L30">
        <v>3.3005249999999999</v>
      </c>
      <c r="M30">
        <v>3.2951869999999999</v>
      </c>
      <c r="N30">
        <v>3.2834490000000001</v>
      </c>
      <c r="O30">
        <v>3.2714819999999998</v>
      </c>
      <c r="P30">
        <v>3.265336</v>
      </c>
      <c r="Q30">
        <v>3.2669649999999999</v>
      </c>
      <c r="R30">
        <v>3.2481010000000001</v>
      </c>
      <c r="S30">
        <v>3.2397049999999998</v>
      </c>
      <c r="T30">
        <v>3.2369729999999999</v>
      </c>
      <c r="U30">
        <v>3.2437619999999998</v>
      </c>
      <c r="V30">
        <v>3.2572000000000001</v>
      </c>
      <c r="W30">
        <v>3.2688069999999998</v>
      </c>
      <c r="X30">
        <v>3.287957</v>
      </c>
      <c r="Y30">
        <v>3.3153190000000001</v>
      </c>
      <c r="Z30">
        <v>3.3272349999999999</v>
      </c>
      <c r="AA30">
        <v>3.3367930000000001</v>
      </c>
      <c r="AB30">
        <v>3.3480110000000001</v>
      </c>
      <c r="AC30">
        <v>3.3580809999999999</v>
      </c>
      <c r="AD30" s="4">
        <v>6.2325830060438521E-2</v>
      </c>
    </row>
    <row r="31" spans="1:30" x14ac:dyDescent="0.25">
      <c r="A31" t="s">
        <v>77</v>
      </c>
      <c r="B31" t="s">
        <v>54</v>
      </c>
      <c r="C31">
        <v>7.5335789999999996</v>
      </c>
      <c r="D31">
        <v>7.6077690000000002</v>
      </c>
      <c r="E31">
        <v>7.2004089999999996</v>
      </c>
      <c r="F31">
        <v>6.792821</v>
      </c>
      <c r="G31">
        <v>6.6645390000000004</v>
      </c>
      <c r="H31">
        <v>6.8291069999999996</v>
      </c>
      <c r="I31">
        <v>7.1021530000000004</v>
      </c>
      <c r="J31">
        <v>7.3320550000000004</v>
      </c>
      <c r="K31">
        <v>7.8639780000000004</v>
      </c>
      <c r="L31">
        <v>7.9223869999999996</v>
      </c>
      <c r="M31">
        <v>7.5359949999999998</v>
      </c>
      <c r="N31">
        <v>7.1450550000000002</v>
      </c>
      <c r="O31">
        <v>7.0857099999999997</v>
      </c>
      <c r="P31">
        <v>7.3540599999999996</v>
      </c>
      <c r="Q31">
        <v>7.5679790000000002</v>
      </c>
      <c r="R31">
        <v>7.8160410000000002</v>
      </c>
      <c r="S31">
        <v>7.9618510000000002</v>
      </c>
      <c r="T31">
        <v>8.135097</v>
      </c>
      <c r="U31">
        <v>8.2197460000000007</v>
      </c>
      <c r="V31">
        <v>8.4752500000000008</v>
      </c>
      <c r="W31">
        <v>8.6185290000000006</v>
      </c>
      <c r="X31">
        <v>9.1030599999999993</v>
      </c>
      <c r="Y31">
        <v>9.6231069999999992</v>
      </c>
      <c r="Z31">
        <v>9.8130459999999999</v>
      </c>
      <c r="AA31">
        <v>10.006453</v>
      </c>
      <c r="AB31">
        <v>10.233108</v>
      </c>
      <c r="AC31">
        <v>10.400764000000001</v>
      </c>
      <c r="AD31" s="4" cm="1">
        <f t="array" ref="AD31:AD33">(AC31:AC33-C31:C33)/C31:C33</f>
        <v>0.38058736757124351</v>
      </c>
    </row>
    <row r="32" spans="1:30" x14ac:dyDescent="0.25">
      <c r="A32" t="s">
        <v>77</v>
      </c>
      <c r="B32" t="s">
        <v>55</v>
      </c>
      <c r="C32">
        <v>1.3786620000000001</v>
      </c>
      <c r="D32">
        <v>1.451729</v>
      </c>
      <c r="E32">
        <v>1.573942</v>
      </c>
      <c r="F32">
        <v>1.6527620000000001</v>
      </c>
      <c r="G32">
        <v>1.6894039999999999</v>
      </c>
      <c r="H32">
        <v>1.721006</v>
      </c>
      <c r="I32">
        <v>1.7521359999999999</v>
      </c>
      <c r="J32">
        <v>1.8058270000000001</v>
      </c>
      <c r="K32">
        <v>1.9103509999999999</v>
      </c>
      <c r="L32">
        <v>2.0213860000000001</v>
      </c>
      <c r="M32">
        <v>2.1064409999999998</v>
      </c>
      <c r="N32">
        <v>2.2259829999999998</v>
      </c>
      <c r="O32">
        <v>2.288373</v>
      </c>
      <c r="P32">
        <v>2.3161960000000001</v>
      </c>
      <c r="Q32">
        <v>2.3549600000000002</v>
      </c>
      <c r="R32">
        <v>2.3612890000000002</v>
      </c>
      <c r="S32">
        <v>2.400614</v>
      </c>
      <c r="T32">
        <v>2.524899</v>
      </c>
      <c r="U32">
        <v>2.6554099999999998</v>
      </c>
      <c r="V32">
        <v>2.7134149999999999</v>
      </c>
      <c r="W32">
        <v>2.748329</v>
      </c>
      <c r="X32">
        <v>2.7924709999999999</v>
      </c>
      <c r="Y32">
        <v>2.849818</v>
      </c>
      <c r="Z32">
        <v>2.8921429999999999</v>
      </c>
      <c r="AA32">
        <v>2.929859</v>
      </c>
      <c r="AB32">
        <v>2.977214</v>
      </c>
      <c r="AC32">
        <v>3.027104</v>
      </c>
      <c r="AD32" s="4">
        <v>1.1956824805499824</v>
      </c>
    </row>
    <row r="33" spans="1:30" x14ac:dyDescent="0.25">
      <c r="A33" t="s">
        <v>77</v>
      </c>
      <c r="B33" t="s">
        <v>56</v>
      </c>
      <c r="C33">
        <v>3.1610649999999998</v>
      </c>
      <c r="D33">
        <v>3.238934</v>
      </c>
      <c r="E33">
        <v>3.3482440000000002</v>
      </c>
      <c r="F33">
        <v>3.430777</v>
      </c>
      <c r="G33">
        <v>3.504575</v>
      </c>
      <c r="H33">
        <v>3.5740829999999999</v>
      </c>
      <c r="I33">
        <v>3.6428950000000002</v>
      </c>
      <c r="J33">
        <v>3.7290299999999998</v>
      </c>
      <c r="K33">
        <v>3.7949410000000001</v>
      </c>
      <c r="L33">
        <v>3.8631980000000001</v>
      </c>
      <c r="M33">
        <v>3.9244159999999999</v>
      </c>
      <c r="N33">
        <v>3.9781270000000002</v>
      </c>
      <c r="O33">
        <v>4.0316299999999998</v>
      </c>
      <c r="P33">
        <v>4.0961169999999996</v>
      </c>
      <c r="Q33">
        <v>4.174601</v>
      </c>
      <c r="R33">
        <v>4.2315449999999997</v>
      </c>
      <c r="S33">
        <v>4.3085190000000004</v>
      </c>
      <c r="T33">
        <v>4.3997089999999996</v>
      </c>
      <c r="U33">
        <v>4.509665</v>
      </c>
      <c r="V33">
        <v>4.6349580000000001</v>
      </c>
      <c r="W33">
        <v>4.7642139999999999</v>
      </c>
      <c r="X33">
        <v>4.9091969999999998</v>
      </c>
      <c r="Y33">
        <v>5.0712710000000003</v>
      </c>
      <c r="Z33">
        <v>5.2135730000000002</v>
      </c>
      <c r="AA33">
        <v>5.3539659999999998</v>
      </c>
      <c r="AB33">
        <v>5.4993930000000004</v>
      </c>
      <c r="AC33">
        <v>5.6439279999999998</v>
      </c>
      <c r="AD33" s="4">
        <v>0.78545142222636999</v>
      </c>
    </row>
    <row r="34" spans="1:30" x14ac:dyDescent="0.25">
      <c r="A34" t="s">
        <v>57</v>
      </c>
      <c r="B34" t="s">
        <v>58</v>
      </c>
      <c r="C34">
        <v>13.524664</v>
      </c>
      <c r="D34">
        <v>13.142934</v>
      </c>
      <c r="E34">
        <v>11.531193</v>
      </c>
      <c r="F34">
        <v>10.654501</v>
      </c>
      <c r="G34">
        <v>10.789676999999999</v>
      </c>
      <c r="H34">
        <v>11.037405</v>
      </c>
      <c r="I34">
        <v>10.706405</v>
      </c>
      <c r="J34">
        <v>10.211391000000001</v>
      </c>
      <c r="K34">
        <v>5.5478149999999999</v>
      </c>
      <c r="L34">
        <v>4.9223350000000003</v>
      </c>
      <c r="M34">
        <v>4.3018400000000003</v>
      </c>
      <c r="N34">
        <v>4.1451450000000003</v>
      </c>
      <c r="O34">
        <v>3.663983</v>
      </c>
      <c r="P34">
        <v>3.5256479999999999</v>
      </c>
      <c r="Q34">
        <v>3.1959900000000001</v>
      </c>
      <c r="R34">
        <v>3.2677589999999999</v>
      </c>
      <c r="S34">
        <v>3.0988630000000001</v>
      </c>
      <c r="T34">
        <v>2.2963100000000001</v>
      </c>
      <c r="U34">
        <v>2.0469659999999998</v>
      </c>
      <c r="V34">
        <v>1.769779</v>
      </c>
      <c r="W34">
        <v>1.965209</v>
      </c>
      <c r="X34">
        <v>2.009973</v>
      </c>
      <c r="Y34">
        <v>1.998885</v>
      </c>
      <c r="Z34">
        <v>2.0932200000000001</v>
      </c>
      <c r="AA34">
        <v>2.2944520000000002</v>
      </c>
      <c r="AB34">
        <v>2.6230959999999999</v>
      </c>
      <c r="AC34">
        <v>2.8205260000000001</v>
      </c>
      <c r="AD34" s="4" cm="1">
        <f t="array" ref="AD34:AD38">(AC34:AC38-C34:C38)/C34:C38</f>
        <v>-0.79145315550907591</v>
      </c>
    </row>
    <row r="35" spans="1:30" x14ac:dyDescent="0.25">
      <c r="A35" t="s">
        <v>57</v>
      </c>
      <c r="B35" t="s">
        <v>60</v>
      </c>
      <c r="C35">
        <v>49.590443</v>
      </c>
      <c r="D35">
        <v>48.190753999999998</v>
      </c>
      <c r="E35">
        <v>42.281067</v>
      </c>
      <c r="F35">
        <v>39.066490000000002</v>
      </c>
      <c r="G35">
        <v>39.562145000000001</v>
      </c>
      <c r="H35">
        <v>40.47052</v>
      </c>
      <c r="I35">
        <v>39.256816999999998</v>
      </c>
      <c r="J35">
        <v>37.441764999999997</v>
      </c>
      <c r="K35">
        <v>20.341988000000001</v>
      </c>
      <c r="L35">
        <v>18.048552999999998</v>
      </c>
      <c r="M35">
        <v>15.773415999999999</v>
      </c>
      <c r="N35">
        <v>15.198867999999999</v>
      </c>
      <c r="O35">
        <v>13.434608000000001</v>
      </c>
      <c r="P35">
        <v>12.927376000000001</v>
      </c>
      <c r="Q35">
        <v>11.718636999999999</v>
      </c>
      <c r="R35">
        <v>11.981785</v>
      </c>
      <c r="S35">
        <v>11.362501999999999</v>
      </c>
      <c r="T35">
        <v>8.4198050000000002</v>
      </c>
      <c r="U35">
        <v>7.5055339999999999</v>
      </c>
      <c r="V35">
        <v>6.4891839999999998</v>
      </c>
      <c r="W35">
        <v>7.2057640000000003</v>
      </c>
      <c r="X35">
        <v>7.3698980000000001</v>
      </c>
      <c r="Y35">
        <v>7.3292440000000001</v>
      </c>
      <c r="Z35">
        <v>7.6751379999999996</v>
      </c>
      <c r="AA35">
        <v>8.4129889999999996</v>
      </c>
      <c r="AB35">
        <v>9.6180199999999996</v>
      </c>
      <c r="AC35">
        <v>10.341934</v>
      </c>
      <c r="AD35" s="4">
        <v>-0.79145308300633643</v>
      </c>
    </row>
    <row r="36" spans="1:30" x14ac:dyDescent="0.25">
      <c r="A36" t="s">
        <v>57</v>
      </c>
      <c r="B36" t="s">
        <v>61</v>
      </c>
      <c r="C36">
        <v>4.0029999999999996E-3</v>
      </c>
      <c r="D36">
        <v>4.2519999999999997E-3</v>
      </c>
      <c r="E36">
        <v>6.6600000000000001E-3</v>
      </c>
      <c r="F36">
        <v>4.6540000000000002E-3</v>
      </c>
      <c r="G36">
        <v>4.8589999999999996E-3</v>
      </c>
      <c r="H36">
        <v>3.5230000000000001E-3</v>
      </c>
      <c r="I36">
        <v>1.7129999999999999E-3</v>
      </c>
      <c r="J36">
        <v>1.6969999999999999E-3</v>
      </c>
      <c r="K36">
        <v>2.61E-4</v>
      </c>
      <c r="L36">
        <v>2.0799999999999999E-4</v>
      </c>
      <c r="M36">
        <v>2.04E-4</v>
      </c>
      <c r="N36">
        <v>2.0699999999999999E-4</v>
      </c>
      <c r="O36">
        <v>2.14E-4</v>
      </c>
      <c r="P36">
        <v>1.21E-4</v>
      </c>
      <c r="Q36">
        <v>1.18E-4</v>
      </c>
      <c r="R36">
        <v>6.5700000000000003E-4</v>
      </c>
      <c r="S36">
        <v>3.8999999999999999E-4</v>
      </c>
      <c r="T36">
        <v>4.0400000000000001E-4</v>
      </c>
      <c r="U36">
        <v>4.2700000000000002E-4</v>
      </c>
      <c r="V36">
        <v>4.46E-4</v>
      </c>
      <c r="W36">
        <v>4.64E-4</v>
      </c>
      <c r="X36">
        <v>4.7399999999999997E-4</v>
      </c>
      <c r="Y36">
        <v>4.8500000000000003E-4</v>
      </c>
      <c r="Z36">
        <v>4.9299999999999995E-4</v>
      </c>
      <c r="AA36">
        <v>5.0000000000000001E-4</v>
      </c>
      <c r="AB36">
        <v>4.2999999999999999E-4</v>
      </c>
      <c r="AC36">
        <v>3.79E-4</v>
      </c>
      <c r="AD36" s="4">
        <v>-0.90532100924306769</v>
      </c>
    </row>
    <row r="37" spans="1:30" x14ac:dyDescent="0.25">
      <c r="A37" t="s">
        <v>57</v>
      </c>
      <c r="B37" t="s">
        <v>62</v>
      </c>
      <c r="C37">
        <v>4.0076000000000001E-2</v>
      </c>
      <c r="D37">
        <v>4.0009000000000003E-2</v>
      </c>
      <c r="E37">
        <v>3.8717000000000001E-2</v>
      </c>
      <c r="F37">
        <v>3.7262999999999998E-2</v>
      </c>
      <c r="G37">
        <v>3.8363000000000001E-2</v>
      </c>
      <c r="H37">
        <v>3.9356000000000002E-2</v>
      </c>
      <c r="I37">
        <v>4.7160000000000001E-2</v>
      </c>
      <c r="J37">
        <v>3.8996999999999997E-2</v>
      </c>
      <c r="K37">
        <v>7.1840000000000003E-3</v>
      </c>
      <c r="L37">
        <v>6.293E-3</v>
      </c>
      <c r="M37">
        <v>5.6189999999999999E-3</v>
      </c>
      <c r="N37">
        <v>5.6179999999999997E-3</v>
      </c>
      <c r="O37">
        <v>5.4159999999999998E-3</v>
      </c>
      <c r="P37">
        <v>4.6350000000000002E-3</v>
      </c>
      <c r="Q37">
        <v>4.6719999999999999E-3</v>
      </c>
      <c r="R37">
        <v>5.9969999999999997E-3</v>
      </c>
      <c r="S37">
        <v>5.3930000000000002E-3</v>
      </c>
      <c r="T37">
        <v>4.7099999999999998E-3</v>
      </c>
      <c r="U37">
        <v>4.509E-3</v>
      </c>
      <c r="V37">
        <v>4.3499999999999997E-3</v>
      </c>
      <c r="W37">
        <v>4.908E-3</v>
      </c>
      <c r="X37">
        <v>4.2249999999999996E-3</v>
      </c>
      <c r="Y37">
        <v>3.3939999999999999E-3</v>
      </c>
      <c r="Z37">
        <v>3.2959999999999999E-3</v>
      </c>
      <c r="AA37">
        <v>3.46E-3</v>
      </c>
      <c r="AB37">
        <v>3.8779999999999999E-3</v>
      </c>
      <c r="AC37">
        <v>4.1489999999999999E-3</v>
      </c>
      <c r="AD37" s="4">
        <v>-0.89647170376285057</v>
      </c>
    </row>
    <row r="38" spans="1:30" x14ac:dyDescent="0.25">
      <c r="A38" t="s">
        <v>57</v>
      </c>
      <c r="B38" t="s">
        <v>63</v>
      </c>
      <c r="C38">
        <v>5.7015999999999997E-2</v>
      </c>
      <c r="D38">
        <v>6.6115999999999994E-2</v>
      </c>
      <c r="E38">
        <v>6.6210000000000005E-2</v>
      </c>
      <c r="F38">
        <v>5.4428999999999998E-2</v>
      </c>
      <c r="G38">
        <v>6.2253999999999997E-2</v>
      </c>
      <c r="H38">
        <v>6.4558000000000004E-2</v>
      </c>
      <c r="I38">
        <v>6.3346E-2</v>
      </c>
      <c r="J38">
        <v>6.6003000000000006E-2</v>
      </c>
      <c r="K38">
        <v>1.854E-3</v>
      </c>
      <c r="L38">
        <v>1.389E-3</v>
      </c>
      <c r="M38">
        <v>1.284E-3</v>
      </c>
      <c r="N38">
        <v>1.237E-3</v>
      </c>
      <c r="O38">
        <v>1.243E-3</v>
      </c>
      <c r="P38">
        <v>4.9899999999999999E-4</v>
      </c>
      <c r="Q38">
        <v>3.48E-4</v>
      </c>
      <c r="R38">
        <v>9.9999999999999995E-7</v>
      </c>
      <c r="S38">
        <v>9.9999999999999995E-7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 s="4">
        <v>-1</v>
      </c>
    </row>
    <row r="39" spans="1:30" x14ac:dyDescent="0.25">
      <c r="A39" t="s">
        <v>70</v>
      </c>
      <c r="B39" t="s">
        <v>66</v>
      </c>
      <c r="C39" cm="1">
        <f t="array" ref="C39:C42">907185*C34:C37*10^6/(C17*10^9)</f>
        <v>80.095297722500007</v>
      </c>
      <c r="D39" cm="1">
        <f t="array" ref="D39:D42">907185*D34:D37*10^6/(D17*10^9)</f>
        <v>78.131563228688464</v>
      </c>
      <c r="E39" cm="1">
        <f t="array" ref="E39:E42">907185*E34:E37*10^6/(E17*10^9)</f>
        <v>68.630339771516617</v>
      </c>
      <c r="F39" cm="1">
        <f t="array" ref="F39:F42">907185*F34:F37*10^6/(F17*10^9)</f>
        <v>60.712694704714359</v>
      </c>
      <c r="G39" cm="1">
        <f t="array" ref="G39:G42">907185*G34:G37*10^6/(G17*10^9)</f>
        <v>62.094308345575065</v>
      </c>
      <c r="H39" cm="1">
        <f t="array" ref="H39:H42">907185*H34:H37*10^6/(H17*10^9)</f>
        <v>62.822587953031316</v>
      </c>
      <c r="I39" cm="1">
        <f t="array" ref="I39:I42">907185*I34:I37*10^6/(I17*10^9)</f>
        <v>61.334848669191487</v>
      </c>
      <c r="J39" cm="1">
        <f t="array" ref="J39:J42">907185*J34:J37*10^6/(J17*10^9)</f>
        <v>58.599051508796329</v>
      </c>
      <c r="K39" cm="1">
        <f t="array" ref="K39:K42">907185*K34:K37*10^6/(K17*10^9)</f>
        <v>30.250441340977449</v>
      </c>
      <c r="L39" cm="1">
        <f t="array" ref="L39:L42">907185*L34:L37*10^6/(L17*10^9)</f>
        <v>27.015537271047755</v>
      </c>
      <c r="M39" cm="1">
        <f t="array" ref="M39:M42">907185*M34:M37*10^6/(M17*10^9)</f>
        <v>22.012316158468767</v>
      </c>
      <c r="N39" cm="1">
        <f t="array" ref="N39:N42">907185*N34:N37*10^6/(N17*10^9)</f>
        <v>19.665640362909791</v>
      </c>
      <c r="O39" cm="1">
        <f t="array" ref="O39:O42">907185*O34:O37*10^6/(O17*10^9)</f>
        <v>17.392438943319952</v>
      </c>
      <c r="P39" cm="1">
        <f t="array" ref="P39:P42">907185*P34:P37*10^6/(P17*10^9)</f>
        <v>16.648966798766555</v>
      </c>
      <c r="Q39" cm="1">
        <f t="array" ref="Q39:Q42">907185*Q34:Q37*10^6/(Q17*10^9)</f>
        <v>14.826232435470624</v>
      </c>
      <c r="R39" cm="1">
        <f t="array" ref="R39:R42">907185*R34:R37*10^6/(R17*10^9)</f>
        <v>14.835576307832516</v>
      </c>
      <c r="S39" cm="1">
        <f t="array" ref="S39:S42">907185*S34:S37*10^6/(S17*10^9)</f>
        <v>13.941151391142411</v>
      </c>
      <c r="T39" cm="1">
        <f t="array" ref="T39:T42">907185*T34:T37*10^6/(T17*10^9)</f>
        <v>10.226349960203114</v>
      </c>
      <c r="U39" cm="1">
        <f t="array" ref="U39:U42">907185*U34:U37*10^6/(U17*10^9)</f>
        <v>9.100445256522697</v>
      </c>
      <c r="V39" cm="1">
        <f t="array" ref="V39:V42">907185*V34:V37*10^6/(V17*10^9)</f>
        <v>8.0601298416470062</v>
      </c>
      <c r="W39" cm="1">
        <f t="array" ref="W39:W42">907185*W34:W37*10^6/(W17*10^9)</f>
        <v>8.3444959492005051</v>
      </c>
      <c r="X39" cm="1">
        <f t="array" ref="X39:X42">907185*X34:X37*10^6/(X17*10^9)</f>
        <v>8.9328247586592617</v>
      </c>
      <c r="Y39" cm="1">
        <f t="array" ref="Y39:Y42">907185*Y34:Y37*10^6/(Y17*10^9)</f>
        <v>8.835150179090558</v>
      </c>
      <c r="Z39" cm="1">
        <f t="array" ref="Z39:Z42">907185*Z34:Z37*10^6/(Z17*10^9)</f>
        <v>9.0429695834491266</v>
      </c>
      <c r="AA39" cm="1">
        <f t="array" ref="AA39:AA42">907185*AA34:AA37*10^6/(AA17*10^9)</f>
        <v>9.7341489173064097</v>
      </c>
      <c r="AB39" cm="1">
        <f t="array" ref="AB39:AB42">907185*AB34:AB37*10^6/(AB17*10^9)</f>
        <v>10.819817165748596</v>
      </c>
      <c r="AC39" cm="1">
        <f t="array" ref="AC39:AC42">907185*AC34:AC37*10^6/(AC17*10^9)</f>
        <v>11.385168131443045</v>
      </c>
      <c r="AD39" s="4" cm="1">
        <f t="array" ref="AD39:AD43">(AC39:AC43-C39:C43)/C39:C43</f>
        <v>-0.85785472486926306</v>
      </c>
    </row>
    <row r="40" spans="1:30" x14ac:dyDescent="0.25">
      <c r="A40" t="s">
        <v>70</v>
      </c>
      <c r="B40" t="s">
        <v>67</v>
      </c>
      <c r="C40">
        <v>293.68280766721205</v>
      </c>
      <c r="D40">
        <v>286.48237472615864</v>
      </c>
      <c r="E40">
        <v>251.64473390673962</v>
      </c>
      <c r="F40">
        <v>222.61313604032483</v>
      </c>
      <c r="G40">
        <v>227.67910758054674</v>
      </c>
      <c r="H40">
        <v>230.34968837375388</v>
      </c>
      <c r="I40">
        <v>224.89443748196933</v>
      </c>
      <c r="J40">
        <v>214.86317738839369</v>
      </c>
      <c r="K40">
        <v>110.91828309935843</v>
      </c>
      <c r="L40">
        <v>99.056922428071374</v>
      </c>
      <c r="M40">
        <v>80.711839559595376</v>
      </c>
      <c r="N40">
        <v>72.107362230112088</v>
      </c>
      <c r="O40">
        <v>63.772293530684443</v>
      </c>
      <c r="P40">
        <v>61.046211595477381</v>
      </c>
      <c r="Q40">
        <v>54.362884736468544</v>
      </c>
      <c r="R40">
        <v>54.397122208688899</v>
      </c>
      <c r="S40">
        <v>51.117574595636647</v>
      </c>
      <c r="T40">
        <v>37.496623943051233</v>
      </c>
      <c r="U40">
        <v>33.368263707345321</v>
      </c>
      <c r="V40">
        <v>29.553783611591207</v>
      </c>
      <c r="W40">
        <v>30.596475239475716</v>
      </c>
      <c r="X40">
        <v>32.753677448997259</v>
      </c>
      <c r="Y40">
        <v>32.395546236626117</v>
      </c>
      <c r="Z40">
        <v>33.157546499065816</v>
      </c>
      <c r="AA40">
        <v>35.691872292669764</v>
      </c>
      <c r="AB40">
        <v>39.672668440847502</v>
      </c>
      <c r="AC40">
        <v>41.745638010175163</v>
      </c>
      <c r="AD40" s="4">
        <v>-0.85785467545148431</v>
      </c>
    </row>
    <row r="41" spans="1:30" x14ac:dyDescent="0.25">
      <c r="A41" t="s">
        <v>70</v>
      </c>
      <c r="B41" t="s">
        <v>68</v>
      </c>
      <c r="C41">
        <v>2.3706428254570134E-2</v>
      </c>
      <c r="D41">
        <v>2.5277111400573364E-2</v>
      </c>
      <c r="E41">
        <v>3.9638401931031825E-2</v>
      </c>
      <c r="F41">
        <v>2.6519954445143951E-2</v>
      </c>
      <c r="G41">
        <v>2.7963417649216862E-2</v>
      </c>
      <c r="H41">
        <v>2.0052175068191239E-2</v>
      </c>
      <c r="I41">
        <v>9.8134337128405868E-3</v>
      </c>
      <c r="J41">
        <v>9.7383980703928917E-3</v>
      </c>
      <c r="K41">
        <v>1.4231486071534674E-3</v>
      </c>
      <c r="L41">
        <v>1.1415784891475149E-3</v>
      </c>
      <c r="M41">
        <v>1.0438585573446777E-3</v>
      </c>
      <c r="N41">
        <v>9.8206155758660471E-4</v>
      </c>
      <c r="O41">
        <v>1.0158294767935521E-3</v>
      </c>
      <c r="P41">
        <v>5.7139141021756942E-4</v>
      </c>
      <c r="Q41">
        <v>5.4740328580049787E-4</v>
      </c>
      <c r="R41">
        <v>2.9827700372781363E-3</v>
      </c>
      <c r="S41">
        <v>1.7545303043553519E-3</v>
      </c>
      <c r="T41">
        <v>1.7991670915172857E-3</v>
      </c>
      <c r="U41">
        <v>1.8983657396044642E-3</v>
      </c>
      <c r="V41">
        <v>2.0312241863953435E-3</v>
      </c>
      <c r="W41">
        <v>1.9701955977349151E-3</v>
      </c>
      <c r="X41">
        <v>2.1065750314081281E-3</v>
      </c>
      <c r="Y41">
        <v>2.1437190417952609E-3</v>
      </c>
      <c r="Z41">
        <v>2.1298210434834461E-3</v>
      </c>
      <c r="AA41">
        <v>2.1212361202819691E-3</v>
      </c>
      <c r="AB41">
        <v>1.7736756036652477E-3</v>
      </c>
      <c r="AC41">
        <v>1.5298489437136598E-3</v>
      </c>
      <c r="AD41" s="4">
        <v>-0.93546691524824133</v>
      </c>
    </row>
    <row r="42" spans="1:30" x14ac:dyDescent="0.25">
      <c r="A42" t="s">
        <v>70</v>
      </c>
      <c r="B42" t="s">
        <v>69</v>
      </c>
      <c r="C42">
        <v>0.23733670215592126</v>
      </c>
      <c r="D42">
        <v>0.2378438264406256</v>
      </c>
      <c r="E42">
        <v>0.23043243356813198</v>
      </c>
      <c r="F42">
        <v>0.21233628330240631</v>
      </c>
      <c r="G42">
        <v>0.22077805953424706</v>
      </c>
      <c r="H42">
        <v>0.224006074931517</v>
      </c>
      <c r="I42">
        <v>0.27017018908205614</v>
      </c>
      <c r="J42">
        <v>0.22378804334184538</v>
      </c>
      <c r="K42">
        <v>3.9172029094982797E-2</v>
      </c>
      <c r="L42">
        <v>3.4538237654833229E-2</v>
      </c>
      <c r="M42">
        <v>2.8752162910390896E-2</v>
      </c>
      <c r="N42">
        <v>2.6653245558075092E-2</v>
      </c>
      <c r="O42">
        <v>2.5709030122962044E-2</v>
      </c>
      <c r="P42">
        <v>2.1887596581474666E-2</v>
      </c>
      <c r="Q42">
        <v>2.1673458908982424E-2</v>
      </c>
      <c r="R42">
        <v>2.7226289061730562E-2</v>
      </c>
      <c r="S42">
        <v>2.4262004952277982E-2</v>
      </c>
      <c r="T42">
        <v>2.0975438121402016E-2</v>
      </c>
      <c r="U42">
        <v>2.0046208711654634E-2</v>
      </c>
      <c r="V42">
        <v>1.9811267288833503E-2</v>
      </c>
      <c r="W42">
        <v>2.0839913779489145E-2</v>
      </c>
      <c r="X42">
        <v>1.8776960986707468E-2</v>
      </c>
      <c r="Y42">
        <v>1.5001613253305393E-2</v>
      </c>
      <c r="Z42">
        <v>1.4239128112213872E-2</v>
      </c>
      <c r="AA42">
        <v>1.4678953952351227E-2</v>
      </c>
      <c r="AB42">
        <v>1.5996079048869374E-2</v>
      </c>
      <c r="AC42">
        <v>1.6747607565878564E-2</v>
      </c>
      <c r="AD42" s="4">
        <v>-0.92943523941410455</v>
      </c>
    </row>
    <row r="43" spans="1:30" x14ac:dyDescent="0.25">
      <c r="A43" t="s">
        <v>70</v>
      </c>
      <c r="B43" t="s">
        <v>65</v>
      </c>
      <c r="C43">
        <f>907185*C38/(C17*10^9)</f>
        <v>3.3765818470211614E-7</v>
      </c>
      <c r="D43">
        <f>907185*D38/(D17*10^9)</f>
        <v>3.9304362590788067E-7</v>
      </c>
      <c r="E43">
        <f>907185*E38/(E17*10^9)</f>
        <v>3.9406285162967226E-7</v>
      </c>
      <c r="F43">
        <f>907185*F38/(F17*10^9)</f>
        <v>3.1015354544364849E-7</v>
      </c>
      <c r="G43">
        <f>907185*G38/(G17*10^9)</f>
        <v>3.5827013836887148E-7</v>
      </c>
      <c r="H43">
        <f>907185*H38/(H17*10^9)</f>
        <v>3.6745055862965945E-7</v>
      </c>
      <c r="I43">
        <f>907185*I38/(I17*10^9)</f>
        <v>3.6289653938914175E-7</v>
      </c>
      <c r="J43">
        <f>907185*J38/(J17*10^9)</f>
        <v>3.7876457739548738E-7</v>
      </c>
      <c r="K43">
        <f>907185*K38/(K17*10^9)</f>
        <v>1.0109262519779803E-8</v>
      </c>
      <c r="L43">
        <f>907185*L38/(L17*10^9)</f>
        <v>7.6233294299322044E-9</v>
      </c>
      <c r="M43">
        <f>907185*M38/(M17*10^9)</f>
        <v>6.570168566816501E-9</v>
      </c>
      <c r="N43">
        <f>907185*N38/(N17*10^9)</f>
        <v>5.8686480518581154E-9</v>
      </c>
      <c r="O43">
        <f>907185*O38/(O17*10^9)</f>
        <v>5.9003553254877812E-9</v>
      </c>
      <c r="P43">
        <f>907185*P38/(P17*10^9)</f>
        <v>2.356399286765018E-9</v>
      </c>
      <c r="Q43">
        <f>907185*Q38/(Q17*10^9)</f>
        <v>1.6143757920218073E-9</v>
      </c>
      <c r="R43">
        <f>907185*R38/(R17*10^9)</f>
        <v>4.53998483603978E-12</v>
      </c>
      <c r="S43">
        <f>907185*S38/(S17*10^9)</f>
        <v>4.4987956521932097E-12</v>
      </c>
      <c r="T43">
        <f>907185*T38/(T17*10^9)</f>
        <v>0</v>
      </c>
      <c r="U43">
        <f>907185*U38/(U17*10^9)</f>
        <v>0</v>
      </c>
      <c r="V43">
        <f>907185*V38/(V17*10^9)</f>
        <v>0</v>
      </c>
      <c r="W43">
        <f>907185*W38/(W17*10^9)</f>
        <v>0</v>
      </c>
      <c r="X43">
        <f>907185*X38/(X17*10^9)</f>
        <v>0</v>
      </c>
      <c r="Y43">
        <f>907185*Y38/(Y17*10^9)</f>
        <v>0</v>
      </c>
      <c r="Z43">
        <f>907185*Z38/(Z17*10^9)</f>
        <v>0</v>
      </c>
      <c r="AA43">
        <f>907185*AA38/(AA17*10^9)</f>
        <v>0</v>
      </c>
      <c r="AB43">
        <f>907185*AB38/(AB17*10^9)</f>
        <v>0</v>
      </c>
      <c r="AC43">
        <f>907185*AC38/(AC17*10^9)</f>
        <v>0</v>
      </c>
      <c r="AD43" s="4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FRCC</vt:lpstr>
      <vt:lpstr>ISNE</vt:lpstr>
      <vt:lpstr>NYCW</vt:lpstr>
      <vt:lpstr>PJMC</vt:lpstr>
      <vt:lpstr>PJMD</vt:lpstr>
      <vt:lpstr>PJME</vt:lpstr>
      <vt:lpstr>SRCE</vt:lpstr>
      <vt:lpstr>SRSE</vt:lpstr>
      <vt:lpstr>TRE</vt:lpstr>
      <vt:lpstr>BASN</vt:lpstr>
      <vt:lpstr>CANO</vt:lpstr>
      <vt:lpstr>CASO</vt:lpstr>
      <vt:lpstr>RMRG</vt:lpstr>
      <vt:lpstr>SRSG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Aboud Beroual</cp:lastModifiedBy>
  <dcterms:created xsi:type="dcterms:W3CDTF">2025-06-17T15:59:50Z</dcterms:created>
  <dcterms:modified xsi:type="dcterms:W3CDTF">2025-07-07T23:04:51Z</dcterms:modified>
</cp:coreProperties>
</file>