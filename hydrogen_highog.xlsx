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boud\Desktop\hydrogen-dashboard\data\"/>
    </mc:Choice>
  </mc:AlternateContent>
  <xr:revisionPtr revIDLastSave="0" documentId="13_ncr:1_{34553224-2794-45EB-B829-753AAF8ECE99}" xr6:coauthVersionLast="47" xr6:coauthVersionMax="47" xr10:uidLastSave="{00000000-0000-0000-0000-000000000000}"/>
  <bookViews>
    <workbookView xWindow="12690" yWindow="0" windowWidth="13020" windowHeight="20985" tabRatio="837" xr2:uid="{00000000-000D-0000-FFFF-FFFF00000000}"/>
  </bookViews>
  <sheets>
    <sheet name="East North Central" sheetId="1" r:id="rId1"/>
    <sheet name="East South Central" sheetId="2" r:id="rId2"/>
    <sheet name="Middle Atlantic" sheetId="3" r:id="rId3"/>
    <sheet name="Mountain" sheetId="4" r:id="rId4"/>
    <sheet name="New England" sheetId="5" r:id="rId5"/>
    <sheet name="Pacific" sheetId="6" r:id="rId6"/>
    <sheet name="South Atlantic" sheetId="7" r:id="rId7"/>
    <sheet name="West North Central" sheetId="8" r:id="rId8"/>
    <sheet name="West South Central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2" i="2" l="1" a="1"/>
  <c r="AE22" i="2"/>
  <c r="AE22" i="3" a="1"/>
  <c r="AE22" i="3" s="1"/>
  <c r="AE22" i="4" a="1"/>
  <c r="AE22" i="4" s="1"/>
  <c r="AE22" i="5" a="1"/>
  <c r="AE22" i="5" s="1"/>
  <c r="AE22" i="6" a="1"/>
  <c r="AE22" i="6" s="1"/>
  <c r="AE22" i="7" a="1"/>
  <c r="AE22" i="7" s="1"/>
  <c r="AE22" i="8" a="1"/>
  <c r="AE22" i="8" s="1"/>
  <c r="AE22" i="9" a="1"/>
  <c r="AE22" i="9"/>
  <c r="AE22" i="1" a="1"/>
  <c r="AE22" i="1" s="1"/>
  <c r="AE21" i="2"/>
  <c r="AE21" i="3"/>
  <c r="AE21" i="4"/>
  <c r="AE21" i="5"/>
  <c r="AE21" i="6"/>
  <c r="AE21" i="7"/>
  <c r="AE21" i="8"/>
  <c r="AE21" i="9"/>
  <c r="AE21" i="1"/>
  <c r="AE16" i="2" a="1"/>
  <c r="AE16" i="2" s="1"/>
  <c r="AE16" i="3" a="1"/>
  <c r="AE16" i="3" s="1"/>
  <c r="AE16" i="4" a="1"/>
  <c r="AE16" i="4"/>
  <c r="AE16" i="5" a="1"/>
  <c r="AE16" i="5" s="1"/>
  <c r="AE16" i="6" a="1"/>
  <c r="AE16" i="6" s="1"/>
  <c r="AE16" i="7" a="1"/>
  <c r="AE16" i="7" s="1"/>
  <c r="AE16" i="8" a="1"/>
  <c r="AE16" i="8" s="1"/>
  <c r="AE16" i="9" a="1"/>
  <c r="AE16" i="9" s="1"/>
  <c r="AE16" i="1" a="1"/>
  <c r="AE16" i="1"/>
  <c r="AE15" i="2"/>
  <c r="AE15" i="3"/>
  <c r="AE15" i="4"/>
  <c r="AE15" i="5"/>
  <c r="AE15" i="6"/>
  <c r="AE15" i="7"/>
  <c r="AE15" i="8"/>
  <c r="AE15" i="9"/>
  <c r="AE15" i="1"/>
  <c r="AE10" i="2" a="1"/>
  <c r="AE10" i="2"/>
  <c r="AE10" i="3" a="1"/>
  <c r="AE10" i="3" s="1"/>
  <c r="AE10" i="4" a="1"/>
  <c r="AE10" i="4" s="1"/>
  <c r="AE10" i="5" a="1"/>
  <c r="AE10" i="5" s="1"/>
  <c r="AE10" i="6" a="1"/>
  <c r="AE10" i="6" s="1"/>
  <c r="AE10" i="7" a="1"/>
  <c r="AE10" i="7" s="1"/>
  <c r="AE10" i="8" a="1"/>
  <c r="AE10" i="8"/>
  <c r="AE10" i="9" a="1"/>
  <c r="AE10" i="9" s="1"/>
  <c r="AE10" i="1" a="1"/>
  <c r="AE10" i="1"/>
  <c r="AE7" i="2" a="1"/>
  <c r="AE7" i="2" s="1"/>
  <c r="AE7" i="3" a="1"/>
  <c r="AE7" i="3" s="1"/>
  <c r="AE7" i="4" a="1"/>
  <c r="AE7" i="4" s="1"/>
  <c r="AE7" i="5" a="1"/>
  <c r="AE7" i="5" s="1"/>
  <c r="AE7" i="6" a="1"/>
  <c r="AE7" i="6" s="1"/>
  <c r="AE7" i="7" a="1"/>
  <c r="AE7" i="7" s="1"/>
  <c r="AE7" i="8" a="1"/>
  <c r="AE7" i="8" s="1"/>
  <c r="AE7" i="9" a="1"/>
  <c r="AE7" i="9" s="1"/>
  <c r="AE7" i="1" a="1"/>
  <c r="AE7" i="1" s="1"/>
  <c r="AE2" i="2" a="1"/>
  <c r="AE2" i="2" s="1"/>
  <c r="AE2" i="3" a="1"/>
  <c r="AE2" i="3" s="1"/>
  <c r="AE2" i="4" a="1"/>
  <c r="AE2" i="4"/>
  <c r="AE2" i="5" a="1"/>
  <c r="AE2" i="5" s="1"/>
  <c r="AE2" i="6" a="1"/>
  <c r="AE2" i="6"/>
  <c r="AE2" i="7" a="1"/>
  <c r="AE2" i="7" s="1"/>
  <c r="AE2" i="8" a="1"/>
  <c r="AE2" i="8" s="1"/>
  <c r="AE2" i="9" a="1"/>
  <c r="AE2" i="9" s="1"/>
  <c r="AE2" i="1" a="1"/>
  <c r="AE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<sst xmlns="http://schemas.openxmlformats.org/spreadsheetml/2006/main" count="680" uniqueCount="41">
  <si>
    <t>units</t>
  </si>
  <si>
    <t>Growth (2024-2050)</t>
  </si>
  <si>
    <t>Steam Methane Reforming</t>
  </si>
  <si>
    <t>TBtu</t>
  </si>
  <si>
    <t>Steam Methane Reforming with CCS</t>
  </si>
  <si>
    <t>- -</t>
  </si>
  <si>
    <t>Electrolysis</t>
  </si>
  <si>
    <t>Byproduct Hydrogen Supply to Market</t>
  </si>
  <si>
    <t>Total Hydrogen Supply</t>
  </si>
  <si>
    <t>Total Consumption by Fuel</t>
  </si>
  <si>
    <t>Natural Gas</t>
  </si>
  <si>
    <t>Purchased electricity</t>
  </si>
  <si>
    <t>Total Energy Consumed in H2 Production</t>
  </si>
  <si>
    <t>Feedstock</t>
  </si>
  <si>
    <t>Heat and Power</t>
  </si>
  <si>
    <t>Purchased Electricity</t>
  </si>
  <si>
    <t>Total-Steam Methane Reforming (with and without CCS)</t>
  </si>
  <si>
    <t>Consumption (H2) by Sector</t>
  </si>
  <si>
    <t>Industrial Feedstock</t>
  </si>
  <si>
    <t>Refinery</t>
  </si>
  <si>
    <t>0.0%</t>
  </si>
  <si>
    <t>Bulk Chemicals and Other Industrial</t>
  </si>
  <si>
    <t>Transportation</t>
  </si>
  <si>
    <t>Electric Power</t>
  </si>
  <si>
    <t>Prices</t>
  </si>
  <si>
    <t>2024 $/MMBtu</t>
  </si>
  <si>
    <t>H2 Average Market Spot Price ($/MMBtu)</t>
  </si>
  <si>
    <t>Delivered End-Use Prices ($/MMBtu)</t>
  </si>
  <si>
    <t>Industrial</t>
  </si>
  <si>
    <t>0.1%</t>
  </si>
  <si>
    <t>0.6%</t>
  </si>
  <si>
    <t>7.0%</t>
  </si>
  <si>
    <t>0.4%</t>
  </si>
  <si>
    <t>1.8%</t>
  </si>
  <si>
    <t>34.3%</t>
  </si>
  <si>
    <t>0.5%</t>
  </si>
  <si>
    <t>Energy Consumption by SMR (w &amp; w/o CCS) by fuel type</t>
  </si>
  <si>
    <t>Energy Consumption by electrolysis by fuel type</t>
  </si>
  <si>
    <t>H2 Production By Technology (Tbtu)</t>
  </si>
  <si>
    <t>Category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</si>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</sst>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NumberFormat="1" applyBorder="1"/>
    <xf numFmtId="0" fontId="0" fillId="0" borderId="0" xfId="0" applyNumberFormat="1" applyBorder="1"/>
    <xf numFmtId="0" fontId="0" fillId="0" borderId="0" xfId="0" applyNumberFormat="1" applyFont="1" applyBorder="1"/>
    <xf numFmtId="0" fontId="1" fillId="0" borderId="0" xfId="1" applyNumberFormat="1" applyFont="1" applyBorder="1"/>
    <xf numFmtId="0" fontId="2" fillId="0" borderId="0" xfId="0" applyNumberFormat="1" applyFont="1" applyBorder="1"/>
    <xf numFmtId="0" fontId="0" fillId="0" borderId="1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4"/>
  <sheetViews>
    <sheetView tabSelected="1" zoomScale="70" zoomScaleNormal="70" workbookViewId="0">
      <selection activeCell="A42" sqref="A42"/>
    </sheetView>
  </sheetViews>
  <sheetFormatPr defaultColWidth="8.7109375" defaultRowHeight="15" x14ac:dyDescent="0.25"/>
  <cols>
    <col min="1" max="1" width="65.7109375" style="2" bestFit="1" customWidth="1"/>
    <col min="2" max="2" width="54.85546875" style="2" bestFit="1" customWidth="1"/>
    <col min="3" max="3" width="15" style="2" bestFit="1" customWidth="1"/>
    <col min="4" max="30" width="13.5703125" style="2" bestFit="1" customWidth="1"/>
    <col min="31" max="31" width="20.7109375" style="2" bestFit="1" customWidth="1"/>
    <col min="32" max="16384" width="8.7109375" style="2"/>
  </cols>
  <sheetData>
    <row r="1" spans="1:31" s="1" customFormat="1" ht="15.75" thickBot="1" x14ac:dyDescent="0.3">
      <c r="A1" s="6" t="s">
        <v>39</v>
      </c>
      <c r="B1" s="6" t="s">
        <v>40</v>
      </c>
      <c r="C1" s="6" t="s">
        <v>0</v>
      </c>
      <c r="D1" s="6">
        <v>2024</v>
      </c>
      <c r="E1" s="6">
        <v>2025</v>
      </c>
      <c r="F1" s="6">
        <v>2026</v>
      </c>
      <c r="G1" s="6">
        <v>2027</v>
      </c>
      <c r="H1" s="6">
        <v>2028</v>
      </c>
      <c r="I1" s="6">
        <v>2029</v>
      </c>
      <c r="J1" s="6">
        <v>2030</v>
      </c>
      <c r="K1" s="6">
        <v>2031</v>
      </c>
      <c r="L1" s="6">
        <v>2032</v>
      </c>
      <c r="M1" s="6">
        <v>2033</v>
      </c>
      <c r="N1" s="6">
        <v>2034</v>
      </c>
      <c r="O1" s="6">
        <v>2035</v>
      </c>
      <c r="P1" s="6">
        <v>2036</v>
      </c>
      <c r="Q1" s="6">
        <v>2037</v>
      </c>
      <c r="R1" s="6">
        <v>2038</v>
      </c>
      <c r="S1" s="6">
        <v>2039</v>
      </c>
      <c r="T1" s="6">
        <v>2040</v>
      </c>
      <c r="U1" s="6">
        <v>2041</v>
      </c>
      <c r="V1" s="6">
        <v>2042</v>
      </c>
      <c r="W1" s="6">
        <v>2043</v>
      </c>
      <c r="X1" s="6">
        <v>2044</v>
      </c>
      <c r="Y1" s="6">
        <v>2045</v>
      </c>
      <c r="Z1" s="6">
        <v>2046</v>
      </c>
      <c r="AA1" s="6">
        <v>2047</v>
      </c>
      <c r="AB1" s="6">
        <v>2048</v>
      </c>
      <c r="AC1" s="6">
        <v>2049</v>
      </c>
      <c r="AD1" s="6">
        <v>2050</v>
      </c>
      <c r="AE1" s="6" t="s">
        <v>1</v>
      </c>
    </row>
    <row r="2" spans="1:31" ht="15.75" thickTop="1" x14ac:dyDescent="0.25">
      <c r="A2" s="3" t="s">
        <v>38</v>
      </c>
      <c r="B2" s="3" t="s">
        <v>2</v>
      </c>
      <c r="C2" s="3" t="s">
        <v>3</v>
      </c>
      <c r="D2" s="3">
        <v>68.777480999999995</v>
      </c>
      <c r="E2" s="3">
        <v>73.090796999999995</v>
      </c>
      <c r="F2" s="3">
        <v>53.665931999999998</v>
      </c>
      <c r="G2" s="3">
        <v>55.860194999999997</v>
      </c>
      <c r="H2" s="3">
        <v>57.018898</v>
      </c>
      <c r="I2" s="3">
        <v>59.411349999999999</v>
      </c>
      <c r="J2" s="3">
        <v>62.594704</v>
      </c>
      <c r="K2" s="3">
        <v>68.195601999999994</v>
      </c>
      <c r="L2" s="3">
        <v>73.325965999999994</v>
      </c>
      <c r="M2" s="3">
        <v>72.400115999999997</v>
      </c>
      <c r="N2" s="3">
        <v>71.516914</v>
      </c>
      <c r="O2" s="3">
        <v>70.747971000000007</v>
      </c>
      <c r="P2" s="3">
        <v>78.483360000000005</v>
      </c>
      <c r="Q2" s="3">
        <v>87.191588999999993</v>
      </c>
      <c r="R2" s="3">
        <v>115.914711</v>
      </c>
      <c r="S2" s="3">
        <v>123.23736599999999</v>
      </c>
      <c r="T2" s="3">
        <v>130.707886</v>
      </c>
      <c r="U2" s="3">
        <v>137.350266</v>
      </c>
      <c r="V2" s="3">
        <v>144.193848</v>
      </c>
      <c r="W2" s="3">
        <v>149.91871599999999</v>
      </c>
      <c r="X2" s="3">
        <v>155.16369599999999</v>
      </c>
      <c r="Y2" s="3">
        <v>160.17274499999999</v>
      </c>
      <c r="Z2" s="3">
        <v>164.88009600000001</v>
      </c>
      <c r="AA2" s="3">
        <v>205.83497600000001</v>
      </c>
      <c r="AB2" s="3">
        <v>209.852463</v>
      </c>
      <c r="AC2" s="3">
        <v>213.705063</v>
      </c>
      <c r="AD2" s="3">
        <v>216.719345</v>
      </c>
      <c r="AE2" s="4" cm="1">
        <f t="array" ref="AE2:AE6">(AD2:AD6-D2:D6)/D2:D6</f>
        <v>2.1510218439084738</v>
      </c>
    </row>
    <row r="3" spans="1:31" x14ac:dyDescent="0.25">
      <c r="A3" s="3" t="s">
        <v>38</v>
      </c>
      <c r="B3" s="3" t="s">
        <v>4</v>
      </c>
      <c r="C3" s="3" t="s">
        <v>3</v>
      </c>
      <c r="D3" s="3">
        <v>0</v>
      </c>
      <c r="E3" s="3">
        <v>0</v>
      </c>
      <c r="F3" s="3">
        <v>24.663008000000001</v>
      </c>
      <c r="G3" s="3">
        <v>24.663008000000001</v>
      </c>
      <c r="H3" s="3">
        <v>24.663008000000001</v>
      </c>
      <c r="I3" s="3">
        <v>24.663008000000001</v>
      </c>
      <c r="J3" s="3">
        <v>24.663008000000001</v>
      </c>
      <c r="K3" s="3">
        <v>24.663008000000001</v>
      </c>
      <c r="L3" s="3">
        <v>31.30921</v>
      </c>
      <c r="M3" s="3">
        <v>41.996754000000003</v>
      </c>
      <c r="N3" s="3">
        <v>52.920054999999998</v>
      </c>
      <c r="O3" s="3">
        <v>62.101875</v>
      </c>
      <c r="P3" s="3">
        <v>62.101875</v>
      </c>
      <c r="Q3" s="3">
        <v>62.101875</v>
      </c>
      <c r="R3" s="3">
        <v>41.058292000000002</v>
      </c>
      <c r="S3" s="3">
        <v>40.412132</v>
      </c>
      <c r="T3" s="3">
        <v>39.796973999999999</v>
      </c>
      <c r="U3" s="3">
        <v>39.211005999999998</v>
      </c>
      <c r="V3" s="3">
        <v>38.632271000000003</v>
      </c>
      <c r="W3" s="3">
        <v>38.093803000000001</v>
      </c>
      <c r="X3" s="3">
        <v>37.600796000000003</v>
      </c>
      <c r="Y3" s="3">
        <v>37.127377000000003</v>
      </c>
      <c r="Z3" s="3">
        <v>36.710780999999997</v>
      </c>
      <c r="AA3" s="3">
        <v>0</v>
      </c>
      <c r="AB3" s="3">
        <v>0</v>
      </c>
      <c r="AC3" s="3">
        <v>0</v>
      </c>
      <c r="AD3" s="3">
        <v>0</v>
      </c>
      <c r="AE3" s="4" t="e">
        <v>#DIV/0!</v>
      </c>
    </row>
    <row r="4" spans="1:31" x14ac:dyDescent="0.25">
      <c r="A4" s="3" t="s">
        <v>38</v>
      </c>
      <c r="B4" s="3" t="s">
        <v>6</v>
      </c>
      <c r="C4" s="3" t="s">
        <v>3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4" t="e">
        <v>#DIV/0!</v>
      </c>
    </row>
    <row r="5" spans="1:31" x14ac:dyDescent="0.25">
      <c r="A5" s="3" t="s">
        <v>38</v>
      </c>
      <c r="B5" s="3" t="s">
        <v>7</v>
      </c>
      <c r="C5" s="3" t="s">
        <v>3</v>
      </c>
      <c r="D5" s="3">
        <v>60.016621000000001</v>
      </c>
      <c r="E5" s="3">
        <v>59.496746000000002</v>
      </c>
      <c r="F5" s="3">
        <v>59.149783999999997</v>
      </c>
      <c r="G5" s="3">
        <v>59.318356000000001</v>
      </c>
      <c r="H5" s="3">
        <v>59.323169999999998</v>
      </c>
      <c r="I5" s="3">
        <v>59.378067000000001</v>
      </c>
      <c r="J5" s="3">
        <v>59.461875999999997</v>
      </c>
      <c r="K5" s="3">
        <v>59.408057999999997</v>
      </c>
      <c r="L5" s="3">
        <v>58.425575000000002</v>
      </c>
      <c r="M5" s="3">
        <v>57.880569000000001</v>
      </c>
      <c r="N5" s="3">
        <v>56.725372</v>
      </c>
      <c r="O5" s="3">
        <v>55.798099999999998</v>
      </c>
      <c r="P5" s="3">
        <v>55.341056999999999</v>
      </c>
      <c r="Q5" s="3">
        <v>54.064095000000002</v>
      </c>
      <c r="R5" s="3">
        <v>53.498604</v>
      </c>
      <c r="S5" s="3">
        <v>53.318953999999998</v>
      </c>
      <c r="T5" s="3">
        <v>52.606521999999998</v>
      </c>
      <c r="U5" s="3">
        <v>52.344833000000001</v>
      </c>
      <c r="V5" s="3">
        <v>51.83672</v>
      </c>
      <c r="W5" s="3">
        <v>52.086959999999998</v>
      </c>
      <c r="X5" s="3">
        <v>52.194813000000003</v>
      </c>
      <c r="Y5" s="3">
        <v>52.441943999999999</v>
      </c>
      <c r="Z5" s="3">
        <v>52.436638000000002</v>
      </c>
      <c r="AA5" s="3">
        <v>51.645653000000003</v>
      </c>
      <c r="AB5" s="3">
        <v>51.371403000000001</v>
      </c>
      <c r="AC5" s="3">
        <v>50.558413999999999</v>
      </c>
      <c r="AD5" s="3">
        <v>50.26099</v>
      </c>
      <c r="AE5" s="4">
        <v>-0.16254882126736195</v>
      </c>
    </row>
    <row r="6" spans="1:31" x14ac:dyDescent="0.25">
      <c r="A6" s="3" t="s">
        <v>38</v>
      </c>
      <c r="B6" s="3" t="s">
        <v>8</v>
      </c>
      <c r="C6" s="3" t="s">
        <v>3</v>
      </c>
      <c r="D6" s="3">
        <v>128.79409799999999</v>
      </c>
      <c r="E6" s="3">
        <v>132.58753999999999</v>
      </c>
      <c r="F6" s="3">
        <v>137.478714</v>
      </c>
      <c r="G6" s="3">
        <v>139.841568</v>
      </c>
      <c r="H6" s="3">
        <v>141.00508099999999</v>
      </c>
      <c r="I6" s="3">
        <v>143.45242300000001</v>
      </c>
      <c r="J6" s="3">
        <v>146.71957399999999</v>
      </c>
      <c r="K6" s="3">
        <v>152.26666299999999</v>
      </c>
      <c r="L6" s="3">
        <v>163.06075999999999</v>
      </c>
      <c r="M6" s="3">
        <v>172.277435</v>
      </c>
      <c r="N6" s="3">
        <v>181.16235399999999</v>
      </c>
      <c r="O6" s="3">
        <v>188.64793399999999</v>
      </c>
      <c r="P6" s="3">
        <v>195.9263</v>
      </c>
      <c r="Q6" s="3">
        <v>203.357574</v>
      </c>
      <c r="R6" s="3">
        <v>210.471588</v>
      </c>
      <c r="S6" s="3">
        <v>216.968445</v>
      </c>
      <c r="T6" s="3">
        <v>223.111389</v>
      </c>
      <c r="U6" s="3">
        <v>228.90609699999999</v>
      </c>
      <c r="V6" s="3">
        <v>234.662811</v>
      </c>
      <c r="W6" s="3">
        <v>240.09947199999999</v>
      </c>
      <c r="X6" s="3">
        <v>244.959305</v>
      </c>
      <c r="Y6" s="3">
        <v>249.742065</v>
      </c>
      <c r="Z6" s="3">
        <v>254.02752699999999</v>
      </c>
      <c r="AA6" s="3">
        <v>257.48062099999999</v>
      </c>
      <c r="AB6" s="3">
        <v>261.22387700000002</v>
      </c>
      <c r="AC6" s="3">
        <v>264.26348899999999</v>
      </c>
      <c r="AD6" s="3">
        <v>266.98034699999999</v>
      </c>
      <c r="AE6" s="4">
        <v>1.0729237686031234</v>
      </c>
    </row>
    <row r="7" spans="1:31" x14ac:dyDescent="0.25">
      <c r="A7" s="3" t="s">
        <v>9</v>
      </c>
      <c r="B7" s="3" t="s">
        <v>10</v>
      </c>
      <c r="C7" s="3" t="s">
        <v>3</v>
      </c>
      <c r="D7" s="3">
        <v>94.433632000000003</v>
      </c>
      <c r="E7" s="3">
        <v>100.355949</v>
      </c>
      <c r="F7" s="3">
        <v>109.844818</v>
      </c>
      <c r="G7" s="3">
        <v>112.857613</v>
      </c>
      <c r="H7" s="3">
        <v>114.448547</v>
      </c>
      <c r="I7" s="3">
        <v>117.733459</v>
      </c>
      <c r="J7" s="3">
        <v>122.10430100000001</v>
      </c>
      <c r="K7" s="3">
        <v>129.79451</v>
      </c>
      <c r="L7" s="3">
        <v>146.583023</v>
      </c>
      <c r="M7" s="3">
        <v>160.981415</v>
      </c>
      <c r="N7" s="3">
        <v>175.78402700000001</v>
      </c>
      <c r="O7" s="3">
        <v>188.19021599999999</v>
      </c>
      <c r="P7" s="3">
        <v>198.81114199999999</v>
      </c>
      <c r="Q7" s="3">
        <v>210.767822</v>
      </c>
      <c r="R7" s="3">
        <v>219.352386</v>
      </c>
      <c r="S7" s="3">
        <v>228.45924400000001</v>
      </c>
      <c r="T7" s="3">
        <v>237.81459000000001</v>
      </c>
      <c r="U7" s="3">
        <v>246.07566800000001</v>
      </c>
      <c r="V7" s="3">
        <v>254.623581</v>
      </c>
      <c r="W7" s="3">
        <v>261.69454999999999</v>
      </c>
      <c r="X7" s="3">
        <v>268.173248</v>
      </c>
      <c r="Y7" s="3">
        <v>274.35672</v>
      </c>
      <c r="Z7" s="3">
        <v>280.20925899999997</v>
      </c>
      <c r="AA7" s="3">
        <v>282.61785900000001</v>
      </c>
      <c r="AB7" s="3">
        <v>288.13397200000003</v>
      </c>
      <c r="AC7" s="3">
        <v>293.42370599999998</v>
      </c>
      <c r="AD7" s="3">
        <v>297.56243899999998</v>
      </c>
      <c r="AE7" s="4" cm="1">
        <f t="array" ref="AE7:AE9">(AD7:AD9-D7:D9)/D7:D9</f>
        <v>2.151021862634702</v>
      </c>
    </row>
    <row r="8" spans="1:31" x14ac:dyDescent="0.25">
      <c r="A8" s="3" t="s">
        <v>9</v>
      </c>
      <c r="B8" s="3" t="s">
        <v>11</v>
      </c>
      <c r="C8" s="3" t="s">
        <v>3</v>
      </c>
      <c r="D8" s="3">
        <v>0.22937399999999999</v>
      </c>
      <c r="E8" s="3">
        <v>0.243759</v>
      </c>
      <c r="F8" s="3">
        <v>1.1212329999999999</v>
      </c>
      <c r="G8" s="3">
        <v>1.1285510000000001</v>
      </c>
      <c r="H8" s="3">
        <v>1.1324149999999999</v>
      </c>
      <c r="I8" s="3">
        <v>1.1403939999999999</v>
      </c>
      <c r="J8" s="3">
        <v>1.151011</v>
      </c>
      <c r="K8" s="3">
        <v>1.1696899999999999</v>
      </c>
      <c r="L8" s="3">
        <v>1.44072</v>
      </c>
      <c r="M8" s="3">
        <v>1.845952</v>
      </c>
      <c r="N8" s="3">
        <v>2.2603339999999998</v>
      </c>
      <c r="O8" s="3">
        <v>2.6085639999999999</v>
      </c>
      <c r="P8" s="3">
        <v>2.6343610000000002</v>
      </c>
      <c r="Q8" s="3">
        <v>2.6634039999999999</v>
      </c>
      <c r="R8" s="3">
        <v>1.95522</v>
      </c>
      <c r="S8" s="3">
        <v>1.9549540000000001</v>
      </c>
      <c r="T8" s="3">
        <v>1.956366</v>
      </c>
      <c r="U8" s="3">
        <v>1.956132</v>
      </c>
      <c r="V8" s="3">
        <v>1.9568449999999999</v>
      </c>
      <c r="W8" s="3">
        <v>1.955365</v>
      </c>
      <c r="X8" s="3">
        <v>1.954021</v>
      </c>
      <c r="Y8" s="3">
        <v>1.952639</v>
      </c>
      <c r="Z8" s="3">
        <v>1.9524220000000001</v>
      </c>
      <c r="AA8" s="3">
        <v>0.68646300000000005</v>
      </c>
      <c r="AB8" s="3">
        <v>0.69986099999999996</v>
      </c>
      <c r="AC8" s="3">
        <v>0.71270999999999995</v>
      </c>
      <c r="AD8" s="3">
        <v>0.72276300000000004</v>
      </c>
      <c r="AE8" s="4">
        <v>2.1510240916581655</v>
      </c>
    </row>
    <row r="9" spans="1:31" x14ac:dyDescent="0.25">
      <c r="A9" s="3" t="s">
        <v>9</v>
      </c>
      <c r="B9" s="3" t="s">
        <v>12</v>
      </c>
      <c r="C9" s="3" t="s">
        <v>3</v>
      </c>
      <c r="D9" s="3">
        <v>94.66301</v>
      </c>
      <c r="E9" s="3">
        <v>100.599709</v>
      </c>
      <c r="F9" s="3">
        <v>110.966049</v>
      </c>
      <c r="G9" s="3">
        <v>113.98616</v>
      </c>
      <c r="H9" s="3">
        <v>115.580963</v>
      </c>
      <c r="I9" s="3">
        <v>118.873856</v>
      </c>
      <c r="J9" s="3">
        <v>123.25530999999999</v>
      </c>
      <c r="K9" s="3">
        <v>130.964203</v>
      </c>
      <c r="L9" s="3">
        <v>148.023743</v>
      </c>
      <c r="M9" s="3">
        <v>162.82736199999999</v>
      </c>
      <c r="N9" s="3">
        <v>178.04435699999999</v>
      </c>
      <c r="O9" s="3">
        <v>190.79878199999999</v>
      </c>
      <c r="P9" s="3">
        <v>201.44549599999999</v>
      </c>
      <c r="Q9" s="3">
        <v>213.431229</v>
      </c>
      <c r="R9" s="3">
        <v>221.307602</v>
      </c>
      <c r="S9" s="3">
        <v>230.41419999999999</v>
      </c>
      <c r="T9" s="3">
        <v>239.77095</v>
      </c>
      <c r="U9" s="3">
        <v>248.03179900000001</v>
      </c>
      <c r="V9" s="3">
        <v>256.58041400000002</v>
      </c>
      <c r="W9" s="3">
        <v>263.649902</v>
      </c>
      <c r="X9" s="3">
        <v>270.12725799999998</v>
      </c>
      <c r="Y9" s="3">
        <v>276.30935699999998</v>
      </c>
      <c r="Z9" s="3">
        <v>282.16168199999998</v>
      </c>
      <c r="AA9" s="3">
        <v>283.30432100000002</v>
      </c>
      <c r="AB9" s="3">
        <v>288.83383199999997</v>
      </c>
      <c r="AC9" s="3">
        <v>294.136414</v>
      </c>
      <c r="AD9" s="3">
        <v>298.28518700000001</v>
      </c>
      <c r="AE9" s="4">
        <v>2.1510215764320195</v>
      </c>
    </row>
    <row r="10" spans="1:31" x14ac:dyDescent="0.25">
      <c r="A10" s="3" t="s">
        <v>36</v>
      </c>
      <c r="B10" s="3" t="s">
        <v>10</v>
      </c>
      <c r="C10" s="3" t="s">
        <v>3</v>
      </c>
      <c r="D10" s="3">
        <v>94.433632000000003</v>
      </c>
      <c r="E10" s="3">
        <v>100.355949</v>
      </c>
      <c r="F10" s="3">
        <v>109.844818</v>
      </c>
      <c r="G10" s="3">
        <v>112.857613</v>
      </c>
      <c r="H10" s="3">
        <v>114.448547</v>
      </c>
      <c r="I10" s="3">
        <v>117.733459</v>
      </c>
      <c r="J10" s="3">
        <v>122.10430100000001</v>
      </c>
      <c r="K10" s="3">
        <v>129.79451</v>
      </c>
      <c r="L10" s="3">
        <v>146.583023</v>
      </c>
      <c r="M10" s="3">
        <v>160.981415</v>
      </c>
      <c r="N10" s="3">
        <v>175.78402700000001</v>
      </c>
      <c r="O10" s="3">
        <v>188.19021599999999</v>
      </c>
      <c r="P10" s="3">
        <v>198.81114199999999</v>
      </c>
      <c r="Q10" s="3">
        <v>210.767822</v>
      </c>
      <c r="R10" s="3">
        <v>219.352386</v>
      </c>
      <c r="S10" s="3">
        <v>228.45924400000001</v>
      </c>
      <c r="T10" s="3">
        <v>237.81459000000001</v>
      </c>
      <c r="U10" s="3">
        <v>246.07566800000001</v>
      </c>
      <c r="V10" s="3">
        <v>254.623581</v>
      </c>
      <c r="W10" s="3">
        <v>261.69454999999999</v>
      </c>
      <c r="X10" s="3">
        <v>268.173248</v>
      </c>
      <c r="Y10" s="3">
        <v>274.35672</v>
      </c>
      <c r="Z10" s="3">
        <v>280.20925899999997</v>
      </c>
      <c r="AA10" s="3">
        <v>282.61785900000001</v>
      </c>
      <c r="AB10" s="3">
        <v>288.13397200000003</v>
      </c>
      <c r="AC10" s="3">
        <v>293.42370599999998</v>
      </c>
      <c r="AD10" s="3">
        <v>297.56243899999998</v>
      </c>
      <c r="AE10" s="4" cm="1">
        <f t="array" ref="AE10:AE14">(AD10:AD14-D10:D14)/D10:D14</f>
        <v>2.151021862634702</v>
      </c>
    </row>
    <row r="11" spans="1:31" x14ac:dyDescent="0.25">
      <c r="A11" s="3" t="s">
        <v>36</v>
      </c>
      <c r="B11" s="3" t="s">
        <v>13</v>
      </c>
      <c r="C11" s="3" t="s">
        <v>3</v>
      </c>
      <c r="D11" s="3">
        <v>80.599074999999999</v>
      </c>
      <c r="E11" s="3">
        <v>85.653778000000003</v>
      </c>
      <c r="F11" s="3">
        <v>93.721519000000001</v>
      </c>
      <c r="G11" s="3">
        <v>96.292938000000007</v>
      </c>
      <c r="H11" s="3">
        <v>97.650795000000002</v>
      </c>
      <c r="I11" s="3">
        <v>100.45446800000001</v>
      </c>
      <c r="J11" s="3">
        <v>104.18498200000001</v>
      </c>
      <c r="K11" s="3">
        <v>110.74857299999999</v>
      </c>
      <c r="L11" s="3">
        <v>125.069214</v>
      </c>
      <c r="M11" s="3">
        <v>137.34480300000001</v>
      </c>
      <c r="N11" s="3">
        <v>149.96508800000001</v>
      </c>
      <c r="O11" s="3">
        <v>160.542236</v>
      </c>
      <c r="P11" s="3">
        <v>169.607193</v>
      </c>
      <c r="Q11" s="3">
        <v>179.81220999999999</v>
      </c>
      <c r="R11" s="3">
        <v>187.16558800000001</v>
      </c>
      <c r="S11" s="3">
        <v>194.939087</v>
      </c>
      <c r="T11" s="3">
        <v>202.92465200000001</v>
      </c>
      <c r="U11" s="3">
        <v>209.976212</v>
      </c>
      <c r="V11" s="3">
        <v>217.272583</v>
      </c>
      <c r="W11" s="3">
        <v>223.308334</v>
      </c>
      <c r="X11" s="3">
        <v>228.838516</v>
      </c>
      <c r="Y11" s="3">
        <v>234.11669900000001</v>
      </c>
      <c r="Z11" s="3">
        <v>239.11236600000001</v>
      </c>
      <c r="AA11" s="3">
        <v>241.214249</v>
      </c>
      <c r="AB11" s="3">
        <v>245.92227199999999</v>
      </c>
      <c r="AC11" s="3">
        <v>250.43705700000001</v>
      </c>
      <c r="AD11" s="3">
        <v>253.96946700000001</v>
      </c>
      <c r="AE11" s="4">
        <v>2.1510221054025744</v>
      </c>
    </row>
    <row r="12" spans="1:31" x14ac:dyDescent="0.25">
      <c r="A12" s="3" t="s">
        <v>36</v>
      </c>
      <c r="B12" s="3" t="s">
        <v>14</v>
      </c>
      <c r="C12" s="3" t="s">
        <v>3</v>
      </c>
      <c r="D12" s="3">
        <v>13.834552</v>
      </c>
      <c r="E12" s="3">
        <v>14.702173999999999</v>
      </c>
      <c r="F12" s="3">
        <v>16.123301000000001</v>
      </c>
      <c r="G12" s="3">
        <v>16.564675999999999</v>
      </c>
      <c r="H12" s="3">
        <v>16.797749</v>
      </c>
      <c r="I12" s="3">
        <v>17.27899</v>
      </c>
      <c r="J12" s="3">
        <v>17.919319000000002</v>
      </c>
      <c r="K12" s="3">
        <v>19.045936999999999</v>
      </c>
      <c r="L12" s="3">
        <v>21.513815000000001</v>
      </c>
      <c r="M12" s="3">
        <v>23.636617999999999</v>
      </c>
      <c r="N12" s="3">
        <v>25.818935</v>
      </c>
      <c r="O12" s="3">
        <v>27.647988999999999</v>
      </c>
      <c r="P12" s="3">
        <v>29.203959000000001</v>
      </c>
      <c r="Q12" s="3">
        <v>30.955615999999999</v>
      </c>
      <c r="R12" s="3">
        <v>32.186802</v>
      </c>
      <c r="S12" s="3">
        <v>33.520144999999999</v>
      </c>
      <c r="T12" s="3">
        <v>34.889935000000001</v>
      </c>
      <c r="U12" s="3">
        <v>36.099445000000003</v>
      </c>
      <c r="V12" s="3">
        <v>37.350990000000003</v>
      </c>
      <c r="W12" s="3">
        <v>38.386211000000003</v>
      </c>
      <c r="X12" s="3">
        <v>39.334724000000001</v>
      </c>
      <c r="Y12" s="3">
        <v>40.240009000000001</v>
      </c>
      <c r="Z12" s="3">
        <v>41.096882000000001</v>
      </c>
      <c r="AA12" s="3">
        <v>41.403590999999999</v>
      </c>
      <c r="AB12" s="3">
        <v>42.211708000000002</v>
      </c>
      <c r="AC12" s="3">
        <v>42.986651999999999</v>
      </c>
      <c r="AD12" s="3">
        <v>43.592979</v>
      </c>
      <c r="AE12" s="4">
        <v>2.1510220930898232</v>
      </c>
    </row>
    <row r="13" spans="1:31" x14ac:dyDescent="0.25">
      <c r="A13" s="3" t="s">
        <v>36</v>
      </c>
      <c r="B13" s="3" t="s">
        <v>15</v>
      </c>
      <c r="C13" s="3" t="s">
        <v>3</v>
      </c>
      <c r="D13" s="3">
        <v>0.22937399999999999</v>
      </c>
      <c r="E13" s="3">
        <v>0.243759</v>
      </c>
      <c r="F13" s="3">
        <v>1.1212329999999999</v>
      </c>
      <c r="G13" s="3">
        <v>1.1285510000000001</v>
      </c>
      <c r="H13" s="3">
        <v>1.1324149999999999</v>
      </c>
      <c r="I13" s="3">
        <v>1.1403939999999999</v>
      </c>
      <c r="J13" s="3">
        <v>1.151011</v>
      </c>
      <c r="K13" s="3">
        <v>1.1696899999999999</v>
      </c>
      <c r="L13" s="3">
        <v>1.44072</v>
      </c>
      <c r="M13" s="3">
        <v>1.845952</v>
      </c>
      <c r="N13" s="3">
        <v>2.2603339999999998</v>
      </c>
      <c r="O13" s="3">
        <v>2.6085639999999999</v>
      </c>
      <c r="P13" s="3">
        <v>2.6343610000000002</v>
      </c>
      <c r="Q13" s="3">
        <v>2.6634039999999999</v>
      </c>
      <c r="R13" s="3">
        <v>1.95522</v>
      </c>
      <c r="S13" s="3">
        <v>1.9549540000000001</v>
      </c>
      <c r="T13" s="3">
        <v>1.956366</v>
      </c>
      <c r="U13" s="3">
        <v>1.956132</v>
      </c>
      <c r="V13" s="3">
        <v>1.9568449999999999</v>
      </c>
      <c r="W13" s="3">
        <v>1.955365</v>
      </c>
      <c r="X13" s="3">
        <v>1.954021</v>
      </c>
      <c r="Y13" s="3">
        <v>1.952639</v>
      </c>
      <c r="Z13" s="3">
        <v>1.9524220000000001</v>
      </c>
      <c r="AA13" s="3">
        <v>0.68646300000000005</v>
      </c>
      <c r="AB13" s="3">
        <v>0.69986099999999996</v>
      </c>
      <c r="AC13" s="3">
        <v>0.71270999999999995</v>
      </c>
      <c r="AD13" s="3">
        <v>0.72276300000000004</v>
      </c>
      <c r="AE13" s="4">
        <v>2.1510240916581655</v>
      </c>
    </row>
    <row r="14" spans="1:31" x14ac:dyDescent="0.25">
      <c r="A14" s="3" t="s">
        <v>36</v>
      </c>
      <c r="B14" s="3" t="s">
        <v>16</v>
      </c>
      <c r="C14" s="3" t="s">
        <v>3</v>
      </c>
      <c r="D14" s="3">
        <v>94.66301</v>
      </c>
      <c r="E14" s="3">
        <v>100.599709</v>
      </c>
      <c r="F14" s="3">
        <v>110.966049</v>
      </c>
      <c r="G14" s="3">
        <v>113.98616</v>
      </c>
      <c r="H14" s="3">
        <v>115.580963</v>
      </c>
      <c r="I14" s="3">
        <v>118.873856</v>
      </c>
      <c r="J14" s="3">
        <v>123.25530999999999</v>
      </c>
      <c r="K14" s="3">
        <v>130.964203</v>
      </c>
      <c r="L14" s="3">
        <v>148.023743</v>
      </c>
      <c r="M14" s="3">
        <v>162.82736199999999</v>
      </c>
      <c r="N14" s="3">
        <v>178.04435699999999</v>
      </c>
      <c r="O14" s="3">
        <v>190.79878199999999</v>
      </c>
      <c r="P14" s="3">
        <v>201.44549599999999</v>
      </c>
      <c r="Q14" s="3">
        <v>213.431229</v>
      </c>
      <c r="R14" s="3">
        <v>221.307602</v>
      </c>
      <c r="S14" s="3">
        <v>230.41419999999999</v>
      </c>
      <c r="T14" s="3">
        <v>239.77095</v>
      </c>
      <c r="U14" s="3">
        <v>248.03179900000001</v>
      </c>
      <c r="V14" s="3">
        <v>256.58041400000002</v>
      </c>
      <c r="W14" s="3">
        <v>263.649902</v>
      </c>
      <c r="X14" s="3">
        <v>270.12725799999998</v>
      </c>
      <c r="Y14" s="3">
        <v>276.30935699999998</v>
      </c>
      <c r="Z14" s="3">
        <v>282.16168199999998</v>
      </c>
      <c r="AA14" s="3">
        <v>283.30432100000002</v>
      </c>
      <c r="AB14" s="3">
        <v>288.83383199999997</v>
      </c>
      <c r="AC14" s="3">
        <v>294.136414</v>
      </c>
      <c r="AD14" s="3">
        <v>298.28518700000001</v>
      </c>
      <c r="AE14" s="4">
        <v>2.1510215764320195</v>
      </c>
    </row>
    <row r="15" spans="1:31" x14ac:dyDescent="0.25">
      <c r="A15" s="3" t="s">
        <v>37</v>
      </c>
      <c r="B15" s="3" t="s">
        <v>15</v>
      </c>
      <c r="C15" s="3" t="s">
        <v>3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4" t="e">
        <f>(AD15-D15)/D15</f>
        <v>#DIV/0!</v>
      </c>
    </row>
    <row r="16" spans="1:31" x14ac:dyDescent="0.25">
      <c r="A16" s="3" t="s">
        <v>17</v>
      </c>
      <c r="B16" s="3" t="s">
        <v>18</v>
      </c>
      <c r="C16" s="3" t="s">
        <v>3</v>
      </c>
      <c r="D16" s="3">
        <v>128.72511299999999</v>
      </c>
      <c r="E16" s="3">
        <v>132.16262800000001</v>
      </c>
      <c r="F16" s="3">
        <v>136.36506700000001</v>
      </c>
      <c r="G16" s="3">
        <v>137.82081600000001</v>
      </c>
      <c r="H16" s="3">
        <v>137.61144999999999</v>
      </c>
      <c r="I16" s="3">
        <v>138.44523599999999</v>
      </c>
      <c r="J16" s="3">
        <v>139.842163</v>
      </c>
      <c r="K16" s="3">
        <v>141.11244199999999</v>
      </c>
      <c r="L16" s="3">
        <v>142.310303</v>
      </c>
      <c r="M16" s="3">
        <v>143.02243000000001</v>
      </c>
      <c r="N16" s="3">
        <v>144.14305100000001</v>
      </c>
      <c r="O16" s="3">
        <v>145.03616299999999</v>
      </c>
      <c r="P16" s="3">
        <v>145.814041</v>
      </c>
      <c r="Q16" s="3">
        <v>146.86132799999999</v>
      </c>
      <c r="R16" s="3">
        <v>148.03900100000001</v>
      </c>
      <c r="S16" s="3">
        <v>148.947067</v>
      </c>
      <c r="T16" s="3">
        <v>149.699173</v>
      </c>
      <c r="U16" s="3">
        <v>150.45832799999999</v>
      </c>
      <c r="V16" s="3">
        <v>151.44326799999999</v>
      </c>
      <c r="W16" s="3">
        <v>152.246307</v>
      </c>
      <c r="X16" s="3">
        <v>153.26252700000001</v>
      </c>
      <c r="Y16" s="3">
        <v>154.30624399999999</v>
      </c>
      <c r="Z16" s="3">
        <v>154.934967</v>
      </c>
      <c r="AA16" s="3">
        <v>155.69293200000001</v>
      </c>
      <c r="AB16" s="3">
        <v>156.44989000000001</v>
      </c>
      <c r="AC16" s="3">
        <v>157.279236</v>
      </c>
      <c r="AD16" s="3">
        <v>157.851944</v>
      </c>
      <c r="AE16" s="4" cm="1">
        <f t="array" ref="AE16:AE20">(AD16:AD20-D16:D20)/D16:D20</f>
        <v>0.22627155122404136</v>
      </c>
    </row>
    <row r="17" spans="1:31" x14ac:dyDescent="0.25">
      <c r="A17" s="3" t="s">
        <v>17</v>
      </c>
      <c r="B17" s="3" t="s">
        <v>19</v>
      </c>
      <c r="C17" s="3" t="s">
        <v>3</v>
      </c>
      <c r="D17" s="3">
        <v>62.953136000000001</v>
      </c>
      <c r="E17" s="3">
        <v>62.953136000000001</v>
      </c>
      <c r="F17" s="3">
        <v>62.953136000000001</v>
      </c>
      <c r="G17" s="3">
        <v>62.953136000000001</v>
      </c>
      <c r="H17" s="3">
        <v>62.953136000000001</v>
      </c>
      <c r="I17" s="3">
        <v>62.953136000000001</v>
      </c>
      <c r="J17" s="3">
        <v>62.953136000000001</v>
      </c>
      <c r="K17" s="3">
        <v>62.953136000000001</v>
      </c>
      <c r="L17" s="3">
        <v>62.953136000000001</v>
      </c>
      <c r="M17" s="3">
        <v>62.953136000000001</v>
      </c>
      <c r="N17" s="3">
        <v>62.953136000000001</v>
      </c>
      <c r="O17" s="3">
        <v>62.953136000000001</v>
      </c>
      <c r="P17" s="3">
        <v>62.953136000000001</v>
      </c>
      <c r="Q17" s="3">
        <v>62.953136000000001</v>
      </c>
      <c r="R17" s="3">
        <v>62.953136000000001</v>
      </c>
      <c r="S17" s="3">
        <v>62.953136000000001</v>
      </c>
      <c r="T17" s="3">
        <v>62.953136000000001</v>
      </c>
      <c r="U17" s="3">
        <v>62.953136000000001</v>
      </c>
      <c r="V17" s="3">
        <v>62.953136000000001</v>
      </c>
      <c r="W17" s="3">
        <v>62.953136000000001</v>
      </c>
      <c r="X17" s="3">
        <v>62.953136000000001</v>
      </c>
      <c r="Y17" s="3">
        <v>62.953136000000001</v>
      </c>
      <c r="Z17" s="3">
        <v>62.953136000000001</v>
      </c>
      <c r="AA17" s="3">
        <v>62.953136000000001</v>
      </c>
      <c r="AB17" s="3">
        <v>62.953136000000001</v>
      </c>
      <c r="AC17" s="3">
        <v>62.953136000000001</v>
      </c>
      <c r="AD17" s="3">
        <v>62.953136000000001</v>
      </c>
      <c r="AE17" s="4">
        <v>0</v>
      </c>
    </row>
    <row r="18" spans="1:31" x14ac:dyDescent="0.25">
      <c r="A18" s="3" t="s">
        <v>17</v>
      </c>
      <c r="B18" s="3" t="s">
        <v>21</v>
      </c>
      <c r="C18" s="3" t="s">
        <v>3</v>
      </c>
      <c r="D18" s="3">
        <v>65.771973000000003</v>
      </c>
      <c r="E18" s="3">
        <v>69.209487999999993</v>
      </c>
      <c r="F18" s="3">
        <v>73.411925999999994</v>
      </c>
      <c r="G18" s="3">
        <v>74.867676000000003</v>
      </c>
      <c r="H18" s="3">
        <v>74.65831</v>
      </c>
      <c r="I18" s="3">
        <v>75.492096000000004</v>
      </c>
      <c r="J18" s="3">
        <v>76.889022999999995</v>
      </c>
      <c r="K18" s="3">
        <v>78.159301999999997</v>
      </c>
      <c r="L18" s="3">
        <v>79.357162000000002</v>
      </c>
      <c r="M18" s="3">
        <v>80.069289999999995</v>
      </c>
      <c r="N18" s="3">
        <v>81.189910999999995</v>
      </c>
      <c r="O18" s="3">
        <v>82.083022999999997</v>
      </c>
      <c r="P18" s="3">
        <v>82.860900999999998</v>
      </c>
      <c r="Q18" s="3">
        <v>83.908187999999996</v>
      </c>
      <c r="R18" s="3">
        <v>85.085860999999994</v>
      </c>
      <c r="S18" s="3">
        <v>85.993926999999999</v>
      </c>
      <c r="T18" s="3">
        <v>86.746032999999997</v>
      </c>
      <c r="U18" s="3">
        <v>87.505188000000004</v>
      </c>
      <c r="V18" s="3">
        <v>88.490127999999999</v>
      </c>
      <c r="W18" s="3">
        <v>89.293166999999997</v>
      </c>
      <c r="X18" s="3">
        <v>90.309387000000001</v>
      </c>
      <c r="Y18" s="3">
        <v>91.353104000000002</v>
      </c>
      <c r="Z18" s="3">
        <v>91.981826999999996</v>
      </c>
      <c r="AA18" s="3">
        <v>92.739791999999994</v>
      </c>
      <c r="AB18" s="3">
        <v>93.496750000000006</v>
      </c>
      <c r="AC18" s="3">
        <v>94.326096000000007</v>
      </c>
      <c r="AD18" s="3">
        <v>94.898803999999998</v>
      </c>
      <c r="AE18" s="4">
        <v>0.44284563274390437</v>
      </c>
    </row>
    <row r="19" spans="1:31" x14ac:dyDescent="0.25">
      <c r="A19" s="3" t="s">
        <v>17</v>
      </c>
      <c r="B19" s="3" t="s">
        <v>22</v>
      </c>
      <c r="C19" s="3" t="s">
        <v>3</v>
      </c>
      <c r="D19" s="3">
        <v>6.9000000000000006E-2</v>
      </c>
      <c r="E19" s="3">
        <v>0.43286799999999998</v>
      </c>
      <c r="F19" s="3">
        <v>1.061623</v>
      </c>
      <c r="G19" s="3">
        <v>2.0208469999999998</v>
      </c>
      <c r="H19" s="3">
        <v>3.4031370000000001</v>
      </c>
      <c r="I19" s="3">
        <v>5.0021750000000003</v>
      </c>
      <c r="J19" s="3">
        <v>6.8395789999999996</v>
      </c>
      <c r="K19" s="3">
        <v>11.009010999999999</v>
      </c>
      <c r="L19" s="3">
        <v>20.609114000000002</v>
      </c>
      <c r="M19" s="3">
        <v>29.158991</v>
      </c>
      <c r="N19" s="3">
        <v>36.786945000000003</v>
      </c>
      <c r="O19" s="3">
        <v>43.717491000000003</v>
      </c>
      <c r="P19" s="3">
        <v>50.161732000000001</v>
      </c>
      <c r="Q19" s="3">
        <v>56.345210999999999</v>
      </c>
      <c r="R19" s="3">
        <v>62.202209000000003</v>
      </c>
      <c r="S19" s="3">
        <v>67.711426000000003</v>
      </c>
      <c r="T19" s="3">
        <v>73.078025999999994</v>
      </c>
      <c r="U19" s="3">
        <v>78.210892000000001</v>
      </c>
      <c r="V19" s="3">
        <v>83.060280000000006</v>
      </c>
      <c r="W19" s="3">
        <v>87.568625999999995</v>
      </c>
      <c r="X19" s="3">
        <v>91.586594000000005</v>
      </c>
      <c r="Y19" s="3">
        <v>95.358306999999996</v>
      </c>
      <c r="Z19" s="3">
        <v>98.787643000000003</v>
      </c>
      <c r="AA19" s="3">
        <v>101.73200199999999</v>
      </c>
      <c r="AB19" s="3">
        <v>104.383568</v>
      </c>
      <c r="AC19" s="3">
        <v>106.89222700000001</v>
      </c>
      <c r="AD19" s="3">
        <v>108.868752</v>
      </c>
      <c r="AE19" s="4">
        <v>1576.8079999999998</v>
      </c>
    </row>
    <row r="20" spans="1:31" x14ac:dyDescent="0.25">
      <c r="A20" s="3" t="s">
        <v>17</v>
      </c>
      <c r="B20" s="3" t="s">
        <v>23</v>
      </c>
      <c r="C20" s="3" t="s">
        <v>3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4" t="e">
        <v>#DIV/0!</v>
      </c>
    </row>
    <row r="21" spans="1:31" x14ac:dyDescent="0.25">
      <c r="A21" s="3" t="s">
        <v>24</v>
      </c>
      <c r="B21" s="3" t="s">
        <v>26</v>
      </c>
      <c r="C21" s="3" t="s">
        <v>25</v>
      </c>
      <c r="D21" s="3">
        <v>7.7926469999999997</v>
      </c>
      <c r="E21" s="3">
        <v>8.2062639999999991</v>
      </c>
      <c r="F21" s="3">
        <v>8.2833120000000005</v>
      </c>
      <c r="G21" s="3">
        <v>8.1965219999999999</v>
      </c>
      <c r="H21" s="3">
        <v>8.2652380000000001</v>
      </c>
      <c r="I21" s="3">
        <v>8.2911450000000002</v>
      </c>
      <c r="J21" s="3">
        <v>8.3548069999999992</v>
      </c>
      <c r="K21" s="3">
        <v>8.3932549999999999</v>
      </c>
      <c r="L21" s="3">
        <v>8.7043909999999993</v>
      </c>
      <c r="M21" s="3">
        <v>8.8531320000000004</v>
      </c>
      <c r="N21" s="3">
        <v>8.9794149999999995</v>
      </c>
      <c r="O21" s="3">
        <v>9.0537360000000007</v>
      </c>
      <c r="P21" s="3">
        <v>9.0166629999999994</v>
      </c>
      <c r="Q21" s="3">
        <v>8.9221470000000007</v>
      </c>
      <c r="R21" s="3">
        <v>10.562078</v>
      </c>
      <c r="S21" s="3">
        <v>10.576571</v>
      </c>
      <c r="T21" s="3">
        <v>10.617226</v>
      </c>
      <c r="U21" s="3">
        <v>10.727335</v>
      </c>
      <c r="V21" s="3">
        <v>10.412379</v>
      </c>
      <c r="W21" s="3">
        <v>10.325901999999999</v>
      </c>
      <c r="X21" s="3">
        <v>10.181317</v>
      </c>
      <c r="Y21" s="3">
        <v>10.097391</v>
      </c>
      <c r="Z21" s="3">
        <v>10.032181</v>
      </c>
      <c r="AA21" s="3">
        <v>8.4492949999999993</v>
      </c>
      <c r="AB21" s="3">
        <v>8.3951349999999998</v>
      </c>
      <c r="AC21" s="3">
        <v>8.3373019999999993</v>
      </c>
      <c r="AD21" s="3">
        <v>8.2811690000000002</v>
      </c>
      <c r="AE21" s="4">
        <f>(AD21-D21)/D21</f>
        <v>6.2690123137876072E-2</v>
      </c>
    </row>
    <row r="22" spans="1:31" x14ac:dyDescent="0.25">
      <c r="A22" s="3" t="s">
        <v>27</v>
      </c>
      <c r="B22" s="3" t="s">
        <v>28</v>
      </c>
      <c r="C22" s="3" t="s">
        <v>25</v>
      </c>
      <c r="D22" s="3">
        <v>10.256168000000001</v>
      </c>
      <c r="E22" s="3">
        <v>10.669784999999999</v>
      </c>
      <c r="F22" s="3">
        <v>10.746834</v>
      </c>
      <c r="G22" s="3">
        <v>10.660043999999999</v>
      </c>
      <c r="H22" s="3">
        <v>10.728759999999999</v>
      </c>
      <c r="I22" s="3">
        <v>10.754667</v>
      </c>
      <c r="J22" s="3">
        <v>10.818327999999999</v>
      </c>
      <c r="K22" s="3">
        <v>10.856776999999999</v>
      </c>
      <c r="L22" s="3">
        <v>11.167913</v>
      </c>
      <c r="M22" s="3">
        <v>11.316654</v>
      </c>
      <c r="N22" s="3">
        <v>11.442937000000001</v>
      </c>
      <c r="O22" s="3">
        <v>11.517258</v>
      </c>
      <c r="P22" s="3">
        <v>11.480184</v>
      </c>
      <c r="Q22" s="3">
        <v>11.385669</v>
      </c>
      <c r="R22" s="3">
        <v>13.025600000000001</v>
      </c>
      <c r="S22" s="3">
        <v>13.040093000000001</v>
      </c>
      <c r="T22" s="3">
        <v>13.080747000000001</v>
      </c>
      <c r="U22" s="3">
        <v>13.190856999999999</v>
      </c>
      <c r="V22" s="3">
        <v>12.8759</v>
      </c>
      <c r="W22" s="3">
        <v>12.789422999999999</v>
      </c>
      <c r="X22" s="3">
        <v>12.644838999999999</v>
      </c>
      <c r="Y22" s="3">
        <v>12.560912999999999</v>
      </c>
      <c r="Z22" s="3">
        <v>12.495702</v>
      </c>
      <c r="AA22" s="3">
        <v>10.912817</v>
      </c>
      <c r="AB22" s="3">
        <v>10.858656999999999</v>
      </c>
      <c r="AC22" s="3">
        <v>10.800824</v>
      </c>
      <c r="AD22" s="3">
        <v>10.74469</v>
      </c>
      <c r="AE22" s="4" cm="1">
        <f t="array" ref="AE22:AE24">(AD22:AD24-D22:D24)/D22:D24</f>
        <v>4.7632020068313977E-2</v>
      </c>
    </row>
    <row r="23" spans="1:31" x14ac:dyDescent="0.25">
      <c r="A23" s="3" t="s">
        <v>27</v>
      </c>
      <c r="B23" s="3" t="s">
        <v>22</v>
      </c>
      <c r="C23" s="3" t="s">
        <v>25</v>
      </c>
      <c r="D23" s="3">
        <v>60.346207</v>
      </c>
      <c r="E23" s="3">
        <v>60.760201000000002</v>
      </c>
      <c r="F23" s="3">
        <v>60.838478000000002</v>
      </c>
      <c r="G23" s="3">
        <v>60.751674999999999</v>
      </c>
      <c r="H23" s="3">
        <v>60.820399999999999</v>
      </c>
      <c r="I23" s="3">
        <v>60.846302000000001</v>
      </c>
      <c r="J23" s="3">
        <v>60.909953999999999</v>
      </c>
      <c r="K23" s="3">
        <v>60.948399000000002</v>
      </c>
      <c r="L23" s="3">
        <v>61.259529000000001</v>
      </c>
      <c r="M23" s="3">
        <v>61.408271999999997</v>
      </c>
      <c r="N23" s="3">
        <v>61.534565000000001</v>
      </c>
      <c r="O23" s="3">
        <v>61.608879000000002</v>
      </c>
      <c r="P23" s="3">
        <v>61.571784999999998</v>
      </c>
      <c r="Q23" s="3">
        <v>61.47728</v>
      </c>
      <c r="R23" s="3">
        <v>63.117148999999998</v>
      </c>
      <c r="S23" s="3">
        <v>63.131686999999999</v>
      </c>
      <c r="T23" s="3">
        <v>63.172417000000003</v>
      </c>
      <c r="U23" s="3">
        <v>63.282536</v>
      </c>
      <c r="V23" s="3">
        <v>62.967567000000003</v>
      </c>
      <c r="W23" s="3">
        <v>62.881076999999998</v>
      </c>
      <c r="X23" s="3">
        <v>62.736507000000003</v>
      </c>
      <c r="Y23" s="3">
        <v>62.652560999999999</v>
      </c>
      <c r="Z23" s="3">
        <v>62.587387</v>
      </c>
      <c r="AA23" s="3">
        <v>61.004440000000002</v>
      </c>
      <c r="AB23" s="3">
        <v>60.950271999999998</v>
      </c>
      <c r="AC23" s="3">
        <v>60.892445000000002</v>
      </c>
      <c r="AD23" s="3">
        <v>60.836303999999998</v>
      </c>
      <c r="AE23" s="4">
        <v>8.1214217821510924E-3</v>
      </c>
    </row>
    <row r="24" spans="1:31" x14ac:dyDescent="0.25">
      <c r="A24" s="3" t="s">
        <v>27</v>
      </c>
      <c r="B24" s="3" t="s">
        <v>23</v>
      </c>
      <c r="C24" s="3" t="s">
        <v>25</v>
      </c>
      <c r="D24" s="3">
        <v>10.256168000000001</v>
      </c>
      <c r="E24" s="3">
        <v>10.669784999999999</v>
      </c>
      <c r="F24" s="3">
        <v>10.746834</v>
      </c>
      <c r="G24" s="3">
        <v>10.660043999999999</v>
      </c>
      <c r="H24" s="3">
        <v>10.728759999999999</v>
      </c>
      <c r="I24" s="3">
        <v>10.754667</v>
      </c>
      <c r="J24" s="3">
        <v>10.818327999999999</v>
      </c>
      <c r="K24" s="3">
        <v>10.856776999999999</v>
      </c>
      <c r="L24" s="3">
        <v>11.167913</v>
      </c>
      <c r="M24" s="3">
        <v>11.316654</v>
      </c>
      <c r="N24" s="3">
        <v>11.442937000000001</v>
      </c>
      <c r="O24" s="3">
        <v>11.517258</v>
      </c>
      <c r="P24" s="3">
        <v>11.480184</v>
      </c>
      <c r="Q24" s="3">
        <v>11.385669</v>
      </c>
      <c r="R24" s="3">
        <v>13.025600000000001</v>
      </c>
      <c r="S24" s="3">
        <v>13.040093000000001</v>
      </c>
      <c r="T24" s="3">
        <v>13.080747000000001</v>
      </c>
      <c r="U24" s="3">
        <v>13.190856999999999</v>
      </c>
      <c r="V24" s="3">
        <v>12.8759</v>
      </c>
      <c r="W24" s="3">
        <v>12.789422999999999</v>
      </c>
      <c r="X24" s="3">
        <v>12.644838999999999</v>
      </c>
      <c r="Y24" s="3">
        <v>12.560912999999999</v>
      </c>
      <c r="Z24" s="3">
        <v>12.495702</v>
      </c>
      <c r="AA24" s="3">
        <v>10.912817</v>
      </c>
      <c r="AB24" s="3">
        <v>10.858656999999999</v>
      </c>
      <c r="AC24" s="3">
        <v>10.800824</v>
      </c>
      <c r="AD24" s="3">
        <v>10.74469</v>
      </c>
      <c r="AE24" s="4">
        <v>4.7632020068313977E-2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4"/>
  <sheetViews>
    <sheetView tabSelected="1" zoomScale="70" zoomScaleNormal="70" workbookViewId="0">
      <selection activeCell="A42" sqref="A42"/>
    </sheetView>
  </sheetViews>
  <sheetFormatPr defaultColWidth="8.7109375" defaultRowHeight="15" x14ac:dyDescent="0.25"/>
  <cols>
    <col min="1" max="1" width="65.7109375" style="2" bestFit="1" customWidth="1"/>
    <col min="2" max="2" width="54.85546875" style="2" bestFit="1" customWidth="1"/>
    <col min="3" max="3" width="15" style="2" bestFit="1" customWidth="1"/>
    <col min="4" max="30" width="13.5703125" style="2" bestFit="1" customWidth="1"/>
    <col min="31" max="31" width="20.7109375" style="2" bestFit="1" customWidth="1"/>
    <col min="32" max="16384" width="8.7109375" style="2"/>
  </cols>
  <sheetData>
    <row r="1" spans="1:31" s="1" customFormat="1" ht="15.75" thickBot="1" x14ac:dyDescent="0.3">
      <c r="A1" s="6" t="s">
        <v>39</v>
      </c>
      <c r="B1" s="6" t="s">
        <v>40</v>
      </c>
      <c r="C1" s="6" t="s">
        <v>0</v>
      </c>
      <c r="D1" s="6">
        <v>2024</v>
      </c>
      <c r="E1" s="6">
        <v>2025</v>
      </c>
      <c r="F1" s="6">
        <v>2026</v>
      </c>
      <c r="G1" s="6">
        <v>2027</v>
      </c>
      <c r="H1" s="6">
        <v>2028</v>
      </c>
      <c r="I1" s="6">
        <v>2029</v>
      </c>
      <c r="J1" s="6">
        <v>2030</v>
      </c>
      <c r="K1" s="6">
        <v>2031</v>
      </c>
      <c r="L1" s="6">
        <v>2032</v>
      </c>
      <c r="M1" s="6">
        <v>2033</v>
      </c>
      <c r="N1" s="6">
        <v>2034</v>
      </c>
      <c r="O1" s="6">
        <v>2035</v>
      </c>
      <c r="P1" s="6">
        <v>2036</v>
      </c>
      <c r="Q1" s="6">
        <v>2037</v>
      </c>
      <c r="R1" s="6">
        <v>2038</v>
      </c>
      <c r="S1" s="6">
        <v>2039</v>
      </c>
      <c r="T1" s="6">
        <v>2040</v>
      </c>
      <c r="U1" s="6">
        <v>2041</v>
      </c>
      <c r="V1" s="6">
        <v>2042</v>
      </c>
      <c r="W1" s="6">
        <v>2043</v>
      </c>
      <c r="X1" s="6">
        <v>2044</v>
      </c>
      <c r="Y1" s="6">
        <v>2045</v>
      </c>
      <c r="Z1" s="6">
        <v>2046</v>
      </c>
      <c r="AA1" s="6">
        <v>2047</v>
      </c>
      <c r="AB1" s="6">
        <v>2048</v>
      </c>
      <c r="AC1" s="6">
        <v>2049</v>
      </c>
      <c r="AD1" s="6">
        <v>2050</v>
      </c>
      <c r="AE1" s="6" t="s">
        <v>1</v>
      </c>
    </row>
    <row r="2" spans="1:31" ht="15.75" thickTop="1" x14ac:dyDescent="0.25">
      <c r="A2" s="3" t="s">
        <v>38</v>
      </c>
      <c r="B2" s="3" t="s">
        <v>2</v>
      </c>
      <c r="C2" s="3" t="s">
        <v>3</v>
      </c>
      <c r="D2" s="3">
        <v>81.828345999999996</v>
      </c>
      <c r="E2" s="3">
        <v>84.649803000000006</v>
      </c>
      <c r="F2" s="3">
        <v>87.251816000000005</v>
      </c>
      <c r="G2" s="3">
        <v>88.101821999999999</v>
      </c>
      <c r="H2" s="3">
        <v>87.951285999999996</v>
      </c>
      <c r="I2" s="3">
        <v>88.814186000000007</v>
      </c>
      <c r="J2" s="3">
        <v>90.620482999999993</v>
      </c>
      <c r="K2" s="3">
        <v>93.636238000000006</v>
      </c>
      <c r="L2" s="3">
        <v>99.168045000000006</v>
      </c>
      <c r="M2" s="3">
        <v>103.70784</v>
      </c>
      <c r="N2" s="3">
        <v>108.05693100000001</v>
      </c>
      <c r="O2" s="3">
        <v>111.99839799999999</v>
      </c>
      <c r="P2" s="3">
        <v>116.092354</v>
      </c>
      <c r="Q2" s="3">
        <v>120.050934</v>
      </c>
      <c r="R2" s="3">
        <v>123.93768300000001</v>
      </c>
      <c r="S2" s="3">
        <v>127.450142</v>
      </c>
      <c r="T2" s="3">
        <v>131.12750199999999</v>
      </c>
      <c r="U2" s="3">
        <v>134.717941</v>
      </c>
      <c r="V2" s="3">
        <v>138.07615699999999</v>
      </c>
      <c r="W2" s="3">
        <v>141.214066</v>
      </c>
      <c r="X2" s="3">
        <v>144.11999499999999</v>
      </c>
      <c r="Y2" s="3">
        <v>147.01005599999999</v>
      </c>
      <c r="Z2" s="3">
        <v>149.59690900000001</v>
      </c>
      <c r="AA2" s="3">
        <v>151.97721899999999</v>
      </c>
      <c r="AB2" s="3">
        <v>154.35311899999999</v>
      </c>
      <c r="AC2" s="3">
        <v>156.51316800000001</v>
      </c>
      <c r="AD2" s="3">
        <v>158.39210499999999</v>
      </c>
      <c r="AE2" s="4" cm="1">
        <f t="array" ref="AE2:AE6">(AD2:AD6-D2:D6)/D2:D6</f>
        <v>0.93566304028679737</v>
      </c>
    </row>
    <row r="3" spans="1:31" x14ac:dyDescent="0.25">
      <c r="A3" s="3" t="s">
        <v>38</v>
      </c>
      <c r="B3" s="3" t="s">
        <v>4</v>
      </c>
      <c r="C3" s="3" t="s">
        <v>3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4" t="e">
        <v>#DIV/0!</v>
      </c>
    </row>
    <row r="4" spans="1:31" x14ac:dyDescent="0.25">
      <c r="A4" s="3" t="s">
        <v>38</v>
      </c>
      <c r="B4" s="3" t="s">
        <v>6</v>
      </c>
      <c r="C4" s="3" t="s">
        <v>3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4" t="e">
        <v>#DIV/0!</v>
      </c>
    </row>
    <row r="5" spans="1:31" x14ac:dyDescent="0.25">
      <c r="A5" s="3" t="s">
        <v>38</v>
      </c>
      <c r="B5" s="3" t="s">
        <v>7</v>
      </c>
      <c r="C5" s="3" t="s">
        <v>3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4" t="e">
        <v>#DIV/0!</v>
      </c>
    </row>
    <row r="6" spans="1:31" x14ac:dyDescent="0.25">
      <c r="A6" s="3" t="s">
        <v>38</v>
      </c>
      <c r="B6" s="5" t="s">
        <v>8</v>
      </c>
      <c r="C6" s="3" t="s">
        <v>3</v>
      </c>
      <c r="D6" s="3">
        <v>81.828345999999996</v>
      </c>
      <c r="E6" s="3">
        <v>84.649803000000006</v>
      </c>
      <c r="F6" s="3">
        <v>87.251816000000005</v>
      </c>
      <c r="G6" s="3">
        <v>88.101821999999999</v>
      </c>
      <c r="H6" s="3">
        <v>87.951285999999996</v>
      </c>
      <c r="I6" s="3">
        <v>88.814186000000007</v>
      </c>
      <c r="J6" s="3">
        <v>90.620482999999993</v>
      </c>
      <c r="K6" s="3">
        <v>93.636238000000006</v>
      </c>
      <c r="L6" s="3">
        <v>99.168045000000006</v>
      </c>
      <c r="M6" s="3">
        <v>103.70784</v>
      </c>
      <c r="N6" s="3">
        <v>108.05693100000001</v>
      </c>
      <c r="O6" s="3">
        <v>111.99839799999999</v>
      </c>
      <c r="P6" s="3">
        <v>116.092354</v>
      </c>
      <c r="Q6" s="3">
        <v>120.050934</v>
      </c>
      <c r="R6" s="3">
        <v>123.93768300000001</v>
      </c>
      <c r="S6" s="3">
        <v>127.450142</v>
      </c>
      <c r="T6" s="3">
        <v>131.12750199999999</v>
      </c>
      <c r="U6" s="3">
        <v>134.717941</v>
      </c>
      <c r="V6" s="3">
        <v>138.07615699999999</v>
      </c>
      <c r="W6" s="3">
        <v>141.214066</v>
      </c>
      <c r="X6" s="3">
        <v>144.11999499999999</v>
      </c>
      <c r="Y6" s="3">
        <v>147.01005599999999</v>
      </c>
      <c r="Z6" s="3">
        <v>149.59690900000001</v>
      </c>
      <c r="AA6" s="3">
        <v>151.97721899999999</v>
      </c>
      <c r="AB6" s="3">
        <v>154.35311899999999</v>
      </c>
      <c r="AC6" s="3">
        <v>156.51316800000001</v>
      </c>
      <c r="AD6" s="3">
        <v>158.39210499999999</v>
      </c>
      <c r="AE6" s="4">
        <v>0.93566304028679737</v>
      </c>
    </row>
    <row r="7" spans="1:31" x14ac:dyDescent="0.25">
      <c r="A7" s="3" t="s">
        <v>9</v>
      </c>
      <c r="B7" s="3" t="s">
        <v>10</v>
      </c>
      <c r="C7" s="3" t="s">
        <v>3</v>
      </c>
      <c r="D7" s="3">
        <v>112.35288199999999</v>
      </c>
      <c r="E7" s="3">
        <v>116.226822</v>
      </c>
      <c r="F7" s="3">
        <v>119.799469</v>
      </c>
      <c r="G7" s="3">
        <v>120.966553</v>
      </c>
      <c r="H7" s="3">
        <v>120.759865</v>
      </c>
      <c r="I7" s="3">
        <v>121.94465599999999</v>
      </c>
      <c r="J7" s="3">
        <v>124.424767</v>
      </c>
      <c r="K7" s="3">
        <v>128.56549100000001</v>
      </c>
      <c r="L7" s="3">
        <v>136.16082800000001</v>
      </c>
      <c r="M7" s="3">
        <v>142.39411899999999</v>
      </c>
      <c r="N7" s="3">
        <v>148.36554000000001</v>
      </c>
      <c r="O7" s="3">
        <v>153.77728300000001</v>
      </c>
      <c r="P7" s="3">
        <v>159.398438</v>
      </c>
      <c r="Q7" s="3">
        <v>164.83369400000001</v>
      </c>
      <c r="R7" s="3">
        <v>170.17031900000001</v>
      </c>
      <c r="S7" s="3">
        <v>174.993011</v>
      </c>
      <c r="T7" s="3">
        <v>180.04216</v>
      </c>
      <c r="U7" s="3">
        <v>184.97193899999999</v>
      </c>
      <c r="V7" s="3">
        <v>189.58287000000001</v>
      </c>
      <c r="W7" s="3">
        <v>193.89134200000001</v>
      </c>
      <c r="X7" s="3">
        <v>197.88125600000001</v>
      </c>
      <c r="Y7" s="3">
        <v>201.849411</v>
      </c>
      <c r="Z7" s="3">
        <v>205.40123</v>
      </c>
      <c r="AA7" s="3">
        <v>208.669479</v>
      </c>
      <c r="AB7" s="3">
        <v>211.931656</v>
      </c>
      <c r="AC7" s="3">
        <v>214.89747600000001</v>
      </c>
      <c r="AD7" s="3">
        <v>217.47730999999999</v>
      </c>
      <c r="AE7" s="4" cm="1">
        <f t="array" ref="AE7:AE9">(AD7:AD9-D7:D9)/D7:D9</f>
        <v>0.93566294098267988</v>
      </c>
    </row>
    <row r="8" spans="1:31" x14ac:dyDescent="0.25">
      <c r="A8" s="3" t="s">
        <v>9</v>
      </c>
      <c r="B8" s="3" t="s">
        <v>11</v>
      </c>
      <c r="C8" s="3" t="s">
        <v>3</v>
      </c>
      <c r="D8" s="3">
        <v>0.272899</v>
      </c>
      <c r="E8" s="3">
        <v>0.282308</v>
      </c>
      <c r="F8" s="3">
        <v>0.29098600000000002</v>
      </c>
      <c r="G8" s="3">
        <v>0.293821</v>
      </c>
      <c r="H8" s="3">
        <v>0.293319</v>
      </c>
      <c r="I8" s="3">
        <v>0.29619699999999999</v>
      </c>
      <c r="J8" s="3">
        <v>0.30222100000000002</v>
      </c>
      <c r="K8" s="3">
        <v>0.312278</v>
      </c>
      <c r="L8" s="3">
        <v>0.33072699999999999</v>
      </c>
      <c r="M8" s="3">
        <v>0.34586699999999998</v>
      </c>
      <c r="N8" s="3">
        <v>0.36037200000000003</v>
      </c>
      <c r="O8" s="3">
        <v>0.37351600000000001</v>
      </c>
      <c r="P8" s="3">
        <v>0.38717000000000001</v>
      </c>
      <c r="Q8" s="3">
        <v>0.40037200000000001</v>
      </c>
      <c r="R8" s="3">
        <v>0.41333399999999998</v>
      </c>
      <c r="S8" s="3">
        <v>0.42504799999999998</v>
      </c>
      <c r="T8" s="3">
        <v>0.43731199999999998</v>
      </c>
      <c r="U8" s="3">
        <v>0.44928600000000002</v>
      </c>
      <c r="V8" s="3">
        <v>0.46048600000000001</v>
      </c>
      <c r="W8" s="3">
        <v>0.47095100000000001</v>
      </c>
      <c r="X8" s="3">
        <v>0.48064200000000001</v>
      </c>
      <c r="Y8" s="3">
        <v>0.49028100000000002</v>
      </c>
      <c r="Z8" s="3">
        <v>0.49890800000000002</v>
      </c>
      <c r="AA8" s="3">
        <v>0.50684600000000002</v>
      </c>
      <c r="AB8" s="3">
        <v>0.51476999999999995</v>
      </c>
      <c r="AC8" s="3">
        <v>0.52197400000000005</v>
      </c>
      <c r="AD8" s="3">
        <v>0.52824000000000004</v>
      </c>
      <c r="AE8" s="4">
        <v>0.93566117867782606</v>
      </c>
    </row>
    <row r="9" spans="1:31" x14ac:dyDescent="0.25">
      <c r="A9" s="3" t="s">
        <v>9</v>
      </c>
      <c r="B9" s="3" t="s">
        <v>12</v>
      </c>
      <c r="C9" s="3" t="s">
        <v>3</v>
      </c>
      <c r="D9" s="3">
        <v>112.625778</v>
      </c>
      <c r="E9" s="3">
        <v>116.50913199999999</v>
      </c>
      <c r="F9" s="3">
        <v>120.09045399999999</v>
      </c>
      <c r="G9" s="3">
        <v>121.26037599999999</v>
      </c>
      <c r="H9" s="3">
        <v>121.053185</v>
      </c>
      <c r="I9" s="3">
        <v>122.240852</v>
      </c>
      <c r="J9" s="3">
        <v>124.72699</v>
      </c>
      <c r="K9" s="3">
        <v>128.87776199999999</v>
      </c>
      <c r="L9" s="3">
        <v>136.49156199999999</v>
      </c>
      <c r="M9" s="3">
        <v>142.73999000000001</v>
      </c>
      <c r="N9" s="3">
        <v>148.72590600000001</v>
      </c>
      <c r="O9" s="3">
        <v>154.150803</v>
      </c>
      <c r="P9" s="3">
        <v>159.78561400000001</v>
      </c>
      <c r="Q9" s="3">
        <v>165.23407</v>
      </c>
      <c r="R9" s="3">
        <v>170.58364900000001</v>
      </c>
      <c r="S9" s="3">
        <v>175.41806</v>
      </c>
      <c r="T9" s="3">
        <v>180.479477</v>
      </c>
      <c r="U9" s="3">
        <v>185.42121900000001</v>
      </c>
      <c r="V9" s="3">
        <v>190.04335</v>
      </c>
      <c r="W9" s="3">
        <v>194.362289</v>
      </c>
      <c r="X9" s="3">
        <v>198.36189300000001</v>
      </c>
      <c r="Y9" s="3">
        <v>202.33969099999999</v>
      </c>
      <c r="Z9" s="3">
        <v>205.90013099999999</v>
      </c>
      <c r="AA9" s="3">
        <v>209.176331</v>
      </c>
      <c r="AB9" s="3">
        <v>212.446426</v>
      </c>
      <c r="AC9" s="3">
        <v>215.41944899999999</v>
      </c>
      <c r="AD9" s="3">
        <v>218.00555399999999</v>
      </c>
      <c r="AE9" s="4">
        <v>0.93566302378839061</v>
      </c>
    </row>
    <row r="10" spans="1:31" x14ac:dyDescent="0.25">
      <c r="A10" s="3" t="s">
        <v>36</v>
      </c>
      <c r="B10" s="3" t="s">
        <v>10</v>
      </c>
      <c r="C10" s="3" t="s">
        <v>3</v>
      </c>
      <c r="D10" s="3">
        <v>112.35288199999999</v>
      </c>
      <c r="E10" s="3">
        <v>116.226822</v>
      </c>
      <c r="F10" s="3">
        <v>119.799469</v>
      </c>
      <c r="G10" s="3">
        <v>120.966553</v>
      </c>
      <c r="H10" s="3">
        <v>120.759865</v>
      </c>
      <c r="I10" s="3">
        <v>121.94465599999999</v>
      </c>
      <c r="J10" s="3">
        <v>124.424767</v>
      </c>
      <c r="K10" s="3">
        <v>128.56549100000001</v>
      </c>
      <c r="L10" s="3">
        <v>136.16082800000001</v>
      </c>
      <c r="M10" s="3">
        <v>142.39411899999999</v>
      </c>
      <c r="N10" s="3">
        <v>148.36554000000001</v>
      </c>
      <c r="O10" s="3">
        <v>153.77728300000001</v>
      </c>
      <c r="P10" s="3">
        <v>159.398438</v>
      </c>
      <c r="Q10" s="3">
        <v>164.83369400000001</v>
      </c>
      <c r="R10" s="3">
        <v>170.17031900000001</v>
      </c>
      <c r="S10" s="3">
        <v>174.993011</v>
      </c>
      <c r="T10" s="3">
        <v>180.04216</v>
      </c>
      <c r="U10" s="3">
        <v>184.97193899999999</v>
      </c>
      <c r="V10" s="3">
        <v>189.58287000000001</v>
      </c>
      <c r="W10" s="3">
        <v>193.89134200000001</v>
      </c>
      <c r="X10" s="3">
        <v>197.88125600000001</v>
      </c>
      <c r="Y10" s="3">
        <v>201.849411</v>
      </c>
      <c r="Z10" s="3">
        <v>205.40123</v>
      </c>
      <c r="AA10" s="3">
        <v>208.669479</v>
      </c>
      <c r="AB10" s="3">
        <v>211.931656</v>
      </c>
      <c r="AC10" s="3">
        <v>214.89747600000001</v>
      </c>
      <c r="AD10" s="3">
        <v>217.47730999999999</v>
      </c>
      <c r="AE10" s="4" cm="1">
        <f t="array" ref="AE10:AE14">(AD10:AD14-D10:D14)/D10:D14</f>
        <v>0.93566294098267988</v>
      </c>
    </row>
    <row r="11" spans="1:31" x14ac:dyDescent="0.25">
      <c r="A11" s="3" t="s">
        <v>36</v>
      </c>
      <c r="B11" s="3" t="s">
        <v>13</v>
      </c>
      <c r="C11" s="3" t="s">
        <v>3</v>
      </c>
      <c r="D11" s="3">
        <v>95.893150000000006</v>
      </c>
      <c r="E11" s="3">
        <v>99.199562</v>
      </c>
      <c r="F11" s="3">
        <v>102.24881000000001</v>
      </c>
      <c r="G11" s="3">
        <v>103.244919</v>
      </c>
      <c r="H11" s="3">
        <v>103.068512</v>
      </c>
      <c r="I11" s="3">
        <v>104.07972700000001</v>
      </c>
      <c r="J11" s="3">
        <v>106.19650300000001</v>
      </c>
      <c r="K11" s="3">
        <v>109.73060599999999</v>
      </c>
      <c r="L11" s="3">
        <v>116.213234</v>
      </c>
      <c r="M11" s="3">
        <v>121.53334</v>
      </c>
      <c r="N11" s="3">
        <v>126.62994399999999</v>
      </c>
      <c r="O11" s="3">
        <v>131.24887100000001</v>
      </c>
      <c r="P11" s="3">
        <v>136.04652400000001</v>
      </c>
      <c r="Q11" s="3">
        <v>140.68550099999999</v>
      </c>
      <c r="R11" s="3">
        <v>145.24032600000001</v>
      </c>
      <c r="S11" s="3">
        <v>149.35649100000001</v>
      </c>
      <c r="T11" s="3">
        <v>153.66593900000001</v>
      </c>
      <c r="U11" s="3">
        <v>157.87350499999999</v>
      </c>
      <c r="V11" s="3">
        <v>161.80892900000001</v>
      </c>
      <c r="W11" s="3">
        <v>165.48620600000001</v>
      </c>
      <c r="X11" s="3">
        <v>168.89158599999999</v>
      </c>
      <c r="Y11" s="3">
        <v>172.278412</v>
      </c>
      <c r="Z11" s="3">
        <v>175.30989099999999</v>
      </c>
      <c r="AA11" s="3">
        <v>178.09934999999999</v>
      </c>
      <c r="AB11" s="3">
        <v>180.88360599999999</v>
      </c>
      <c r="AC11" s="3">
        <v>183.41494800000001</v>
      </c>
      <c r="AD11" s="3">
        <v>185.61682099999999</v>
      </c>
      <c r="AE11" s="4">
        <v>0.93566298531229786</v>
      </c>
    </row>
    <row r="12" spans="1:31" x14ac:dyDescent="0.25">
      <c r="A12" s="3" t="s">
        <v>36</v>
      </c>
      <c r="B12" s="3" t="s">
        <v>14</v>
      </c>
      <c r="C12" s="3" t="s">
        <v>3</v>
      </c>
      <c r="D12" s="3">
        <v>16.459727999999998</v>
      </c>
      <c r="E12" s="3">
        <v>17.027262</v>
      </c>
      <c r="F12" s="3">
        <v>17.550653000000001</v>
      </c>
      <c r="G12" s="3">
        <v>17.721632</v>
      </c>
      <c r="H12" s="3">
        <v>17.691352999999999</v>
      </c>
      <c r="I12" s="3">
        <v>17.864924999999999</v>
      </c>
      <c r="J12" s="3">
        <v>18.228262000000001</v>
      </c>
      <c r="K12" s="3">
        <v>18.834879000000001</v>
      </c>
      <c r="L12" s="3">
        <v>19.947599</v>
      </c>
      <c r="M12" s="3">
        <v>20.860776999999999</v>
      </c>
      <c r="N12" s="3">
        <v>21.735592</v>
      </c>
      <c r="O12" s="3">
        <v>22.528414000000001</v>
      </c>
      <c r="P12" s="3">
        <v>23.351913</v>
      </c>
      <c r="Q12" s="3">
        <v>24.14818</v>
      </c>
      <c r="R12" s="3">
        <v>24.929998000000001</v>
      </c>
      <c r="S12" s="3">
        <v>25.636524000000001</v>
      </c>
      <c r="T12" s="3">
        <v>26.376225000000002</v>
      </c>
      <c r="U12" s="3">
        <v>27.098438000000002</v>
      </c>
      <c r="V12" s="3">
        <v>27.773942999999999</v>
      </c>
      <c r="W12" s="3">
        <v>28.405134</v>
      </c>
      <c r="X12" s="3">
        <v>28.989656</v>
      </c>
      <c r="Y12" s="3">
        <v>29.570993000000001</v>
      </c>
      <c r="Z12" s="3">
        <v>30.091335000000001</v>
      </c>
      <c r="AA12" s="3">
        <v>30.570135000000001</v>
      </c>
      <c r="AB12" s="3">
        <v>31.048044000000001</v>
      </c>
      <c r="AC12" s="3">
        <v>31.48254</v>
      </c>
      <c r="AD12" s="3">
        <v>31.860485000000001</v>
      </c>
      <c r="AE12" s="4">
        <v>0.9356629101039825</v>
      </c>
    </row>
    <row r="13" spans="1:31" x14ac:dyDescent="0.25">
      <c r="A13" s="3" t="s">
        <v>36</v>
      </c>
      <c r="B13" s="3" t="s">
        <v>15</v>
      </c>
      <c r="C13" s="3" t="s">
        <v>3</v>
      </c>
      <c r="D13" s="3">
        <v>0.272899</v>
      </c>
      <c r="E13" s="3">
        <v>0.282308</v>
      </c>
      <c r="F13" s="3">
        <v>0.29098600000000002</v>
      </c>
      <c r="G13" s="3">
        <v>0.293821</v>
      </c>
      <c r="H13" s="3">
        <v>0.293319</v>
      </c>
      <c r="I13" s="3">
        <v>0.29619699999999999</v>
      </c>
      <c r="J13" s="3">
        <v>0.30222100000000002</v>
      </c>
      <c r="K13" s="3">
        <v>0.312278</v>
      </c>
      <c r="L13" s="3">
        <v>0.33072699999999999</v>
      </c>
      <c r="M13" s="3">
        <v>0.34586699999999998</v>
      </c>
      <c r="N13" s="3">
        <v>0.36037200000000003</v>
      </c>
      <c r="O13" s="3">
        <v>0.37351600000000001</v>
      </c>
      <c r="P13" s="3">
        <v>0.38717000000000001</v>
      </c>
      <c r="Q13" s="3">
        <v>0.40037200000000001</v>
      </c>
      <c r="R13" s="3">
        <v>0.41333399999999998</v>
      </c>
      <c r="S13" s="3">
        <v>0.42504799999999998</v>
      </c>
      <c r="T13" s="3">
        <v>0.43731199999999998</v>
      </c>
      <c r="U13" s="3">
        <v>0.44928600000000002</v>
      </c>
      <c r="V13" s="3">
        <v>0.46048600000000001</v>
      </c>
      <c r="W13" s="3">
        <v>0.47095100000000001</v>
      </c>
      <c r="X13" s="3">
        <v>0.48064200000000001</v>
      </c>
      <c r="Y13" s="3">
        <v>0.49028100000000002</v>
      </c>
      <c r="Z13" s="3">
        <v>0.49890800000000002</v>
      </c>
      <c r="AA13" s="3">
        <v>0.50684600000000002</v>
      </c>
      <c r="AB13" s="3">
        <v>0.51476999999999995</v>
      </c>
      <c r="AC13" s="3">
        <v>0.52197400000000005</v>
      </c>
      <c r="AD13" s="3">
        <v>0.52824000000000004</v>
      </c>
      <c r="AE13" s="4">
        <v>0.93566117867782606</v>
      </c>
    </row>
    <row r="14" spans="1:31" x14ac:dyDescent="0.25">
      <c r="A14" s="3" t="s">
        <v>36</v>
      </c>
      <c r="B14" s="3" t="s">
        <v>16</v>
      </c>
      <c r="C14" s="3" t="s">
        <v>3</v>
      </c>
      <c r="D14" s="3">
        <v>112.625778</v>
      </c>
      <c r="E14" s="3">
        <v>116.50913199999999</v>
      </c>
      <c r="F14" s="3">
        <v>120.09045399999999</v>
      </c>
      <c r="G14" s="3">
        <v>121.26037599999999</v>
      </c>
      <c r="H14" s="3">
        <v>121.053185</v>
      </c>
      <c r="I14" s="3">
        <v>122.240852</v>
      </c>
      <c r="J14" s="3">
        <v>124.72699</v>
      </c>
      <c r="K14" s="3">
        <v>128.87776199999999</v>
      </c>
      <c r="L14" s="3">
        <v>136.49156199999999</v>
      </c>
      <c r="M14" s="3">
        <v>142.73999000000001</v>
      </c>
      <c r="N14" s="3">
        <v>148.72590600000001</v>
      </c>
      <c r="O14" s="3">
        <v>154.150803</v>
      </c>
      <c r="P14" s="3">
        <v>159.78561400000001</v>
      </c>
      <c r="Q14" s="3">
        <v>165.23407</v>
      </c>
      <c r="R14" s="3">
        <v>170.58364900000001</v>
      </c>
      <c r="S14" s="3">
        <v>175.41806</v>
      </c>
      <c r="T14" s="3">
        <v>180.479477</v>
      </c>
      <c r="U14" s="3">
        <v>185.42121900000001</v>
      </c>
      <c r="V14" s="3">
        <v>190.04335</v>
      </c>
      <c r="W14" s="3">
        <v>194.362289</v>
      </c>
      <c r="X14" s="3">
        <v>198.36189300000001</v>
      </c>
      <c r="Y14" s="3">
        <v>202.33969099999999</v>
      </c>
      <c r="Z14" s="3">
        <v>205.90013099999999</v>
      </c>
      <c r="AA14" s="3">
        <v>209.176331</v>
      </c>
      <c r="AB14" s="3">
        <v>212.446426</v>
      </c>
      <c r="AC14" s="3">
        <v>215.41944899999999</v>
      </c>
      <c r="AD14" s="3">
        <v>218.00555399999999</v>
      </c>
      <c r="AE14" s="4">
        <v>0.93566302378839061</v>
      </c>
    </row>
    <row r="15" spans="1:31" x14ac:dyDescent="0.25">
      <c r="A15" s="3" t="s">
        <v>37</v>
      </c>
      <c r="B15" s="3" t="s">
        <v>15</v>
      </c>
      <c r="C15" s="3" t="s">
        <v>3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4" t="e">
        <f>(AD15-D15)/D15</f>
        <v>#DIV/0!</v>
      </c>
    </row>
    <row r="16" spans="1:31" x14ac:dyDescent="0.25">
      <c r="A16" s="3" t="s">
        <v>17</v>
      </c>
      <c r="B16" s="3" t="s">
        <v>18</v>
      </c>
      <c r="C16" s="3" t="s">
        <v>3</v>
      </c>
      <c r="D16" s="3">
        <v>81.798491999999996</v>
      </c>
      <c r="E16" s="3">
        <v>84.454139999999995</v>
      </c>
      <c r="F16" s="3">
        <v>86.735946999999996</v>
      </c>
      <c r="G16" s="3">
        <v>87.133476000000002</v>
      </c>
      <c r="H16" s="3">
        <v>86.332419999999999</v>
      </c>
      <c r="I16" s="3">
        <v>86.413466999999997</v>
      </c>
      <c r="J16" s="3">
        <v>87.295921000000007</v>
      </c>
      <c r="K16" s="3">
        <v>88.251876999999993</v>
      </c>
      <c r="L16" s="3">
        <v>89.097649000000004</v>
      </c>
      <c r="M16" s="3">
        <v>89.463791000000001</v>
      </c>
      <c r="N16" s="3">
        <v>89.981476000000001</v>
      </c>
      <c r="O16" s="3">
        <v>90.546538999999996</v>
      </c>
      <c r="P16" s="3">
        <v>91.366241000000002</v>
      </c>
      <c r="Q16" s="3">
        <v>92.109527999999997</v>
      </c>
      <c r="R16" s="3">
        <v>92.959984000000006</v>
      </c>
      <c r="S16" s="3">
        <v>93.616141999999996</v>
      </c>
      <c r="T16" s="3">
        <v>94.49485</v>
      </c>
      <c r="U16" s="3">
        <v>95.475196999999994</v>
      </c>
      <c r="V16" s="3">
        <v>96.388084000000006</v>
      </c>
      <c r="W16" s="3">
        <v>97.155792000000005</v>
      </c>
      <c r="X16" s="3">
        <v>98.023314999999997</v>
      </c>
      <c r="Y16" s="3">
        <v>98.997176999999994</v>
      </c>
      <c r="Z16" s="3">
        <v>99.641586000000004</v>
      </c>
      <c r="AA16" s="3">
        <v>100.41224699999999</v>
      </c>
      <c r="AB16" s="3">
        <v>101.222008</v>
      </c>
      <c r="AC16" s="3">
        <v>102.010925</v>
      </c>
      <c r="AD16" s="3">
        <v>102.668144</v>
      </c>
      <c r="AE16" s="4" cm="1">
        <f t="array" ref="AE16:AE20">(AD16:AD20-D16:D20)/D16:D20</f>
        <v>0.25513492351423794</v>
      </c>
    </row>
    <row r="17" spans="1:31" x14ac:dyDescent="0.25">
      <c r="A17" s="3" t="s">
        <v>17</v>
      </c>
      <c r="B17" s="3" t="s">
        <v>19</v>
      </c>
      <c r="C17" s="3" t="s">
        <v>3</v>
      </c>
      <c r="D17" s="3">
        <v>20.834489999999999</v>
      </c>
      <c r="E17" s="3">
        <v>20.834489999999999</v>
      </c>
      <c r="F17" s="3">
        <v>20.834489999999999</v>
      </c>
      <c r="G17" s="3">
        <v>20.834489999999999</v>
      </c>
      <c r="H17" s="3">
        <v>20.834489999999999</v>
      </c>
      <c r="I17" s="3">
        <v>20.834489999999999</v>
      </c>
      <c r="J17" s="3">
        <v>20.834489999999999</v>
      </c>
      <c r="K17" s="3">
        <v>20.834489999999999</v>
      </c>
      <c r="L17" s="3">
        <v>20.834489999999999</v>
      </c>
      <c r="M17" s="3">
        <v>20.834489999999999</v>
      </c>
      <c r="N17" s="3">
        <v>20.834489999999999</v>
      </c>
      <c r="O17" s="3">
        <v>20.834489999999999</v>
      </c>
      <c r="P17" s="3">
        <v>20.834489999999999</v>
      </c>
      <c r="Q17" s="3">
        <v>20.834489999999999</v>
      </c>
      <c r="R17" s="3">
        <v>20.834489999999999</v>
      </c>
      <c r="S17" s="3">
        <v>20.834489999999999</v>
      </c>
      <c r="T17" s="3">
        <v>20.834489999999999</v>
      </c>
      <c r="U17" s="3">
        <v>20.834489999999999</v>
      </c>
      <c r="V17" s="3">
        <v>20.834489999999999</v>
      </c>
      <c r="W17" s="3">
        <v>20.834489999999999</v>
      </c>
      <c r="X17" s="3">
        <v>20.834489999999999</v>
      </c>
      <c r="Y17" s="3">
        <v>20.834489999999999</v>
      </c>
      <c r="Z17" s="3">
        <v>20.834489999999999</v>
      </c>
      <c r="AA17" s="3">
        <v>20.834489999999999</v>
      </c>
      <c r="AB17" s="3">
        <v>20.834489999999999</v>
      </c>
      <c r="AC17" s="3">
        <v>20.834489999999999</v>
      </c>
      <c r="AD17" s="3">
        <v>20.834489999999999</v>
      </c>
      <c r="AE17" s="4">
        <v>0</v>
      </c>
    </row>
    <row r="18" spans="1:31" x14ac:dyDescent="0.25">
      <c r="A18" s="3" t="s">
        <v>17</v>
      </c>
      <c r="B18" s="3" t="s">
        <v>21</v>
      </c>
      <c r="C18" s="3" t="s">
        <v>3</v>
      </c>
      <c r="D18" s="3">
        <v>60.964005</v>
      </c>
      <c r="E18" s="3">
        <v>63.619652000000002</v>
      </c>
      <c r="F18" s="3">
        <v>65.901459000000003</v>
      </c>
      <c r="G18" s="3">
        <v>66.298987999999994</v>
      </c>
      <c r="H18" s="3">
        <v>65.497932000000006</v>
      </c>
      <c r="I18" s="3">
        <v>65.578979000000004</v>
      </c>
      <c r="J18" s="3">
        <v>66.461433</v>
      </c>
      <c r="K18" s="3">
        <v>67.417389</v>
      </c>
      <c r="L18" s="3">
        <v>68.263160999999997</v>
      </c>
      <c r="M18" s="3">
        <v>68.629302999999993</v>
      </c>
      <c r="N18" s="3">
        <v>69.146987999999993</v>
      </c>
      <c r="O18" s="3">
        <v>69.712051000000002</v>
      </c>
      <c r="P18" s="3">
        <v>70.531754000000006</v>
      </c>
      <c r="Q18" s="3">
        <v>71.275040000000004</v>
      </c>
      <c r="R18" s="3">
        <v>72.125495999999998</v>
      </c>
      <c r="S18" s="3">
        <v>72.781654000000003</v>
      </c>
      <c r="T18" s="3">
        <v>73.660362000000006</v>
      </c>
      <c r="U18" s="3">
        <v>74.640709000000001</v>
      </c>
      <c r="V18" s="3">
        <v>75.553595999999999</v>
      </c>
      <c r="W18" s="3">
        <v>76.321303999999998</v>
      </c>
      <c r="X18" s="3">
        <v>77.188828000000001</v>
      </c>
      <c r="Y18" s="3">
        <v>78.162689</v>
      </c>
      <c r="Z18" s="3">
        <v>78.807097999999996</v>
      </c>
      <c r="AA18" s="3">
        <v>79.577759</v>
      </c>
      <c r="AB18" s="3">
        <v>80.387519999999995</v>
      </c>
      <c r="AC18" s="3">
        <v>81.176437000000007</v>
      </c>
      <c r="AD18" s="3">
        <v>81.833656000000005</v>
      </c>
      <c r="AE18" s="4">
        <v>0.34232742747134154</v>
      </c>
    </row>
    <row r="19" spans="1:31" x14ac:dyDescent="0.25">
      <c r="A19" s="3" t="s">
        <v>17</v>
      </c>
      <c r="B19" s="3" t="s">
        <v>22</v>
      </c>
      <c r="C19" s="3" t="s">
        <v>3</v>
      </c>
      <c r="D19" s="3">
        <v>2.9860000000000001E-2</v>
      </c>
      <c r="E19" s="3">
        <v>0.20252500000000001</v>
      </c>
      <c r="F19" s="3">
        <v>0.50252200000000002</v>
      </c>
      <c r="G19" s="3">
        <v>0.96198499999999998</v>
      </c>
      <c r="H19" s="3">
        <v>1.6269629999999999</v>
      </c>
      <c r="I19" s="3">
        <v>2.4013279999999999</v>
      </c>
      <c r="J19" s="3">
        <v>3.294022</v>
      </c>
      <c r="K19" s="3">
        <v>5.3307950000000002</v>
      </c>
      <c r="L19" s="3">
        <v>10.015976</v>
      </c>
      <c r="M19" s="3">
        <v>14.204591000000001</v>
      </c>
      <c r="N19" s="3">
        <v>17.986988</v>
      </c>
      <c r="O19" s="3">
        <v>21.461542000000001</v>
      </c>
      <c r="P19" s="3">
        <v>24.733549</v>
      </c>
      <c r="Q19" s="3">
        <v>27.867699000000002</v>
      </c>
      <c r="R19" s="3">
        <v>30.850832</v>
      </c>
      <c r="S19" s="3">
        <v>33.687877999999998</v>
      </c>
      <c r="T19" s="3">
        <v>36.463123000000003</v>
      </c>
      <c r="U19" s="3">
        <v>39.102207</v>
      </c>
      <c r="V19" s="3">
        <v>41.612758999999997</v>
      </c>
      <c r="W19" s="3">
        <v>43.918239999999997</v>
      </c>
      <c r="X19" s="3">
        <v>45.995292999999997</v>
      </c>
      <c r="Y19" s="3">
        <v>48.017704000000002</v>
      </c>
      <c r="Z19" s="3">
        <v>49.877513999999998</v>
      </c>
      <c r="AA19" s="3">
        <v>51.539284000000002</v>
      </c>
      <c r="AB19" s="3">
        <v>53.068565</v>
      </c>
      <c r="AC19" s="3">
        <v>54.533237</v>
      </c>
      <c r="AD19" s="3">
        <v>55.699173000000002</v>
      </c>
      <c r="AE19" s="4">
        <v>1864.3440388479571</v>
      </c>
    </row>
    <row r="20" spans="1:31" x14ac:dyDescent="0.25">
      <c r="A20" s="3" t="s">
        <v>17</v>
      </c>
      <c r="B20" s="3" t="s">
        <v>23</v>
      </c>
      <c r="C20" s="3" t="s">
        <v>3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4" t="e">
        <v>#DIV/0!</v>
      </c>
    </row>
    <row r="21" spans="1:31" x14ac:dyDescent="0.25">
      <c r="A21" s="3" t="s">
        <v>24</v>
      </c>
      <c r="B21" s="3" t="s">
        <v>26</v>
      </c>
      <c r="C21" s="3" t="s">
        <v>25</v>
      </c>
      <c r="D21" s="3">
        <v>7.0187660000000003</v>
      </c>
      <c r="E21" s="3">
        <v>7.3539789999999998</v>
      </c>
      <c r="F21" s="3">
        <v>6.9656250000000002</v>
      </c>
      <c r="G21" s="3">
        <v>6.8582549999999998</v>
      </c>
      <c r="H21" s="3">
        <v>6.9691530000000004</v>
      </c>
      <c r="I21" s="3">
        <v>7.027927</v>
      </c>
      <c r="J21" s="3">
        <v>7.1248110000000002</v>
      </c>
      <c r="K21" s="3">
        <v>7.2248289999999997</v>
      </c>
      <c r="L21" s="3">
        <v>7.4925689999999996</v>
      </c>
      <c r="M21" s="3">
        <v>7.5744309999999997</v>
      </c>
      <c r="N21" s="3">
        <v>7.6028320000000003</v>
      </c>
      <c r="O21" s="3">
        <v>7.6327790000000002</v>
      </c>
      <c r="P21" s="3">
        <v>7.6321940000000001</v>
      </c>
      <c r="Q21" s="3">
        <v>7.5710949999999997</v>
      </c>
      <c r="R21" s="3">
        <v>7.524578</v>
      </c>
      <c r="S21" s="3">
        <v>7.4914769999999997</v>
      </c>
      <c r="T21" s="3">
        <v>7.5108649999999999</v>
      </c>
      <c r="U21" s="3">
        <v>7.5701559999999999</v>
      </c>
      <c r="V21" s="3">
        <v>7.5885100000000003</v>
      </c>
      <c r="W21" s="3">
        <v>7.5732270000000002</v>
      </c>
      <c r="X21" s="3">
        <v>7.4978189999999998</v>
      </c>
      <c r="Y21" s="3">
        <v>7.4426110000000003</v>
      </c>
      <c r="Z21" s="3">
        <v>7.4342420000000002</v>
      </c>
      <c r="AA21" s="3">
        <v>7.4195909999999996</v>
      </c>
      <c r="AB21" s="3">
        <v>7.383114</v>
      </c>
      <c r="AC21" s="3">
        <v>7.3261849999999997</v>
      </c>
      <c r="AD21" s="3">
        <v>7.2678929999999999</v>
      </c>
      <c r="AE21" s="4">
        <f>(AD21-D21)/D21</f>
        <v>3.5494415969986697E-2</v>
      </c>
    </row>
    <row r="22" spans="1:31" x14ac:dyDescent="0.25">
      <c r="A22" s="3" t="s">
        <v>27</v>
      </c>
      <c r="B22" s="3" t="s">
        <v>28</v>
      </c>
      <c r="C22" s="3" t="s">
        <v>25</v>
      </c>
      <c r="D22" s="3">
        <v>9.4822869999999995</v>
      </c>
      <c r="E22" s="3">
        <v>9.817501</v>
      </c>
      <c r="F22" s="3">
        <v>9.4291470000000004</v>
      </c>
      <c r="G22" s="3">
        <v>9.3217759999999998</v>
      </c>
      <c r="H22" s="3">
        <v>9.4326740000000004</v>
      </c>
      <c r="I22" s="3">
        <v>9.4914480000000001</v>
      </c>
      <c r="J22" s="3">
        <v>9.5883330000000004</v>
      </c>
      <c r="K22" s="3">
        <v>9.6883510000000008</v>
      </c>
      <c r="L22" s="3">
        <v>9.9560899999999997</v>
      </c>
      <c r="M22" s="3">
        <v>10.037953</v>
      </c>
      <c r="N22" s="3">
        <v>10.066354</v>
      </c>
      <c r="O22" s="3">
        <v>10.096299999999999</v>
      </c>
      <c r="P22" s="3">
        <v>10.095715999999999</v>
      </c>
      <c r="Q22" s="3">
        <v>10.034617000000001</v>
      </c>
      <c r="R22" s="3">
        <v>9.9880990000000001</v>
      </c>
      <c r="S22" s="3">
        <v>9.9549990000000008</v>
      </c>
      <c r="T22" s="3">
        <v>9.9743870000000001</v>
      </c>
      <c r="U22" s="3">
        <v>10.033677000000001</v>
      </c>
      <c r="V22" s="3">
        <v>10.052032000000001</v>
      </c>
      <c r="W22" s="3">
        <v>10.036747999999999</v>
      </c>
      <c r="X22" s="3">
        <v>9.9613420000000001</v>
      </c>
      <c r="Y22" s="3">
        <v>9.9061330000000005</v>
      </c>
      <c r="Z22" s="3">
        <v>9.8977629999999994</v>
      </c>
      <c r="AA22" s="3">
        <v>9.8831129999999998</v>
      </c>
      <c r="AB22" s="3">
        <v>9.8466349999999991</v>
      </c>
      <c r="AC22" s="3">
        <v>9.7897060000000007</v>
      </c>
      <c r="AD22" s="3">
        <v>9.7314150000000001</v>
      </c>
      <c r="AE22" s="4" cm="1">
        <f t="array" ref="AE22:AE24">(AD22:AD24-D22:D24)/D22:D24</f>
        <v>2.627298667505009E-2</v>
      </c>
    </row>
    <row r="23" spans="1:31" x14ac:dyDescent="0.25">
      <c r="A23" s="3" t="s">
        <v>27</v>
      </c>
      <c r="B23" s="3" t="s">
        <v>22</v>
      </c>
      <c r="C23" s="3" t="s">
        <v>25</v>
      </c>
      <c r="D23" s="3">
        <v>59.572341999999999</v>
      </c>
      <c r="E23" s="3">
        <v>59.907832999999997</v>
      </c>
      <c r="F23" s="3">
        <v>59.520760000000003</v>
      </c>
      <c r="G23" s="3">
        <v>59.413383000000003</v>
      </c>
      <c r="H23" s="3">
        <v>59.524284000000002</v>
      </c>
      <c r="I23" s="3">
        <v>59.583061000000001</v>
      </c>
      <c r="J23" s="3">
        <v>59.679943000000002</v>
      </c>
      <c r="K23" s="3">
        <v>59.779961</v>
      </c>
      <c r="L23" s="3">
        <v>60.047694999999997</v>
      </c>
      <c r="M23" s="3">
        <v>60.129562</v>
      </c>
      <c r="N23" s="3">
        <v>60.157963000000002</v>
      </c>
      <c r="O23" s="3">
        <v>60.187911999999997</v>
      </c>
      <c r="P23" s="3">
        <v>60.187317</v>
      </c>
      <c r="Q23" s="3">
        <v>60.126221000000001</v>
      </c>
      <c r="R23" s="3">
        <v>60.079704</v>
      </c>
      <c r="S23" s="3">
        <v>60.046604000000002</v>
      </c>
      <c r="T23" s="3">
        <v>60.065998</v>
      </c>
      <c r="U23" s="3">
        <v>60.125286000000003</v>
      </c>
      <c r="V23" s="3">
        <v>60.143645999999997</v>
      </c>
      <c r="W23" s="3">
        <v>60.128357000000001</v>
      </c>
      <c r="X23" s="3">
        <v>60.052951999999998</v>
      </c>
      <c r="Y23" s="3">
        <v>59.997742000000002</v>
      </c>
      <c r="Z23" s="3">
        <v>59.989376</v>
      </c>
      <c r="AA23" s="3">
        <v>59.974724000000002</v>
      </c>
      <c r="AB23" s="3">
        <v>59.938248000000002</v>
      </c>
      <c r="AC23" s="3">
        <v>59.881317000000003</v>
      </c>
      <c r="AD23" s="3">
        <v>59.823025000000001</v>
      </c>
      <c r="AE23" s="4">
        <v>4.2080433903371166E-3</v>
      </c>
    </row>
    <row r="24" spans="1:31" x14ac:dyDescent="0.25">
      <c r="A24" s="3" t="s">
        <v>27</v>
      </c>
      <c r="B24" s="3" t="s">
        <v>23</v>
      </c>
      <c r="C24" s="3" t="s">
        <v>25</v>
      </c>
      <c r="D24" s="3">
        <v>9.4822869999999995</v>
      </c>
      <c r="E24" s="3">
        <v>9.817501</v>
      </c>
      <c r="F24" s="3">
        <v>9.4291470000000004</v>
      </c>
      <c r="G24" s="3">
        <v>9.3217759999999998</v>
      </c>
      <c r="H24" s="3">
        <v>9.4326740000000004</v>
      </c>
      <c r="I24" s="3">
        <v>9.4914480000000001</v>
      </c>
      <c r="J24" s="3">
        <v>9.5883330000000004</v>
      </c>
      <c r="K24" s="3">
        <v>9.6883510000000008</v>
      </c>
      <c r="L24" s="3">
        <v>9.9560899999999997</v>
      </c>
      <c r="M24" s="3">
        <v>10.037953</v>
      </c>
      <c r="N24" s="3">
        <v>10.066354</v>
      </c>
      <c r="O24" s="3">
        <v>10.096299999999999</v>
      </c>
      <c r="P24" s="3">
        <v>10.095715999999999</v>
      </c>
      <c r="Q24" s="3">
        <v>10.034617000000001</v>
      </c>
      <c r="R24" s="3">
        <v>9.9880990000000001</v>
      </c>
      <c r="S24" s="3">
        <v>9.9549990000000008</v>
      </c>
      <c r="T24" s="3">
        <v>9.9743870000000001</v>
      </c>
      <c r="U24" s="3">
        <v>10.033677000000001</v>
      </c>
      <c r="V24" s="3">
        <v>10.052032000000001</v>
      </c>
      <c r="W24" s="3">
        <v>10.036747999999999</v>
      </c>
      <c r="X24" s="3">
        <v>9.9613420000000001</v>
      </c>
      <c r="Y24" s="3">
        <v>9.9061330000000005</v>
      </c>
      <c r="Z24" s="3">
        <v>9.8977629999999994</v>
      </c>
      <c r="AA24" s="3">
        <v>9.8831129999999998</v>
      </c>
      <c r="AB24" s="3">
        <v>9.8466349999999991</v>
      </c>
      <c r="AC24" s="3">
        <v>9.7897060000000007</v>
      </c>
      <c r="AD24" s="3">
        <v>9.7314150000000001</v>
      </c>
      <c r="AE24" s="4">
        <v>2.627298667505009E-2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24"/>
  <sheetViews>
    <sheetView tabSelected="1" zoomScale="70" zoomScaleNormal="70" workbookViewId="0">
      <selection activeCell="A42" sqref="A42"/>
    </sheetView>
  </sheetViews>
  <sheetFormatPr defaultColWidth="8.7109375" defaultRowHeight="15" x14ac:dyDescent="0.25"/>
  <cols>
    <col min="1" max="1" width="65.7109375" style="2" bestFit="1" customWidth="1"/>
    <col min="2" max="2" width="54.85546875" style="2" bestFit="1" customWidth="1"/>
    <col min="3" max="3" width="15" style="2" bestFit="1" customWidth="1"/>
    <col min="4" max="30" width="12.42578125" style="2" bestFit="1" customWidth="1"/>
    <col min="31" max="31" width="20.7109375" style="2" bestFit="1" customWidth="1"/>
    <col min="32" max="16384" width="8.7109375" style="2"/>
  </cols>
  <sheetData>
    <row r="1" spans="1:31" s="1" customFormat="1" ht="15.75" thickBot="1" x14ac:dyDescent="0.3">
      <c r="A1" s="6" t="s">
        <v>39</v>
      </c>
      <c r="B1" s="6" t="s">
        <v>40</v>
      </c>
      <c r="C1" s="6" t="s">
        <v>0</v>
      </c>
      <c r="D1" s="6">
        <v>2024</v>
      </c>
      <c r="E1" s="6">
        <v>2025</v>
      </c>
      <c r="F1" s="6">
        <v>2026</v>
      </c>
      <c r="G1" s="6">
        <v>2027</v>
      </c>
      <c r="H1" s="6">
        <v>2028</v>
      </c>
      <c r="I1" s="6">
        <v>2029</v>
      </c>
      <c r="J1" s="6">
        <v>2030</v>
      </c>
      <c r="K1" s="6">
        <v>2031</v>
      </c>
      <c r="L1" s="6">
        <v>2032</v>
      </c>
      <c r="M1" s="6">
        <v>2033</v>
      </c>
      <c r="N1" s="6">
        <v>2034</v>
      </c>
      <c r="O1" s="6">
        <v>2035</v>
      </c>
      <c r="P1" s="6">
        <v>2036</v>
      </c>
      <c r="Q1" s="6">
        <v>2037</v>
      </c>
      <c r="R1" s="6">
        <v>2038</v>
      </c>
      <c r="S1" s="6">
        <v>2039</v>
      </c>
      <c r="T1" s="6">
        <v>2040</v>
      </c>
      <c r="U1" s="6">
        <v>2041</v>
      </c>
      <c r="V1" s="6">
        <v>2042</v>
      </c>
      <c r="W1" s="6">
        <v>2043</v>
      </c>
      <c r="X1" s="6">
        <v>2044</v>
      </c>
      <c r="Y1" s="6">
        <v>2045</v>
      </c>
      <c r="Z1" s="6">
        <v>2046</v>
      </c>
      <c r="AA1" s="6">
        <v>2047</v>
      </c>
      <c r="AB1" s="6">
        <v>2048</v>
      </c>
      <c r="AC1" s="6">
        <v>2049</v>
      </c>
      <c r="AD1" s="6">
        <v>2050</v>
      </c>
      <c r="AE1" s="6" t="s">
        <v>1</v>
      </c>
    </row>
    <row r="2" spans="1:31" ht="15.75" thickTop="1" x14ac:dyDescent="0.25">
      <c r="A2" s="3" t="s">
        <v>38</v>
      </c>
      <c r="B2" s="3" t="s">
        <v>2</v>
      </c>
      <c r="C2" s="3" t="s">
        <v>3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0.76473599999999997</v>
      </c>
      <c r="L2" s="3">
        <v>4.4873260000000004</v>
      </c>
      <c r="M2" s="3">
        <v>4.4557079999999996</v>
      </c>
      <c r="N2" s="3">
        <v>4.4002699999999999</v>
      </c>
      <c r="O2" s="3">
        <v>4.3495280000000003</v>
      </c>
      <c r="P2" s="3">
        <v>7.4313950000000002</v>
      </c>
      <c r="Q2" s="3">
        <v>7.9740770000000003</v>
      </c>
      <c r="R2" s="3">
        <v>10.617677</v>
      </c>
      <c r="S2" s="3">
        <v>13.098541000000001</v>
      </c>
      <c r="T2" s="3">
        <v>15.611185000000001</v>
      </c>
      <c r="U2" s="3">
        <v>18.085052000000001</v>
      </c>
      <c r="V2" s="3">
        <v>20.423855</v>
      </c>
      <c r="W2" s="3">
        <v>22.656261000000001</v>
      </c>
      <c r="X2" s="3">
        <v>24.712917000000001</v>
      </c>
      <c r="Y2" s="3">
        <v>30.451231</v>
      </c>
      <c r="Z2" s="3">
        <v>35.947712000000003</v>
      </c>
      <c r="AA2" s="3">
        <v>41.335299999999997</v>
      </c>
      <c r="AB2" s="3">
        <v>43.220013000000002</v>
      </c>
      <c r="AC2" s="3">
        <v>45.025303000000001</v>
      </c>
      <c r="AD2" s="3">
        <v>47.330677000000001</v>
      </c>
      <c r="AE2" s="4" t="e" cm="1">
        <f t="array" ref="AE2:AE6">(AD2:AD6-D2:D6)/D2:D6</f>
        <v>#DIV/0!</v>
      </c>
    </row>
    <row r="3" spans="1:31" x14ac:dyDescent="0.25">
      <c r="A3" s="3" t="s">
        <v>38</v>
      </c>
      <c r="B3" s="3" t="s">
        <v>4</v>
      </c>
      <c r="C3" s="3" t="s">
        <v>3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3.7722730000000002</v>
      </c>
      <c r="N3" s="3">
        <v>7.4311189999999998</v>
      </c>
      <c r="O3" s="3">
        <v>10.780075999999999</v>
      </c>
      <c r="P3" s="3">
        <v>10.780075999999999</v>
      </c>
      <c r="Q3" s="3">
        <v>10.780075999999999</v>
      </c>
      <c r="R3" s="3">
        <v>10.780075999999999</v>
      </c>
      <c r="S3" s="3">
        <v>10.780075999999999</v>
      </c>
      <c r="T3" s="3">
        <v>10.780075999999999</v>
      </c>
      <c r="U3" s="3">
        <v>10.780075999999999</v>
      </c>
      <c r="V3" s="3">
        <v>10.780075999999999</v>
      </c>
      <c r="W3" s="3">
        <v>10.780075999999999</v>
      </c>
      <c r="X3" s="3">
        <v>10.780075999999999</v>
      </c>
      <c r="Y3" s="3">
        <v>7.007803</v>
      </c>
      <c r="Z3" s="3">
        <v>3.348957</v>
      </c>
      <c r="AA3" s="3">
        <v>0</v>
      </c>
      <c r="AB3" s="3">
        <v>0</v>
      </c>
      <c r="AC3" s="3">
        <v>0</v>
      </c>
      <c r="AD3" s="3">
        <v>0</v>
      </c>
      <c r="AE3" s="4" t="e">
        <v>#DIV/0!</v>
      </c>
    </row>
    <row r="4" spans="1:31" x14ac:dyDescent="0.25">
      <c r="A4" s="3" t="s">
        <v>38</v>
      </c>
      <c r="B4" s="3" t="s">
        <v>6</v>
      </c>
      <c r="C4" s="3" t="s">
        <v>3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4" t="e">
        <v>#DIV/0!</v>
      </c>
    </row>
    <row r="5" spans="1:31" x14ac:dyDescent="0.25">
      <c r="A5" s="3" t="s">
        <v>38</v>
      </c>
      <c r="B5" s="3" t="s">
        <v>7</v>
      </c>
      <c r="C5" s="3" t="s">
        <v>3</v>
      </c>
      <c r="D5" s="3">
        <v>10.886903</v>
      </c>
      <c r="E5" s="3">
        <v>10.290274999999999</v>
      </c>
      <c r="F5" s="3">
        <v>10.290274999999999</v>
      </c>
      <c r="G5" s="3">
        <v>10.290274999999999</v>
      </c>
      <c r="H5" s="3">
        <v>10.290274999999999</v>
      </c>
      <c r="I5" s="3">
        <v>10.290274999999999</v>
      </c>
      <c r="J5" s="3">
        <v>10.290274999999999</v>
      </c>
      <c r="K5" s="3">
        <v>10.290274999999999</v>
      </c>
      <c r="L5" s="3">
        <v>10.290274999999999</v>
      </c>
      <c r="M5" s="3">
        <v>10.290274999999999</v>
      </c>
      <c r="N5" s="3">
        <v>10.290274999999999</v>
      </c>
      <c r="O5" s="3">
        <v>10.290274999999999</v>
      </c>
      <c r="P5" s="3">
        <v>10.290274999999999</v>
      </c>
      <c r="Q5" s="3">
        <v>10.290274999999999</v>
      </c>
      <c r="R5" s="3">
        <v>10.290274999999999</v>
      </c>
      <c r="S5" s="3">
        <v>10.290274999999999</v>
      </c>
      <c r="T5" s="3">
        <v>10.290274999999999</v>
      </c>
      <c r="U5" s="3">
        <v>10.290274999999999</v>
      </c>
      <c r="V5" s="3">
        <v>10.290274999999999</v>
      </c>
      <c r="W5" s="3">
        <v>10.290274999999999</v>
      </c>
      <c r="X5" s="3">
        <v>10.290274999999999</v>
      </c>
      <c r="Y5" s="3">
        <v>10.290274999999999</v>
      </c>
      <c r="Z5" s="3">
        <v>10.290274999999999</v>
      </c>
      <c r="AA5" s="3">
        <v>10.290274999999999</v>
      </c>
      <c r="AB5" s="3">
        <v>10.290274999999999</v>
      </c>
      <c r="AC5" s="3">
        <v>10.290274999999999</v>
      </c>
      <c r="AD5" s="3">
        <v>10.290274999999999</v>
      </c>
      <c r="AE5" s="4">
        <v>-5.4802362067522856E-2</v>
      </c>
    </row>
    <row r="6" spans="1:31" x14ac:dyDescent="0.25">
      <c r="A6" s="3" t="s">
        <v>38</v>
      </c>
      <c r="B6" s="5" t="s">
        <v>8</v>
      </c>
      <c r="C6" s="3" t="s">
        <v>3</v>
      </c>
      <c r="D6" s="3">
        <v>10.886903</v>
      </c>
      <c r="E6" s="3">
        <v>10.290274999999999</v>
      </c>
      <c r="F6" s="3">
        <v>10.290274999999999</v>
      </c>
      <c r="G6" s="3">
        <v>10.290274999999999</v>
      </c>
      <c r="H6" s="3">
        <v>10.290274999999999</v>
      </c>
      <c r="I6" s="3">
        <v>10.290274999999999</v>
      </c>
      <c r="J6" s="3">
        <v>10.290274999999999</v>
      </c>
      <c r="K6" s="3">
        <v>11.055009999999999</v>
      </c>
      <c r="L6" s="3">
        <v>14.7776</v>
      </c>
      <c r="M6" s="3">
        <v>18.518255</v>
      </c>
      <c r="N6" s="3">
        <v>22.121662000000001</v>
      </c>
      <c r="O6" s="3">
        <v>25.419879999999999</v>
      </c>
      <c r="P6" s="3">
        <v>28.501743000000001</v>
      </c>
      <c r="Q6" s="3">
        <v>29.044426000000001</v>
      </c>
      <c r="R6" s="3">
        <v>31.688026000000001</v>
      </c>
      <c r="S6" s="3">
        <v>34.168892</v>
      </c>
      <c r="T6" s="3">
        <v>36.681533999999999</v>
      </c>
      <c r="U6" s="3">
        <v>39.155403</v>
      </c>
      <c r="V6" s="3">
        <v>41.494205000000001</v>
      </c>
      <c r="W6" s="3">
        <v>43.726612000000003</v>
      </c>
      <c r="X6" s="3">
        <v>45.783264000000003</v>
      </c>
      <c r="Y6" s="3">
        <v>47.749310000000001</v>
      </c>
      <c r="Z6" s="3">
        <v>49.586945</v>
      </c>
      <c r="AA6" s="3">
        <v>51.625576000000002</v>
      </c>
      <c r="AB6" s="3">
        <v>53.510288000000003</v>
      </c>
      <c r="AC6" s="3">
        <v>55.315578000000002</v>
      </c>
      <c r="AD6" s="3">
        <v>57.620953</v>
      </c>
      <c r="AE6" s="4">
        <v>4.2926854404783432</v>
      </c>
    </row>
    <row r="7" spans="1:31" x14ac:dyDescent="0.25">
      <c r="A7" s="3" t="s">
        <v>9</v>
      </c>
      <c r="B7" s="3" t="s">
        <v>10</v>
      </c>
      <c r="C7" s="3" t="s">
        <v>3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1.050006</v>
      </c>
      <c r="L7" s="3">
        <v>6.161238</v>
      </c>
      <c r="M7" s="3">
        <v>11.648566000000001</v>
      </c>
      <c r="N7" s="3">
        <v>16.936888</v>
      </c>
      <c r="O7" s="3">
        <v>21.777311000000001</v>
      </c>
      <c r="P7" s="3">
        <v>26.008807999999998</v>
      </c>
      <c r="Q7" s="3">
        <v>26.753928999999999</v>
      </c>
      <c r="R7" s="3">
        <v>30.383676999999999</v>
      </c>
      <c r="S7" s="3">
        <v>33.789977999999998</v>
      </c>
      <c r="T7" s="3">
        <v>37.239918000000003</v>
      </c>
      <c r="U7" s="3">
        <v>40.636615999999997</v>
      </c>
      <c r="V7" s="3">
        <v>43.847861999999999</v>
      </c>
      <c r="W7" s="3">
        <v>46.913029000000002</v>
      </c>
      <c r="X7" s="3">
        <v>49.736880999999997</v>
      </c>
      <c r="Y7" s="3">
        <v>52.085025999999999</v>
      </c>
      <c r="Z7" s="3">
        <v>54.267422000000003</v>
      </c>
      <c r="AA7" s="3">
        <v>56.754662000000003</v>
      </c>
      <c r="AB7" s="3">
        <v>59.34243</v>
      </c>
      <c r="AC7" s="3">
        <v>61.821148000000001</v>
      </c>
      <c r="AD7" s="3">
        <v>64.986496000000002</v>
      </c>
      <c r="AE7" s="4" t="e" cm="1">
        <f t="array" ref="AE7:AE9">(AD7:AD9-D7:D9)/D7:D9</f>
        <v>#DIV/0!</v>
      </c>
    </row>
    <row r="8" spans="1:31" x14ac:dyDescent="0.25">
      <c r="A8" s="3" t="s">
        <v>9</v>
      </c>
      <c r="B8" s="3" t="s">
        <v>11</v>
      </c>
      <c r="C8" s="3" t="s">
        <v>3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2.5500000000000002E-3</v>
      </c>
      <c r="L8" s="3">
        <v>1.4964999999999999E-2</v>
      </c>
      <c r="M8" s="3">
        <v>0.15898100000000001</v>
      </c>
      <c r="N8" s="3">
        <v>0.29858299999999999</v>
      </c>
      <c r="O8" s="3">
        <v>0.42636099999999999</v>
      </c>
      <c r="P8" s="3">
        <v>0.436639</v>
      </c>
      <c r="Q8" s="3">
        <v>0.43844899999999998</v>
      </c>
      <c r="R8" s="3">
        <v>0.447266</v>
      </c>
      <c r="S8" s="3">
        <v>0.45553900000000003</v>
      </c>
      <c r="T8" s="3">
        <v>0.46391900000000003</v>
      </c>
      <c r="U8" s="3">
        <v>0.47216900000000001</v>
      </c>
      <c r="V8" s="3">
        <v>0.47996899999999998</v>
      </c>
      <c r="W8" s="3">
        <v>0.48741499999999999</v>
      </c>
      <c r="X8" s="3">
        <v>0.49427399999999999</v>
      </c>
      <c r="Y8" s="3">
        <v>0.36929000000000001</v>
      </c>
      <c r="Z8" s="3">
        <v>0.247834</v>
      </c>
      <c r="AA8" s="3">
        <v>0.137854</v>
      </c>
      <c r="AB8" s="3">
        <v>0.14413899999999999</v>
      </c>
      <c r="AC8" s="3">
        <v>0.15015999999999999</v>
      </c>
      <c r="AD8" s="3">
        <v>0.15784899999999999</v>
      </c>
      <c r="AE8" s="4" t="e">
        <v>#DIV/0!</v>
      </c>
    </row>
    <row r="9" spans="1:31" x14ac:dyDescent="0.25">
      <c r="A9" s="3" t="s">
        <v>9</v>
      </c>
      <c r="B9" s="3" t="s">
        <v>12</v>
      </c>
      <c r="C9" s="3" t="s">
        <v>3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1.052556</v>
      </c>
      <c r="L9" s="3">
        <v>6.1762030000000001</v>
      </c>
      <c r="M9" s="3">
        <v>11.807547</v>
      </c>
      <c r="N9" s="3">
        <v>17.235469999999999</v>
      </c>
      <c r="O9" s="3">
        <v>22.203672000000001</v>
      </c>
      <c r="P9" s="3">
        <v>26.445447999999999</v>
      </c>
      <c r="Q9" s="3">
        <v>27.192378999999999</v>
      </c>
      <c r="R9" s="3">
        <v>30.830942</v>
      </c>
      <c r="S9" s="3">
        <v>34.245517999999997</v>
      </c>
      <c r="T9" s="3">
        <v>37.703837999999998</v>
      </c>
      <c r="U9" s="3">
        <v>41.108784</v>
      </c>
      <c r="V9" s="3">
        <v>44.327831000000003</v>
      </c>
      <c r="W9" s="3">
        <v>47.400444</v>
      </c>
      <c r="X9" s="3">
        <v>50.231155000000001</v>
      </c>
      <c r="Y9" s="3">
        <v>52.454315000000001</v>
      </c>
      <c r="Z9" s="3">
        <v>54.515255000000003</v>
      </c>
      <c r="AA9" s="3">
        <v>56.892516999999998</v>
      </c>
      <c r="AB9" s="3">
        <v>59.486567999999998</v>
      </c>
      <c r="AC9" s="3">
        <v>61.971310000000003</v>
      </c>
      <c r="AD9" s="3">
        <v>65.144347999999994</v>
      </c>
      <c r="AE9" s="4" t="e">
        <v>#DIV/0!</v>
      </c>
    </row>
    <row r="10" spans="1:31" x14ac:dyDescent="0.25">
      <c r="A10" s="3" t="s">
        <v>36</v>
      </c>
      <c r="B10" s="3" t="s">
        <v>10</v>
      </c>
      <c r="C10" s="3" t="s">
        <v>3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1.050006</v>
      </c>
      <c r="L10" s="3">
        <v>6.161238</v>
      </c>
      <c r="M10" s="3">
        <v>11.648566000000001</v>
      </c>
      <c r="N10" s="3">
        <v>16.936888</v>
      </c>
      <c r="O10" s="3">
        <v>21.777311000000001</v>
      </c>
      <c r="P10" s="3">
        <v>26.008807999999998</v>
      </c>
      <c r="Q10" s="3">
        <v>26.753928999999999</v>
      </c>
      <c r="R10" s="3">
        <v>30.383676999999999</v>
      </c>
      <c r="S10" s="3">
        <v>33.789977999999998</v>
      </c>
      <c r="T10" s="3">
        <v>37.239918000000003</v>
      </c>
      <c r="U10" s="3">
        <v>40.636615999999997</v>
      </c>
      <c r="V10" s="3">
        <v>43.847861999999999</v>
      </c>
      <c r="W10" s="3">
        <v>46.913029000000002</v>
      </c>
      <c r="X10" s="3">
        <v>49.736880999999997</v>
      </c>
      <c r="Y10" s="3">
        <v>52.085025999999999</v>
      </c>
      <c r="Z10" s="3">
        <v>54.267422000000003</v>
      </c>
      <c r="AA10" s="3">
        <v>56.754662000000003</v>
      </c>
      <c r="AB10" s="3">
        <v>59.34243</v>
      </c>
      <c r="AC10" s="3">
        <v>61.821148000000001</v>
      </c>
      <c r="AD10" s="3">
        <v>64.986496000000002</v>
      </c>
      <c r="AE10" s="4" t="e" cm="1">
        <f t="array" ref="AE10:AE14">(AD10:AD14-D10:D14)/D10:D14</f>
        <v>#DIV/0!</v>
      </c>
    </row>
    <row r="11" spans="1:31" x14ac:dyDescent="0.25">
      <c r="A11" s="3" t="s">
        <v>36</v>
      </c>
      <c r="B11" s="3" t="s">
        <v>13</v>
      </c>
      <c r="C11" s="3" t="s">
        <v>3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0.89617999999999998</v>
      </c>
      <c r="L11" s="3">
        <v>5.2586149999999998</v>
      </c>
      <c r="M11" s="3">
        <v>9.9373050000000003</v>
      </c>
      <c r="N11" s="3">
        <v>14.446287</v>
      </c>
      <c r="O11" s="3">
        <v>18.573378000000002</v>
      </c>
      <c r="P11" s="3">
        <v>22.184958999999999</v>
      </c>
      <c r="Q11" s="3">
        <v>22.820919</v>
      </c>
      <c r="R11" s="3">
        <v>25.918907000000001</v>
      </c>
      <c r="S11" s="3">
        <v>28.826184999999999</v>
      </c>
      <c r="T11" s="3">
        <v>31.770707999999999</v>
      </c>
      <c r="U11" s="3">
        <v>34.669787999999997</v>
      </c>
      <c r="V11" s="3">
        <v>37.410587</v>
      </c>
      <c r="W11" s="3">
        <v>40.026702999999998</v>
      </c>
      <c r="X11" s="3">
        <v>42.436863000000002</v>
      </c>
      <c r="Y11" s="3">
        <v>44.445746999999997</v>
      </c>
      <c r="Z11" s="3">
        <v>46.313018999999997</v>
      </c>
      <c r="AA11" s="3">
        <v>48.440086000000001</v>
      </c>
      <c r="AB11" s="3">
        <v>50.648746000000003</v>
      </c>
      <c r="AC11" s="3">
        <v>52.764332000000003</v>
      </c>
      <c r="AD11" s="3">
        <v>55.465958000000001</v>
      </c>
      <c r="AE11" s="4" t="e">
        <v>#DIV/0!</v>
      </c>
    </row>
    <row r="12" spans="1:31" x14ac:dyDescent="0.25">
      <c r="A12" s="3" t="s">
        <v>36</v>
      </c>
      <c r="B12" s="3" t="s">
        <v>14</v>
      </c>
      <c r="C12" s="3" t="s">
        <v>3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0.15382599999999999</v>
      </c>
      <c r="L12" s="3">
        <v>0.90262299999999995</v>
      </c>
      <c r="M12" s="3">
        <v>1.71126</v>
      </c>
      <c r="N12" s="3">
        <v>2.4906009999999998</v>
      </c>
      <c r="O12" s="3">
        <v>3.2039339999999998</v>
      </c>
      <c r="P12" s="3">
        <v>3.8238500000000002</v>
      </c>
      <c r="Q12" s="3">
        <v>3.9330099999999999</v>
      </c>
      <c r="R12" s="3">
        <v>4.4647690000000004</v>
      </c>
      <c r="S12" s="3">
        <v>4.9637929999999999</v>
      </c>
      <c r="T12" s="3">
        <v>5.4692100000000003</v>
      </c>
      <c r="U12" s="3">
        <v>5.9668270000000003</v>
      </c>
      <c r="V12" s="3">
        <v>6.4372759999999998</v>
      </c>
      <c r="W12" s="3">
        <v>6.886323</v>
      </c>
      <c r="X12" s="3">
        <v>7.3000189999999998</v>
      </c>
      <c r="Y12" s="3">
        <v>7.6392800000000003</v>
      </c>
      <c r="Z12" s="3">
        <v>7.954402</v>
      </c>
      <c r="AA12" s="3">
        <v>8.3145729999999993</v>
      </c>
      <c r="AB12" s="3">
        <v>8.6936820000000008</v>
      </c>
      <c r="AC12" s="3">
        <v>9.0568150000000003</v>
      </c>
      <c r="AD12" s="3">
        <v>9.5205400000000004</v>
      </c>
      <c r="AE12" s="4" t="e">
        <v>#DIV/0!</v>
      </c>
    </row>
    <row r="13" spans="1:31" x14ac:dyDescent="0.25">
      <c r="A13" s="3" t="s">
        <v>36</v>
      </c>
      <c r="B13" s="3" t="s">
        <v>15</v>
      </c>
      <c r="C13" s="3" t="s">
        <v>3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2.5500000000000002E-3</v>
      </c>
      <c r="L13" s="3">
        <v>1.4964999999999999E-2</v>
      </c>
      <c r="M13" s="3">
        <v>0.15898100000000001</v>
      </c>
      <c r="N13" s="3">
        <v>0.29858299999999999</v>
      </c>
      <c r="O13" s="3">
        <v>0.42636099999999999</v>
      </c>
      <c r="P13" s="3">
        <v>0.436639</v>
      </c>
      <c r="Q13" s="3">
        <v>0.43844899999999998</v>
      </c>
      <c r="R13" s="3">
        <v>0.447266</v>
      </c>
      <c r="S13" s="3">
        <v>0.45553900000000003</v>
      </c>
      <c r="T13" s="3">
        <v>0.46391900000000003</v>
      </c>
      <c r="U13" s="3">
        <v>0.47216900000000001</v>
      </c>
      <c r="V13" s="3">
        <v>0.47996899999999998</v>
      </c>
      <c r="W13" s="3">
        <v>0.48741499999999999</v>
      </c>
      <c r="X13" s="3">
        <v>0.49427399999999999</v>
      </c>
      <c r="Y13" s="3">
        <v>0.36929000000000001</v>
      </c>
      <c r="Z13" s="3">
        <v>0.247834</v>
      </c>
      <c r="AA13" s="3">
        <v>0.137854</v>
      </c>
      <c r="AB13" s="3">
        <v>0.14413899999999999</v>
      </c>
      <c r="AC13" s="3">
        <v>0.15015999999999999</v>
      </c>
      <c r="AD13" s="3">
        <v>0.15784899999999999</v>
      </c>
      <c r="AE13" s="4" t="e">
        <v>#DIV/0!</v>
      </c>
    </row>
    <row r="14" spans="1:31" x14ac:dyDescent="0.25">
      <c r="A14" s="3" t="s">
        <v>36</v>
      </c>
      <c r="B14" s="3" t="s">
        <v>16</v>
      </c>
      <c r="C14" s="3" t="s">
        <v>3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1.052556</v>
      </c>
      <c r="L14" s="3">
        <v>6.1762030000000001</v>
      </c>
      <c r="M14" s="3">
        <v>11.807547</v>
      </c>
      <c r="N14" s="3">
        <v>17.235469999999999</v>
      </c>
      <c r="O14" s="3">
        <v>22.203672000000001</v>
      </c>
      <c r="P14" s="3">
        <v>26.445447999999999</v>
      </c>
      <c r="Q14" s="3">
        <v>27.192378999999999</v>
      </c>
      <c r="R14" s="3">
        <v>30.830942</v>
      </c>
      <c r="S14" s="3">
        <v>34.245517999999997</v>
      </c>
      <c r="T14" s="3">
        <v>37.703837999999998</v>
      </c>
      <c r="U14" s="3">
        <v>41.108784</v>
      </c>
      <c r="V14" s="3">
        <v>44.327831000000003</v>
      </c>
      <c r="W14" s="3">
        <v>47.400444</v>
      </c>
      <c r="X14" s="3">
        <v>50.231155000000001</v>
      </c>
      <c r="Y14" s="3">
        <v>52.454315000000001</v>
      </c>
      <c r="Z14" s="3">
        <v>54.515255000000003</v>
      </c>
      <c r="AA14" s="3">
        <v>56.892516999999998</v>
      </c>
      <c r="AB14" s="3">
        <v>59.486567999999998</v>
      </c>
      <c r="AC14" s="3">
        <v>61.971310000000003</v>
      </c>
      <c r="AD14" s="3">
        <v>65.144347999999994</v>
      </c>
      <c r="AE14" s="4" t="e">
        <v>#DIV/0!</v>
      </c>
    </row>
    <row r="15" spans="1:31" x14ac:dyDescent="0.25">
      <c r="A15" s="3" t="s">
        <v>37</v>
      </c>
      <c r="B15" s="3" t="s">
        <v>15</v>
      </c>
      <c r="C15" s="3" t="s">
        <v>3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4" t="e">
        <f>(AD15-D15)/D15</f>
        <v>#DIV/0!</v>
      </c>
    </row>
    <row r="16" spans="1:31" x14ac:dyDescent="0.25">
      <c r="A16" s="3" t="s">
        <v>17</v>
      </c>
      <c r="B16" s="3" t="s">
        <v>18</v>
      </c>
      <c r="C16" s="3" t="s">
        <v>3</v>
      </c>
      <c r="D16" s="3">
        <v>4.7252109999999998</v>
      </c>
      <c r="E16" s="3">
        <v>4.7252109999999998</v>
      </c>
      <c r="F16" s="3">
        <v>4.7252109999999998</v>
      </c>
      <c r="G16" s="3">
        <v>4.7252109999999998</v>
      </c>
      <c r="H16" s="3">
        <v>4.7252109999999998</v>
      </c>
      <c r="I16" s="3">
        <v>4.7252109999999998</v>
      </c>
      <c r="J16" s="3">
        <v>4.7252109999999998</v>
      </c>
      <c r="K16" s="3">
        <v>4.7252109999999998</v>
      </c>
      <c r="L16" s="3">
        <v>4.7252109999999998</v>
      </c>
      <c r="M16" s="3">
        <v>4.7252109999999998</v>
      </c>
      <c r="N16" s="3">
        <v>4.7252109999999998</v>
      </c>
      <c r="O16" s="3">
        <v>4.7252109999999998</v>
      </c>
      <c r="P16" s="3">
        <v>4.7252109999999998</v>
      </c>
      <c r="Q16" s="3">
        <v>4.7252109999999998</v>
      </c>
      <c r="R16" s="3">
        <v>4.7252109999999998</v>
      </c>
      <c r="S16" s="3">
        <v>4.7252109999999998</v>
      </c>
      <c r="T16" s="3">
        <v>4.7252109999999998</v>
      </c>
      <c r="U16" s="3">
        <v>4.7252109999999998</v>
      </c>
      <c r="V16" s="3">
        <v>4.7252109999999998</v>
      </c>
      <c r="W16" s="3">
        <v>4.7252109999999998</v>
      </c>
      <c r="X16" s="3">
        <v>4.7252109999999998</v>
      </c>
      <c r="Y16" s="3">
        <v>4.7252109999999998</v>
      </c>
      <c r="Z16" s="3">
        <v>4.7252109999999998</v>
      </c>
      <c r="AA16" s="3">
        <v>4.7252109999999998</v>
      </c>
      <c r="AB16" s="3">
        <v>4.7252109999999998</v>
      </c>
      <c r="AC16" s="3">
        <v>4.7252109999999998</v>
      </c>
      <c r="AD16" s="3">
        <v>4.7252109999999998</v>
      </c>
      <c r="AE16" s="4" cm="1">
        <f t="array" ref="AE16:AE20">(AD16:AD20-D16:D20)/D16:D20</f>
        <v>0</v>
      </c>
    </row>
    <row r="17" spans="1:31" x14ac:dyDescent="0.25">
      <c r="A17" s="3" t="s">
        <v>17</v>
      </c>
      <c r="B17" s="3" t="s">
        <v>19</v>
      </c>
      <c r="C17" s="3" t="s">
        <v>3</v>
      </c>
      <c r="D17" s="3">
        <v>4.7252109999999998</v>
      </c>
      <c r="E17" s="3">
        <v>4.7252109999999998</v>
      </c>
      <c r="F17" s="3">
        <v>4.7252109999999998</v>
      </c>
      <c r="G17" s="3">
        <v>4.7252109999999998</v>
      </c>
      <c r="H17" s="3">
        <v>4.7252109999999998</v>
      </c>
      <c r="I17" s="3">
        <v>4.7252109999999998</v>
      </c>
      <c r="J17" s="3">
        <v>4.7252109999999998</v>
      </c>
      <c r="K17" s="3">
        <v>4.7252109999999998</v>
      </c>
      <c r="L17" s="3">
        <v>4.7252109999999998</v>
      </c>
      <c r="M17" s="3">
        <v>4.7252109999999998</v>
      </c>
      <c r="N17" s="3">
        <v>4.7252109999999998</v>
      </c>
      <c r="O17" s="3">
        <v>4.7252109999999998</v>
      </c>
      <c r="P17" s="3">
        <v>4.7252109999999998</v>
      </c>
      <c r="Q17" s="3">
        <v>4.7252109999999998</v>
      </c>
      <c r="R17" s="3">
        <v>4.7252109999999998</v>
      </c>
      <c r="S17" s="3">
        <v>4.7252109999999998</v>
      </c>
      <c r="T17" s="3">
        <v>4.7252109999999998</v>
      </c>
      <c r="U17" s="3">
        <v>4.7252109999999998</v>
      </c>
      <c r="V17" s="3">
        <v>4.7252109999999998</v>
      </c>
      <c r="W17" s="3">
        <v>4.7252109999999998</v>
      </c>
      <c r="X17" s="3">
        <v>4.7252109999999998</v>
      </c>
      <c r="Y17" s="3">
        <v>4.7252109999999998</v>
      </c>
      <c r="Z17" s="3">
        <v>4.7252109999999998</v>
      </c>
      <c r="AA17" s="3">
        <v>4.7252109999999998</v>
      </c>
      <c r="AB17" s="3">
        <v>4.7252109999999998</v>
      </c>
      <c r="AC17" s="3">
        <v>4.7252109999999998</v>
      </c>
      <c r="AD17" s="3">
        <v>4.7252109999999998</v>
      </c>
      <c r="AE17" s="4">
        <v>0</v>
      </c>
    </row>
    <row r="18" spans="1:31" x14ac:dyDescent="0.25">
      <c r="A18" s="3" t="s">
        <v>17</v>
      </c>
      <c r="B18" s="3" t="s">
        <v>21</v>
      </c>
      <c r="C18" s="3" t="s">
        <v>3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4" t="e">
        <v>#DIV/0!</v>
      </c>
    </row>
    <row r="19" spans="1:31" x14ac:dyDescent="0.25">
      <c r="A19" s="3" t="s">
        <v>17</v>
      </c>
      <c r="B19" s="3" t="s">
        <v>22</v>
      </c>
      <c r="C19" s="3" t="s">
        <v>3</v>
      </c>
      <c r="D19" s="3">
        <v>2.4802999999999999E-2</v>
      </c>
      <c r="E19" s="3">
        <v>0.170151</v>
      </c>
      <c r="F19" s="3">
        <v>0.42383999999999999</v>
      </c>
      <c r="G19" s="3">
        <v>0.81437800000000005</v>
      </c>
      <c r="H19" s="3">
        <v>1.3845080000000001</v>
      </c>
      <c r="I19" s="3">
        <v>2.0507610000000001</v>
      </c>
      <c r="J19" s="3">
        <v>2.8286820000000001</v>
      </c>
      <c r="K19" s="3">
        <v>4.5908540000000002</v>
      </c>
      <c r="L19" s="3">
        <v>8.6724130000000006</v>
      </c>
      <c r="M19" s="3">
        <v>12.346268</v>
      </c>
      <c r="N19" s="3">
        <v>15.655284999999999</v>
      </c>
      <c r="O19" s="3">
        <v>18.699171</v>
      </c>
      <c r="P19" s="3">
        <v>21.540552000000002</v>
      </c>
      <c r="Q19" s="3">
        <v>24.275278</v>
      </c>
      <c r="R19" s="3">
        <v>26.898223999999999</v>
      </c>
      <c r="S19" s="3">
        <v>29.359133</v>
      </c>
      <c r="T19" s="3">
        <v>31.857054000000002</v>
      </c>
      <c r="U19" s="3">
        <v>34.320281999999999</v>
      </c>
      <c r="V19" s="3">
        <v>36.655150999999996</v>
      </c>
      <c r="W19" s="3">
        <v>38.905811</v>
      </c>
      <c r="X19" s="3">
        <v>40.984177000000003</v>
      </c>
      <c r="Y19" s="3">
        <v>42.9529</v>
      </c>
      <c r="Z19" s="3">
        <v>44.793399999999998</v>
      </c>
      <c r="AA19" s="3">
        <v>46.365765000000003</v>
      </c>
      <c r="AB19" s="3">
        <v>47.839374999999997</v>
      </c>
      <c r="AC19" s="3">
        <v>49.294952000000002</v>
      </c>
      <c r="AD19" s="3">
        <v>50.424042</v>
      </c>
      <c r="AE19" s="4">
        <v>2031.9815748094991</v>
      </c>
    </row>
    <row r="20" spans="1:31" x14ac:dyDescent="0.25">
      <c r="A20" s="3" t="s">
        <v>17</v>
      </c>
      <c r="B20" s="3" t="s">
        <v>23</v>
      </c>
      <c r="C20" s="3" t="s">
        <v>3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4" t="e">
        <v>#DIV/0!</v>
      </c>
    </row>
    <row r="21" spans="1:31" x14ac:dyDescent="0.25">
      <c r="A21" s="3" t="s">
        <v>24</v>
      </c>
      <c r="B21" s="3" t="s">
        <v>26</v>
      </c>
      <c r="C21" s="3" t="s">
        <v>25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8.7510189999999994</v>
      </c>
      <c r="L21" s="3">
        <v>10.21317</v>
      </c>
      <c r="M21" s="3">
        <v>11.061033999999999</v>
      </c>
      <c r="N21" s="3">
        <v>11.44205</v>
      </c>
      <c r="O21" s="3">
        <v>11.719582000000001</v>
      </c>
      <c r="P21" s="3">
        <v>11.348668</v>
      </c>
      <c r="Q21" s="3">
        <v>9.8656199999999998</v>
      </c>
      <c r="R21" s="3">
        <v>9.7149359999999998</v>
      </c>
      <c r="S21" s="3">
        <v>9.5655330000000003</v>
      </c>
      <c r="T21" s="3">
        <v>9.4556249999999995</v>
      </c>
      <c r="U21" s="3">
        <v>9.4796569999999996</v>
      </c>
      <c r="V21" s="3">
        <v>9.4583320000000004</v>
      </c>
      <c r="W21" s="3">
        <v>9.3597560000000009</v>
      </c>
      <c r="X21" s="3">
        <v>9.1682760000000005</v>
      </c>
      <c r="Y21" s="3">
        <v>9.0071379999999994</v>
      </c>
      <c r="Z21" s="3">
        <v>8.9140899999999998</v>
      </c>
      <c r="AA21" s="3">
        <v>8.8439599999999992</v>
      </c>
      <c r="AB21" s="3">
        <v>8.7571840000000005</v>
      </c>
      <c r="AC21" s="3">
        <v>8.6936999999999998</v>
      </c>
      <c r="AD21" s="3">
        <v>8.6274460000000008</v>
      </c>
      <c r="AE21" s="4" t="e">
        <f>(AD21-D21)/D21</f>
        <v>#DIV/0!</v>
      </c>
    </row>
    <row r="22" spans="1:31" x14ac:dyDescent="0.25">
      <c r="A22" s="3" t="s">
        <v>27</v>
      </c>
      <c r="B22" s="3" t="s">
        <v>28</v>
      </c>
      <c r="C22" s="3" t="s">
        <v>25</v>
      </c>
      <c r="D22" s="3">
        <v>2.4635220000000002</v>
      </c>
      <c r="E22" s="3">
        <v>2.4635220000000002</v>
      </c>
      <c r="F22" s="3">
        <v>2.4635220000000002</v>
      </c>
      <c r="G22" s="3">
        <v>2.4635220000000002</v>
      </c>
      <c r="H22" s="3">
        <v>2.4635220000000002</v>
      </c>
      <c r="I22" s="3">
        <v>2.4635220000000002</v>
      </c>
      <c r="J22" s="3">
        <v>2.4635220000000002</v>
      </c>
      <c r="K22" s="3">
        <v>11.21454</v>
      </c>
      <c r="L22" s="3">
        <v>12.676691999999999</v>
      </c>
      <c r="M22" s="3">
        <v>13.524556</v>
      </c>
      <c r="N22" s="3">
        <v>13.905570000000001</v>
      </c>
      <c r="O22" s="3">
        <v>14.183102999999999</v>
      </c>
      <c r="P22" s="3">
        <v>13.812189999999999</v>
      </c>
      <c r="Q22" s="3">
        <v>12.329141999999999</v>
      </c>
      <c r="R22" s="3">
        <v>12.178457</v>
      </c>
      <c r="S22" s="3">
        <v>12.029055</v>
      </c>
      <c r="T22" s="3">
        <v>11.919147000000001</v>
      </c>
      <c r="U22" s="3">
        <v>11.943178</v>
      </c>
      <c r="V22" s="3">
        <v>11.921854</v>
      </c>
      <c r="W22" s="3">
        <v>11.823278</v>
      </c>
      <c r="X22" s="3">
        <v>11.631798</v>
      </c>
      <c r="Y22" s="3">
        <v>11.470658999999999</v>
      </c>
      <c r="Z22" s="3">
        <v>11.377611999999999</v>
      </c>
      <c r="AA22" s="3">
        <v>11.307480999999999</v>
      </c>
      <c r="AB22" s="3">
        <v>11.220706</v>
      </c>
      <c r="AC22" s="3">
        <v>11.157221</v>
      </c>
      <c r="AD22" s="3">
        <v>11.090968999999999</v>
      </c>
      <c r="AE22" s="4" cm="1">
        <f t="array" ref="AE22:AE24">(AD22:AD24-D22:D24)/D22:D24</f>
        <v>3.5020783252595264</v>
      </c>
    </row>
    <row r="23" spans="1:31" x14ac:dyDescent="0.25">
      <c r="A23" s="3" t="s">
        <v>27</v>
      </c>
      <c r="B23" s="3" t="s">
        <v>22</v>
      </c>
      <c r="C23" s="3" t="s">
        <v>25</v>
      </c>
      <c r="D23" s="3">
        <v>52.555137999999999</v>
      </c>
      <c r="E23" s="3">
        <v>52.555137999999999</v>
      </c>
      <c r="F23" s="3">
        <v>52.555137999999999</v>
      </c>
      <c r="G23" s="3">
        <v>52.555137999999999</v>
      </c>
      <c r="H23" s="3">
        <v>52.555137999999999</v>
      </c>
      <c r="I23" s="3">
        <v>52.555137999999999</v>
      </c>
      <c r="J23" s="3">
        <v>52.555137999999999</v>
      </c>
      <c r="K23" s="3">
        <v>61.306175000000003</v>
      </c>
      <c r="L23" s="3">
        <v>62.768279999999997</v>
      </c>
      <c r="M23" s="3">
        <v>63.616137999999999</v>
      </c>
      <c r="N23" s="3">
        <v>63.997115999999998</v>
      </c>
      <c r="O23" s="3">
        <v>64.274688999999995</v>
      </c>
      <c r="P23" s="3">
        <v>63.903854000000003</v>
      </c>
      <c r="Q23" s="3">
        <v>62.420752999999998</v>
      </c>
      <c r="R23" s="3">
        <v>62.270057999999999</v>
      </c>
      <c r="S23" s="3">
        <v>62.120663</v>
      </c>
      <c r="T23" s="3">
        <v>62.010773</v>
      </c>
      <c r="U23" s="3">
        <v>62.034801000000002</v>
      </c>
      <c r="V23" s="3">
        <v>62.013477000000002</v>
      </c>
      <c r="W23" s="3">
        <v>61.914901999999998</v>
      </c>
      <c r="X23" s="3">
        <v>61.723422999999997</v>
      </c>
      <c r="Y23" s="3">
        <v>61.562283000000001</v>
      </c>
      <c r="Z23" s="3">
        <v>61.469234</v>
      </c>
      <c r="AA23" s="3">
        <v>61.399109000000003</v>
      </c>
      <c r="AB23" s="3">
        <v>61.312325000000001</v>
      </c>
      <c r="AC23" s="3">
        <v>61.248848000000002</v>
      </c>
      <c r="AD23" s="3">
        <v>61.182586999999998</v>
      </c>
      <c r="AE23" s="4">
        <v>0.16415995330466068</v>
      </c>
    </row>
    <row r="24" spans="1:31" x14ac:dyDescent="0.25">
      <c r="A24" s="3" t="s">
        <v>27</v>
      </c>
      <c r="B24" s="3" t="s">
        <v>23</v>
      </c>
      <c r="C24" s="3" t="s">
        <v>25</v>
      </c>
      <c r="D24" s="3">
        <v>2.4635220000000002</v>
      </c>
      <c r="E24" s="3">
        <v>2.4635220000000002</v>
      </c>
      <c r="F24" s="3">
        <v>2.4635220000000002</v>
      </c>
      <c r="G24" s="3">
        <v>2.4635220000000002</v>
      </c>
      <c r="H24" s="3">
        <v>2.4635220000000002</v>
      </c>
      <c r="I24" s="3">
        <v>2.4635220000000002</v>
      </c>
      <c r="J24" s="3">
        <v>2.4635220000000002</v>
      </c>
      <c r="K24" s="3">
        <v>11.21454</v>
      </c>
      <c r="L24" s="3">
        <v>12.676691999999999</v>
      </c>
      <c r="M24" s="3">
        <v>13.524556</v>
      </c>
      <c r="N24" s="3">
        <v>13.905570000000001</v>
      </c>
      <c r="O24" s="3">
        <v>14.183102999999999</v>
      </c>
      <c r="P24" s="3">
        <v>13.812189999999999</v>
      </c>
      <c r="Q24" s="3">
        <v>12.329141999999999</v>
      </c>
      <c r="R24" s="3">
        <v>12.178457</v>
      </c>
      <c r="S24" s="3">
        <v>12.029055</v>
      </c>
      <c r="T24" s="3">
        <v>11.919147000000001</v>
      </c>
      <c r="U24" s="3">
        <v>11.943178</v>
      </c>
      <c r="V24" s="3">
        <v>11.921854</v>
      </c>
      <c r="W24" s="3">
        <v>11.823278</v>
      </c>
      <c r="X24" s="3">
        <v>11.631798</v>
      </c>
      <c r="Y24" s="3">
        <v>11.470658999999999</v>
      </c>
      <c r="Z24" s="3">
        <v>11.377611999999999</v>
      </c>
      <c r="AA24" s="3">
        <v>11.307480999999999</v>
      </c>
      <c r="AB24" s="3">
        <v>11.220706</v>
      </c>
      <c r="AC24" s="3">
        <v>11.157221</v>
      </c>
      <c r="AD24" s="3">
        <v>11.090968999999999</v>
      </c>
      <c r="AE24" s="4">
        <v>3.5020783252595264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4"/>
  <sheetViews>
    <sheetView tabSelected="1" topLeftCell="C1" zoomScale="70" zoomScaleNormal="70" workbookViewId="0">
      <selection activeCell="A42" sqref="A42"/>
    </sheetView>
  </sheetViews>
  <sheetFormatPr defaultColWidth="8.7109375" defaultRowHeight="15" x14ac:dyDescent="0.25"/>
  <cols>
    <col min="1" max="1" width="65.7109375" style="2" bestFit="1" customWidth="1"/>
    <col min="2" max="2" width="54.85546875" style="2" bestFit="1" customWidth="1"/>
    <col min="3" max="4" width="8.7109375" style="2"/>
    <col min="5" max="5" width="15" style="2" bestFit="1" customWidth="1"/>
    <col min="6" max="6" width="8.7109375" style="2"/>
    <col min="7" max="20" width="12.42578125" style="2" bestFit="1" customWidth="1"/>
    <col min="21" max="30" width="13.5703125" style="2" bestFit="1" customWidth="1"/>
    <col min="31" max="31" width="8.28515625" style="2" bestFit="1" customWidth="1"/>
    <col min="32" max="33" width="13.5703125" style="2" bestFit="1" customWidth="1"/>
    <col min="34" max="34" width="20.7109375" style="2" bestFit="1" customWidth="1"/>
    <col min="35" max="16384" width="8.7109375" style="2"/>
  </cols>
  <sheetData>
    <row r="1" spans="1:34" s="1" customFormat="1" ht="15.75" thickBot="1" x14ac:dyDescent="0.3">
      <c r="A1" s="6" t="s">
        <v>39</v>
      </c>
      <c r="B1" s="6" t="s">
        <v>40</v>
      </c>
      <c r="C1" s="6"/>
      <c r="D1" s="6"/>
      <c r="E1" s="6" t="s">
        <v>0</v>
      </c>
      <c r="F1" s="6"/>
      <c r="G1" s="6">
        <v>2024</v>
      </c>
      <c r="H1" s="6">
        <v>2025</v>
      </c>
      <c r="I1" s="6">
        <v>2026</v>
      </c>
      <c r="J1" s="6">
        <v>2027</v>
      </c>
      <c r="K1" s="6">
        <v>2028</v>
      </c>
      <c r="L1" s="6">
        <v>2029</v>
      </c>
      <c r="M1" s="6">
        <v>2030</v>
      </c>
      <c r="N1" s="6">
        <v>2031</v>
      </c>
      <c r="O1" s="6">
        <v>2032</v>
      </c>
      <c r="P1" s="6">
        <v>2033</v>
      </c>
      <c r="Q1" s="6">
        <v>2034</v>
      </c>
      <c r="R1" s="6">
        <v>2035</v>
      </c>
      <c r="S1" s="6">
        <v>2036</v>
      </c>
      <c r="T1" s="6">
        <v>2037</v>
      </c>
      <c r="U1" s="6">
        <v>2038</v>
      </c>
      <c r="V1" s="6">
        <v>2039</v>
      </c>
      <c r="W1" s="6">
        <v>2040</v>
      </c>
      <c r="X1" s="6">
        <v>2041</v>
      </c>
      <c r="Y1" s="6">
        <v>2042</v>
      </c>
      <c r="Z1" s="6">
        <v>2043</v>
      </c>
      <c r="AA1" s="6">
        <v>2044</v>
      </c>
      <c r="AB1" s="6">
        <v>2045</v>
      </c>
      <c r="AC1" s="6">
        <v>2046</v>
      </c>
      <c r="AD1" s="6">
        <v>2047</v>
      </c>
      <c r="AE1" s="6">
        <v>2048</v>
      </c>
      <c r="AF1" s="1">
        <v>2049</v>
      </c>
      <c r="AG1" s="1">
        <v>2050</v>
      </c>
      <c r="AH1" s="1" t="s">
        <v>1</v>
      </c>
    </row>
    <row r="2" spans="1:34" ht="15.75" thickTop="1" x14ac:dyDescent="0.25">
      <c r="A2" s="3" t="s">
        <v>38</v>
      </c>
      <c r="B2" s="3" t="s">
        <v>2</v>
      </c>
      <c r="C2" s="3"/>
      <c r="D2" s="3"/>
      <c r="E2" s="3" t="s">
        <v>3</v>
      </c>
      <c r="F2" s="3"/>
      <c r="G2" s="3">
        <v>20.874338000000002</v>
      </c>
      <c r="H2" s="3">
        <v>21.366520000000001</v>
      </c>
      <c r="I2" s="3">
        <v>22.069357</v>
      </c>
      <c r="J2" s="3">
        <v>22.860745999999999</v>
      </c>
      <c r="K2" s="3">
        <v>23.341484000000001</v>
      </c>
      <c r="L2" s="3">
        <v>25.162310000000002</v>
      </c>
      <c r="M2" s="3">
        <v>26.643784</v>
      </c>
      <c r="N2" s="3">
        <v>29.93713</v>
      </c>
      <c r="O2" s="3">
        <v>36.262721999999997</v>
      </c>
      <c r="P2" s="3">
        <v>35.585273999999998</v>
      </c>
      <c r="Q2" s="3">
        <v>34.960788999999998</v>
      </c>
      <c r="R2" s="3">
        <v>34.383800999999998</v>
      </c>
      <c r="S2" s="3">
        <v>39.812660000000001</v>
      </c>
      <c r="T2" s="3">
        <v>45.202412000000002</v>
      </c>
      <c r="U2" s="3">
        <v>50.373443999999999</v>
      </c>
      <c r="V2" s="3">
        <v>55.329971</v>
      </c>
      <c r="W2" s="3">
        <v>60.360022999999998</v>
      </c>
      <c r="X2" s="3">
        <v>65.30162</v>
      </c>
      <c r="Y2" s="3">
        <v>69.986678999999995</v>
      </c>
      <c r="Z2" s="3">
        <v>74.403236000000007</v>
      </c>
      <c r="AA2" s="3">
        <v>79.670524999999998</v>
      </c>
      <c r="AB2" s="3">
        <v>91.082076999999998</v>
      </c>
      <c r="AC2" s="3">
        <v>97.061088999999996</v>
      </c>
      <c r="AD2" s="3">
        <v>100.805328</v>
      </c>
      <c r="AE2" s="4" t="e" cm="1">
        <f t="array" ref="AE2:AE6">(AD2:AD6-D2:D6)/D2:D6</f>
        <v>#DIV/0!</v>
      </c>
      <c r="AF2" s="2">
        <v>107.946365</v>
      </c>
      <c r="AG2" s="2">
        <v>120.608093</v>
      </c>
      <c r="AH2" s="2" t="s">
        <v>31</v>
      </c>
    </row>
    <row r="3" spans="1:34" x14ac:dyDescent="0.25">
      <c r="A3" s="3" t="s">
        <v>38</v>
      </c>
      <c r="B3" s="3" t="s">
        <v>4</v>
      </c>
      <c r="C3" s="3"/>
      <c r="D3" s="3"/>
      <c r="E3" s="3" t="s">
        <v>3</v>
      </c>
      <c r="F3" s="3"/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1.1697200000000001</v>
      </c>
      <c r="P3" s="3">
        <v>8.6216480000000004</v>
      </c>
      <c r="Q3" s="3">
        <v>15.491002</v>
      </c>
      <c r="R3" s="3">
        <v>21.837820000000001</v>
      </c>
      <c r="S3" s="3">
        <v>21.837820000000001</v>
      </c>
      <c r="T3" s="3">
        <v>21.837820000000001</v>
      </c>
      <c r="U3" s="3">
        <v>21.837820000000001</v>
      </c>
      <c r="V3" s="3">
        <v>21.837820000000001</v>
      </c>
      <c r="W3" s="3">
        <v>21.837820000000001</v>
      </c>
      <c r="X3" s="3">
        <v>21.837820000000001</v>
      </c>
      <c r="Y3" s="3">
        <v>21.837820000000001</v>
      </c>
      <c r="Z3" s="3">
        <v>21.837820000000001</v>
      </c>
      <c r="AA3" s="3">
        <v>20.668098000000001</v>
      </c>
      <c r="AB3" s="3">
        <v>13.21617</v>
      </c>
      <c r="AC3" s="3">
        <v>11.028826</v>
      </c>
      <c r="AD3" s="3">
        <v>10.688440999999999</v>
      </c>
      <c r="AE3" s="4" t="e">
        <v>#DIV/0!</v>
      </c>
      <c r="AF3" s="2">
        <v>9.9110929999999993</v>
      </c>
      <c r="AG3" s="2">
        <v>0</v>
      </c>
      <c r="AH3" s="2" t="s">
        <v>5</v>
      </c>
    </row>
    <row r="4" spans="1:34" x14ac:dyDescent="0.25">
      <c r="A4" s="3" t="s">
        <v>38</v>
      </c>
      <c r="B4" s="3" t="s">
        <v>6</v>
      </c>
      <c r="C4" s="3"/>
      <c r="D4" s="3"/>
      <c r="E4" s="3" t="s">
        <v>3</v>
      </c>
      <c r="F4" s="3"/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4" t="e">
        <v>#DIV/0!</v>
      </c>
      <c r="AF4" s="2">
        <v>0</v>
      </c>
      <c r="AG4" s="2">
        <v>0</v>
      </c>
      <c r="AH4" s="2" t="s">
        <v>5</v>
      </c>
    </row>
    <row r="5" spans="1:34" x14ac:dyDescent="0.25">
      <c r="A5" s="3" t="s">
        <v>38</v>
      </c>
      <c r="B5" s="3" t="s">
        <v>7</v>
      </c>
      <c r="C5" s="3"/>
      <c r="D5" s="3"/>
      <c r="E5" s="3" t="s">
        <v>3</v>
      </c>
      <c r="F5" s="3"/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4" t="e">
        <v>#DIV/0!</v>
      </c>
      <c r="AF5" s="2">
        <v>0</v>
      </c>
      <c r="AG5" s="2">
        <v>0</v>
      </c>
      <c r="AH5" s="2" t="s">
        <v>5</v>
      </c>
    </row>
    <row r="6" spans="1:34" x14ac:dyDescent="0.25">
      <c r="A6" s="3" t="s">
        <v>38</v>
      </c>
      <c r="B6" s="5" t="s">
        <v>8</v>
      </c>
      <c r="C6" s="3"/>
      <c r="D6" s="3"/>
      <c r="E6" s="3" t="s">
        <v>3</v>
      </c>
      <c r="F6" s="3"/>
      <c r="G6" s="3">
        <v>20.874338000000002</v>
      </c>
      <c r="H6" s="3">
        <v>21.366520000000001</v>
      </c>
      <c r="I6" s="3">
        <v>22.069357</v>
      </c>
      <c r="J6" s="3">
        <v>22.860745999999999</v>
      </c>
      <c r="K6" s="3">
        <v>23.341484000000001</v>
      </c>
      <c r="L6" s="3">
        <v>25.162310000000002</v>
      </c>
      <c r="M6" s="3">
        <v>26.643784</v>
      </c>
      <c r="N6" s="3">
        <v>29.93713</v>
      </c>
      <c r="O6" s="3">
        <v>37.432437999999998</v>
      </c>
      <c r="P6" s="3">
        <v>44.206921000000001</v>
      </c>
      <c r="Q6" s="3">
        <v>50.451790000000003</v>
      </c>
      <c r="R6" s="3">
        <v>56.221622000000004</v>
      </c>
      <c r="S6" s="3">
        <v>61.650486000000001</v>
      </c>
      <c r="T6" s="3">
        <v>67.040229999999994</v>
      </c>
      <c r="U6" s="3">
        <v>72.211265999999995</v>
      </c>
      <c r="V6" s="3">
        <v>77.167793000000003</v>
      </c>
      <c r="W6" s="3">
        <v>82.197845000000001</v>
      </c>
      <c r="X6" s="3">
        <v>87.139435000000006</v>
      </c>
      <c r="Y6" s="3">
        <v>91.824493000000004</v>
      </c>
      <c r="Z6" s="3">
        <v>96.241050999999999</v>
      </c>
      <c r="AA6" s="3">
        <v>100.33863100000001</v>
      </c>
      <c r="AB6" s="3">
        <v>104.298241</v>
      </c>
      <c r="AC6" s="3">
        <v>108.08992000000001</v>
      </c>
      <c r="AD6" s="3">
        <v>111.49376700000001</v>
      </c>
      <c r="AE6" s="4" t="e">
        <v>#DIV/0!</v>
      </c>
      <c r="AF6" s="2">
        <v>117.85746</v>
      </c>
      <c r="AG6" s="2">
        <v>120.608093</v>
      </c>
      <c r="AH6" s="2" t="s">
        <v>31</v>
      </c>
    </row>
    <row r="7" spans="1:34" x14ac:dyDescent="0.25">
      <c r="A7" s="3" t="s">
        <v>9</v>
      </c>
      <c r="B7" s="3" t="s">
        <v>10</v>
      </c>
      <c r="C7" s="3"/>
      <c r="D7" s="3"/>
      <c r="E7" s="3" t="s">
        <v>3</v>
      </c>
      <c r="F7" s="3"/>
      <c r="G7" s="3">
        <v>28.661117999999998</v>
      </c>
      <c r="H7" s="3">
        <v>29.336898999999999</v>
      </c>
      <c r="I7" s="3">
        <v>30.301918000000001</v>
      </c>
      <c r="J7" s="3">
        <v>31.388521000000001</v>
      </c>
      <c r="K7" s="3">
        <v>32.048588000000002</v>
      </c>
      <c r="L7" s="3">
        <v>34.548636999999999</v>
      </c>
      <c r="M7" s="3">
        <v>36.582748000000002</v>
      </c>
      <c r="N7" s="3">
        <v>41.104618000000002</v>
      </c>
      <c r="O7" s="3">
        <v>51.504840999999999</v>
      </c>
      <c r="P7" s="3">
        <v>61.500374000000001</v>
      </c>
      <c r="Q7" s="3">
        <v>70.714478</v>
      </c>
      <c r="R7" s="3">
        <v>79.227683999999996</v>
      </c>
      <c r="S7" s="3">
        <v>86.681679000000003</v>
      </c>
      <c r="T7" s="3">
        <v>94.081978000000007</v>
      </c>
      <c r="U7" s="3">
        <v>101.181961</v>
      </c>
      <c r="V7" s="3">
        <v>107.987427</v>
      </c>
      <c r="W7" s="3">
        <v>114.893845</v>
      </c>
      <c r="X7" s="3">
        <v>121.67881</v>
      </c>
      <c r="Y7" s="3">
        <v>128.11154199999999</v>
      </c>
      <c r="Z7" s="3">
        <v>134.175613</v>
      </c>
      <c r="AA7" s="3">
        <v>139.69278</v>
      </c>
      <c r="AB7" s="3">
        <v>144.43550099999999</v>
      </c>
      <c r="AC7" s="3">
        <v>149.43789699999999</v>
      </c>
      <c r="AD7" s="3">
        <v>154.07978800000001</v>
      </c>
      <c r="AE7" s="4" t="e" cm="1">
        <f t="array" ref="AE7:AE9">(AD7:AD9-D7:D9)/D7:D9</f>
        <v>#DIV/0!</v>
      </c>
      <c r="AF7" s="2">
        <v>162.74494899999999</v>
      </c>
      <c r="AG7" s="2">
        <v>165.598679</v>
      </c>
      <c r="AH7" s="2" t="s">
        <v>31</v>
      </c>
    </row>
    <row r="8" spans="1:34" x14ac:dyDescent="0.25">
      <c r="A8" s="3" t="s">
        <v>9</v>
      </c>
      <c r="B8" s="3" t="s">
        <v>11</v>
      </c>
      <c r="C8" s="3"/>
      <c r="D8" s="3"/>
      <c r="E8" s="3" t="s">
        <v>3</v>
      </c>
      <c r="F8" s="3"/>
      <c r="G8" s="3">
        <v>6.9615999999999997E-2</v>
      </c>
      <c r="H8" s="3">
        <v>7.1258000000000002E-2</v>
      </c>
      <c r="I8" s="3">
        <v>7.3602000000000001E-2</v>
      </c>
      <c r="J8" s="3">
        <v>7.6241000000000003E-2</v>
      </c>
      <c r="K8" s="3">
        <v>7.7843999999999997E-2</v>
      </c>
      <c r="L8" s="3">
        <v>8.3917000000000005E-2</v>
      </c>
      <c r="M8" s="3">
        <v>8.8857000000000005E-2</v>
      </c>
      <c r="N8" s="3">
        <v>9.9840999999999999E-2</v>
      </c>
      <c r="O8" s="3">
        <v>0.165626</v>
      </c>
      <c r="P8" s="3">
        <v>0.44807000000000002</v>
      </c>
      <c r="Q8" s="3">
        <v>0.70843199999999995</v>
      </c>
      <c r="R8" s="3">
        <v>0.94899</v>
      </c>
      <c r="S8" s="3">
        <v>0.96709500000000004</v>
      </c>
      <c r="T8" s="3">
        <v>0.98507</v>
      </c>
      <c r="U8" s="3">
        <v>1.002316</v>
      </c>
      <c r="V8" s="3">
        <v>1.0188459999999999</v>
      </c>
      <c r="W8" s="3">
        <v>1.0356209999999999</v>
      </c>
      <c r="X8" s="3">
        <v>1.052101</v>
      </c>
      <c r="Y8" s="3">
        <v>1.067726</v>
      </c>
      <c r="Z8" s="3">
        <v>1.0824549999999999</v>
      </c>
      <c r="AA8" s="3">
        <v>1.0553319999999999</v>
      </c>
      <c r="AB8" s="3">
        <v>0.80868700000000004</v>
      </c>
      <c r="AC8" s="3">
        <v>0.74505900000000003</v>
      </c>
      <c r="AD8" s="3">
        <v>0.74454200000000004</v>
      </c>
      <c r="AE8" s="4" t="e">
        <v>#DIV/0!</v>
      </c>
      <c r="AF8" s="2">
        <v>0.73865899999999995</v>
      </c>
      <c r="AG8" s="2">
        <v>0.40222999999999998</v>
      </c>
      <c r="AH8" s="2" t="s">
        <v>31</v>
      </c>
    </row>
    <row r="9" spans="1:34" x14ac:dyDescent="0.25">
      <c r="A9" s="3" t="s">
        <v>9</v>
      </c>
      <c r="B9" s="3" t="s">
        <v>12</v>
      </c>
      <c r="C9" s="3"/>
      <c r="D9" s="3"/>
      <c r="E9" s="3" t="s">
        <v>3</v>
      </c>
      <c r="F9" s="3"/>
      <c r="G9" s="3">
        <v>28.730734000000002</v>
      </c>
      <c r="H9" s="3">
        <v>29.408156999999999</v>
      </c>
      <c r="I9" s="3">
        <v>30.375519000000001</v>
      </c>
      <c r="J9" s="3">
        <v>31.464762</v>
      </c>
      <c r="K9" s="3">
        <v>32.126430999999997</v>
      </c>
      <c r="L9" s="3">
        <v>34.632553000000001</v>
      </c>
      <c r="M9" s="3">
        <v>36.671604000000002</v>
      </c>
      <c r="N9" s="3">
        <v>41.204459999999997</v>
      </c>
      <c r="O9" s="3">
        <v>51.670467000000002</v>
      </c>
      <c r="P9" s="3">
        <v>61.948444000000002</v>
      </c>
      <c r="Q9" s="3">
        <v>71.422912999999994</v>
      </c>
      <c r="R9" s="3">
        <v>80.176674000000006</v>
      </c>
      <c r="S9" s="3">
        <v>87.648773000000006</v>
      </c>
      <c r="T9" s="3">
        <v>95.067047000000002</v>
      </c>
      <c r="U9" s="3">
        <v>102.18428</v>
      </c>
      <c r="V9" s="3">
        <v>109.006271</v>
      </c>
      <c r="W9" s="3">
        <v>115.92946600000001</v>
      </c>
      <c r="X9" s="3">
        <v>122.73091100000001</v>
      </c>
      <c r="Y9" s="3">
        <v>129.17926</v>
      </c>
      <c r="Z9" s="3">
        <v>135.258072</v>
      </c>
      <c r="AA9" s="3">
        <v>140.748108</v>
      </c>
      <c r="AB9" s="3">
        <v>145.24418600000001</v>
      </c>
      <c r="AC9" s="3">
        <v>150.182953</v>
      </c>
      <c r="AD9" s="3">
        <v>154.82432600000001</v>
      </c>
      <c r="AE9" s="4" t="e">
        <v>#DIV/0!</v>
      </c>
      <c r="AF9" s="2">
        <v>163.48361199999999</v>
      </c>
      <c r="AG9" s="2">
        <v>166.00091599999999</v>
      </c>
      <c r="AH9" s="2" t="s">
        <v>31</v>
      </c>
    </row>
    <row r="10" spans="1:34" x14ac:dyDescent="0.25">
      <c r="A10" s="3" t="s">
        <v>36</v>
      </c>
      <c r="B10" s="3" t="s">
        <v>10</v>
      </c>
      <c r="C10" s="3"/>
      <c r="D10" s="3"/>
      <c r="E10" s="3" t="s">
        <v>3</v>
      </c>
      <c r="F10" s="3"/>
      <c r="G10" s="3">
        <v>28.661117999999998</v>
      </c>
      <c r="H10" s="3">
        <v>29.336898999999999</v>
      </c>
      <c r="I10" s="3">
        <v>30.301918000000001</v>
      </c>
      <c r="J10" s="3">
        <v>31.388521000000001</v>
      </c>
      <c r="K10" s="3">
        <v>32.048588000000002</v>
      </c>
      <c r="L10" s="3">
        <v>34.548636999999999</v>
      </c>
      <c r="M10" s="3">
        <v>36.582748000000002</v>
      </c>
      <c r="N10" s="3">
        <v>41.104618000000002</v>
      </c>
      <c r="O10" s="3">
        <v>51.504840999999999</v>
      </c>
      <c r="P10" s="3">
        <v>61.500374000000001</v>
      </c>
      <c r="Q10" s="3">
        <v>70.714478</v>
      </c>
      <c r="R10" s="3">
        <v>79.227683999999996</v>
      </c>
      <c r="S10" s="3">
        <v>86.681679000000003</v>
      </c>
      <c r="T10" s="3">
        <v>94.081978000000007</v>
      </c>
      <c r="U10" s="3">
        <v>101.181961</v>
      </c>
      <c r="V10" s="3">
        <v>107.987427</v>
      </c>
      <c r="W10" s="3">
        <v>114.893845</v>
      </c>
      <c r="X10" s="3">
        <v>121.67881</v>
      </c>
      <c r="Y10" s="3">
        <v>128.11154199999999</v>
      </c>
      <c r="Z10" s="3">
        <v>134.175613</v>
      </c>
      <c r="AA10" s="3">
        <v>139.69278</v>
      </c>
      <c r="AB10" s="3">
        <v>144.43550099999999</v>
      </c>
      <c r="AC10" s="3">
        <v>149.43789699999999</v>
      </c>
      <c r="AD10" s="3">
        <v>154.07978800000001</v>
      </c>
      <c r="AE10" s="4" t="e" cm="1">
        <f t="array" ref="AE10:AE14">(AD10:AD14-D10:D14)/D10:D14</f>
        <v>#DIV/0!</v>
      </c>
      <c r="AF10" s="2">
        <v>162.74494899999999</v>
      </c>
      <c r="AG10" s="2">
        <v>165.598679</v>
      </c>
      <c r="AH10" s="2" t="s">
        <v>31</v>
      </c>
    </row>
    <row r="11" spans="1:34" x14ac:dyDescent="0.25">
      <c r="A11" s="3" t="s">
        <v>36</v>
      </c>
      <c r="B11" s="3" t="s">
        <v>13</v>
      </c>
      <c r="C11" s="3"/>
      <c r="D11" s="3"/>
      <c r="E11" s="3" t="s">
        <v>3</v>
      </c>
      <c r="F11" s="3"/>
      <c r="G11" s="3">
        <v>24.462254999999999</v>
      </c>
      <c r="H11" s="3">
        <v>25.039035999999999</v>
      </c>
      <c r="I11" s="3">
        <v>25.862679</v>
      </c>
      <c r="J11" s="3">
        <v>26.790094</v>
      </c>
      <c r="K11" s="3">
        <v>27.353459999999998</v>
      </c>
      <c r="L11" s="3">
        <v>29.487251000000001</v>
      </c>
      <c r="M11" s="3">
        <v>31.223365999999999</v>
      </c>
      <c r="N11" s="3">
        <v>35.082779000000002</v>
      </c>
      <c r="O11" s="3">
        <v>43.957897000000003</v>
      </c>
      <c r="P11" s="3">
        <v>52.479712999999997</v>
      </c>
      <c r="Q11" s="3">
        <v>60.335312000000002</v>
      </c>
      <c r="R11" s="3">
        <v>67.593352999999993</v>
      </c>
      <c r="S11" s="3">
        <v>73.955337999999998</v>
      </c>
      <c r="T11" s="3">
        <v>80.271484000000001</v>
      </c>
      <c r="U11" s="3">
        <v>86.331322</v>
      </c>
      <c r="V11" s="3">
        <v>92.139786000000001</v>
      </c>
      <c r="W11" s="3">
        <v>98.034415999999993</v>
      </c>
      <c r="X11" s="3">
        <v>103.825378</v>
      </c>
      <c r="Y11" s="3">
        <v>109.315712</v>
      </c>
      <c r="Z11" s="3">
        <v>114.491394</v>
      </c>
      <c r="AA11" s="3">
        <v>119.201775</v>
      </c>
      <c r="AB11" s="3">
        <v>123.25904800000001</v>
      </c>
      <c r="AC11" s="3">
        <v>127.531334</v>
      </c>
      <c r="AD11" s="3">
        <v>131.49362199999999</v>
      </c>
      <c r="AE11" s="4" t="e">
        <v>#DIV/0!</v>
      </c>
      <c r="AF11" s="2">
        <v>138.89030500000001</v>
      </c>
      <c r="AG11" s="2">
        <v>141.338425</v>
      </c>
      <c r="AH11" s="2" t="s">
        <v>31</v>
      </c>
    </row>
    <row r="12" spans="1:34" x14ac:dyDescent="0.25">
      <c r="A12" s="3" t="s">
        <v>36</v>
      </c>
      <c r="B12" s="3" t="s">
        <v>14</v>
      </c>
      <c r="C12" s="3"/>
      <c r="D12" s="3"/>
      <c r="E12" s="3" t="s">
        <v>3</v>
      </c>
      <c r="F12" s="3"/>
      <c r="G12" s="3">
        <v>4.1988620000000001</v>
      </c>
      <c r="H12" s="3">
        <v>4.2978639999999997</v>
      </c>
      <c r="I12" s="3">
        <v>4.4392399999999999</v>
      </c>
      <c r="J12" s="3">
        <v>4.598427</v>
      </c>
      <c r="K12" s="3">
        <v>4.6951270000000003</v>
      </c>
      <c r="L12" s="3">
        <v>5.0613849999999996</v>
      </c>
      <c r="M12" s="3">
        <v>5.3593830000000002</v>
      </c>
      <c r="N12" s="3">
        <v>6.0218379999999998</v>
      </c>
      <c r="O12" s="3">
        <v>7.5469439999999999</v>
      </c>
      <c r="P12" s="3">
        <v>9.0206599999999995</v>
      </c>
      <c r="Q12" s="3">
        <v>10.379165</v>
      </c>
      <c r="R12" s="3">
        <v>11.634331</v>
      </c>
      <c r="S12" s="3">
        <v>12.726343</v>
      </c>
      <c r="T12" s="3">
        <v>13.810489</v>
      </c>
      <c r="U12" s="3">
        <v>14.850638</v>
      </c>
      <c r="V12" s="3">
        <v>15.847640999999999</v>
      </c>
      <c r="W12" s="3">
        <v>16.859434</v>
      </c>
      <c r="X12" s="3">
        <v>17.853432000000002</v>
      </c>
      <c r="Y12" s="3">
        <v>18.795829999999999</v>
      </c>
      <c r="Z12" s="3">
        <v>19.684217</v>
      </c>
      <c r="AA12" s="3">
        <v>20.491014</v>
      </c>
      <c r="AB12" s="3">
        <v>21.176455000000001</v>
      </c>
      <c r="AC12" s="3">
        <v>21.906556999999999</v>
      </c>
      <c r="AD12" s="3">
        <v>22.586168000000001</v>
      </c>
      <c r="AE12" s="4" t="e">
        <v>#DIV/0!</v>
      </c>
      <c r="AF12" s="2">
        <v>23.854638999999999</v>
      </c>
      <c r="AG12" s="2">
        <v>24.260252000000001</v>
      </c>
      <c r="AH12" s="2" t="s">
        <v>31</v>
      </c>
    </row>
    <row r="13" spans="1:34" x14ac:dyDescent="0.25">
      <c r="A13" s="3" t="s">
        <v>36</v>
      </c>
      <c r="B13" s="3" t="s">
        <v>15</v>
      </c>
      <c r="C13" s="3"/>
      <c r="D13" s="3"/>
      <c r="E13" s="3" t="s">
        <v>3</v>
      </c>
      <c r="F13" s="3"/>
      <c r="G13" s="3">
        <v>6.9615999999999997E-2</v>
      </c>
      <c r="H13" s="3">
        <v>7.1258000000000002E-2</v>
      </c>
      <c r="I13" s="3">
        <v>7.3602000000000001E-2</v>
      </c>
      <c r="J13" s="3">
        <v>7.6241000000000003E-2</v>
      </c>
      <c r="K13" s="3">
        <v>7.7843999999999997E-2</v>
      </c>
      <c r="L13" s="3">
        <v>8.3917000000000005E-2</v>
      </c>
      <c r="M13" s="3">
        <v>8.8857000000000005E-2</v>
      </c>
      <c r="N13" s="3">
        <v>9.9840999999999999E-2</v>
      </c>
      <c r="O13" s="3">
        <v>0.165626</v>
      </c>
      <c r="P13" s="3">
        <v>0.44807000000000002</v>
      </c>
      <c r="Q13" s="3">
        <v>0.70843199999999995</v>
      </c>
      <c r="R13" s="3">
        <v>0.94899</v>
      </c>
      <c r="S13" s="3">
        <v>0.96709500000000004</v>
      </c>
      <c r="T13" s="3">
        <v>0.98507</v>
      </c>
      <c r="U13" s="3">
        <v>1.002316</v>
      </c>
      <c r="V13" s="3">
        <v>1.0188459999999999</v>
      </c>
      <c r="W13" s="3">
        <v>1.0356209999999999</v>
      </c>
      <c r="X13" s="3">
        <v>1.052101</v>
      </c>
      <c r="Y13" s="3">
        <v>1.067726</v>
      </c>
      <c r="Z13" s="3">
        <v>1.0824549999999999</v>
      </c>
      <c r="AA13" s="3">
        <v>1.0553319999999999</v>
      </c>
      <c r="AB13" s="3">
        <v>0.80868700000000004</v>
      </c>
      <c r="AC13" s="3">
        <v>0.74505900000000003</v>
      </c>
      <c r="AD13" s="3">
        <v>0.74454200000000004</v>
      </c>
      <c r="AE13" s="4" t="e">
        <v>#DIV/0!</v>
      </c>
      <c r="AF13" s="2">
        <v>0.73865899999999995</v>
      </c>
      <c r="AG13" s="2">
        <v>0.40222999999999998</v>
      </c>
      <c r="AH13" s="2" t="s">
        <v>31</v>
      </c>
    </row>
    <row r="14" spans="1:34" x14ac:dyDescent="0.25">
      <c r="A14" s="3" t="s">
        <v>36</v>
      </c>
      <c r="B14" s="3" t="s">
        <v>16</v>
      </c>
      <c r="C14" s="3"/>
      <c r="D14" s="3"/>
      <c r="E14" s="3" t="s">
        <v>3</v>
      </c>
      <c r="F14" s="3"/>
      <c r="G14" s="3">
        <v>28.730734000000002</v>
      </c>
      <c r="H14" s="3">
        <v>29.408156999999999</v>
      </c>
      <c r="I14" s="3">
        <v>30.375519000000001</v>
      </c>
      <c r="J14" s="3">
        <v>31.464762</v>
      </c>
      <c r="K14" s="3">
        <v>32.126430999999997</v>
      </c>
      <c r="L14" s="3">
        <v>34.632553000000001</v>
      </c>
      <c r="M14" s="3">
        <v>36.671604000000002</v>
      </c>
      <c r="N14" s="3">
        <v>41.204459999999997</v>
      </c>
      <c r="O14" s="3">
        <v>51.670467000000002</v>
      </c>
      <c r="P14" s="3">
        <v>61.948444000000002</v>
      </c>
      <c r="Q14" s="3">
        <v>71.422912999999994</v>
      </c>
      <c r="R14" s="3">
        <v>80.176674000000006</v>
      </c>
      <c r="S14" s="3">
        <v>87.648773000000006</v>
      </c>
      <c r="T14" s="3">
        <v>95.067047000000002</v>
      </c>
      <c r="U14" s="3">
        <v>102.18428</v>
      </c>
      <c r="V14" s="3">
        <v>109.006271</v>
      </c>
      <c r="W14" s="3">
        <v>115.92946600000001</v>
      </c>
      <c r="X14" s="3">
        <v>122.73091100000001</v>
      </c>
      <c r="Y14" s="3">
        <v>129.17926</v>
      </c>
      <c r="Z14" s="3">
        <v>135.258072</v>
      </c>
      <c r="AA14" s="3">
        <v>140.748108</v>
      </c>
      <c r="AB14" s="3">
        <v>145.24418600000001</v>
      </c>
      <c r="AC14" s="3">
        <v>150.182953</v>
      </c>
      <c r="AD14" s="3">
        <v>154.82432600000001</v>
      </c>
      <c r="AE14" s="4" t="e">
        <v>#DIV/0!</v>
      </c>
      <c r="AF14" s="2">
        <v>163.48361199999999</v>
      </c>
      <c r="AG14" s="2">
        <v>166.00091599999999</v>
      </c>
      <c r="AH14" s="2" t="s">
        <v>31</v>
      </c>
    </row>
    <row r="15" spans="1:34" x14ac:dyDescent="0.25">
      <c r="A15" s="3" t="s">
        <v>37</v>
      </c>
      <c r="B15" s="3" t="s">
        <v>15</v>
      </c>
      <c r="C15" s="3"/>
      <c r="D15" s="3"/>
      <c r="E15" s="3" t="s">
        <v>3</v>
      </c>
      <c r="F15" s="3"/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4" t="e">
        <f>(AD15-D15)/D15</f>
        <v>#DIV/0!</v>
      </c>
      <c r="AF15" s="2">
        <v>0</v>
      </c>
      <c r="AG15" s="2">
        <v>0</v>
      </c>
      <c r="AH15" s="2" t="s">
        <v>5</v>
      </c>
    </row>
    <row r="16" spans="1:34" x14ac:dyDescent="0.25">
      <c r="A16" s="3" t="s">
        <v>17</v>
      </c>
      <c r="B16" s="3" t="s">
        <v>18</v>
      </c>
      <c r="C16" s="3"/>
      <c r="D16" s="3"/>
      <c r="E16" s="3" t="s">
        <v>3</v>
      </c>
      <c r="F16" s="3"/>
      <c r="G16" s="3">
        <v>20.828579000000001</v>
      </c>
      <c r="H16" s="3">
        <v>21.057983</v>
      </c>
      <c r="I16" s="3">
        <v>21.300079</v>
      </c>
      <c r="J16" s="3">
        <v>21.382712999999999</v>
      </c>
      <c r="K16" s="3">
        <v>20.973806</v>
      </c>
      <c r="L16" s="3">
        <v>19.574991000000001</v>
      </c>
      <c r="M16" s="3">
        <v>21.500273</v>
      </c>
      <c r="N16" s="3">
        <v>21.587852000000002</v>
      </c>
      <c r="O16" s="3">
        <v>21.650223</v>
      </c>
      <c r="P16" s="3">
        <v>21.704086</v>
      </c>
      <c r="Q16" s="3">
        <v>21.795567999999999</v>
      </c>
      <c r="R16" s="3">
        <v>21.895230999999999</v>
      </c>
      <c r="S16" s="3">
        <v>21.922308000000001</v>
      </c>
      <c r="T16" s="3">
        <v>22.046040999999999</v>
      </c>
      <c r="U16" s="3">
        <v>22.119579000000002</v>
      </c>
      <c r="V16" s="3">
        <v>22.192032000000001</v>
      </c>
      <c r="W16" s="3">
        <v>22.282485999999999</v>
      </c>
      <c r="X16" s="3">
        <v>22.375910000000001</v>
      </c>
      <c r="Y16" s="3">
        <v>22.465067000000001</v>
      </c>
      <c r="Z16" s="3">
        <v>22.539553000000002</v>
      </c>
      <c r="AA16" s="3">
        <v>22.633244000000001</v>
      </c>
      <c r="AB16" s="3">
        <v>22.724333000000001</v>
      </c>
      <c r="AC16" s="3">
        <v>22.796600000000002</v>
      </c>
      <c r="AD16" s="3">
        <v>22.878273</v>
      </c>
      <c r="AE16" s="4" t="e" cm="1">
        <f t="array" ref="AE16:AE20">(AD16:AD20-D16:D20)/D16:D20</f>
        <v>#DIV/0!</v>
      </c>
      <c r="AF16" s="2">
        <v>23.045696</v>
      </c>
      <c r="AG16" s="2">
        <v>23.118034000000002</v>
      </c>
      <c r="AH16" s="2" t="s">
        <v>32</v>
      </c>
    </row>
    <row r="17" spans="1:34" x14ac:dyDescent="0.25">
      <c r="A17" s="3" t="s">
        <v>17</v>
      </c>
      <c r="B17" s="3" t="s">
        <v>19</v>
      </c>
      <c r="C17" s="3"/>
      <c r="D17" s="3"/>
      <c r="E17" s="3" t="s">
        <v>3</v>
      </c>
      <c r="F17" s="3"/>
      <c r="G17" s="3">
        <v>17.028390999999999</v>
      </c>
      <c r="H17" s="3">
        <v>17.028390999999999</v>
      </c>
      <c r="I17" s="3">
        <v>17.028390999999999</v>
      </c>
      <c r="J17" s="3">
        <v>17.028390999999999</v>
      </c>
      <c r="K17" s="3">
        <v>16.607779000000001</v>
      </c>
      <c r="L17" s="3">
        <v>15.171492000000001</v>
      </c>
      <c r="M17" s="3">
        <v>17.028390999999999</v>
      </c>
      <c r="N17" s="3">
        <v>17.028390999999999</v>
      </c>
      <c r="O17" s="3">
        <v>17.028390999999999</v>
      </c>
      <c r="P17" s="3">
        <v>17.028390999999999</v>
      </c>
      <c r="Q17" s="3">
        <v>17.028390999999999</v>
      </c>
      <c r="R17" s="3">
        <v>17.028390999999999</v>
      </c>
      <c r="S17" s="3">
        <v>17.028390999999999</v>
      </c>
      <c r="T17" s="3">
        <v>17.028390999999999</v>
      </c>
      <c r="U17" s="3">
        <v>17.028390999999999</v>
      </c>
      <c r="V17" s="3">
        <v>17.028390999999999</v>
      </c>
      <c r="W17" s="3">
        <v>17.028390999999999</v>
      </c>
      <c r="X17" s="3">
        <v>17.028390999999999</v>
      </c>
      <c r="Y17" s="3">
        <v>17.028390999999999</v>
      </c>
      <c r="Z17" s="3">
        <v>17.028390999999999</v>
      </c>
      <c r="AA17" s="3">
        <v>17.028390999999999</v>
      </c>
      <c r="AB17" s="3">
        <v>17.028390999999999</v>
      </c>
      <c r="AC17" s="3">
        <v>17.028390999999999</v>
      </c>
      <c r="AD17" s="3">
        <v>17.028390999999999</v>
      </c>
      <c r="AE17" s="4" t="e">
        <v>#DIV/0!</v>
      </c>
      <c r="AF17" s="2">
        <v>17.028390999999999</v>
      </c>
      <c r="AG17" s="2">
        <v>17.028390999999999</v>
      </c>
      <c r="AH17" s="2" t="s">
        <v>20</v>
      </c>
    </row>
    <row r="18" spans="1:34" x14ac:dyDescent="0.25">
      <c r="A18" s="3" t="s">
        <v>17</v>
      </c>
      <c r="B18" s="3" t="s">
        <v>21</v>
      </c>
      <c r="C18" s="3"/>
      <c r="D18" s="3"/>
      <c r="E18" s="3" t="s">
        <v>3</v>
      </c>
      <c r="F18" s="3"/>
      <c r="G18" s="3">
        <v>3.8001879999999999</v>
      </c>
      <c r="H18" s="3">
        <v>4.0295930000000002</v>
      </c>
      <c r="I18" s="3">
        <v>4.2716880000000002</v>
      </c>
      <c r="J18" s="3">
        <v>4.3543219999999998</v>
      </c>
      <c r="K18" s="3">
        <v>4.366028</v>
      </c>
      <c r="L18" s="3">
        <v>4.4035000000000002</v>
      </c>
      <c r="M18" s="3">
        <v>4.4718819999999999</v>
      </c>
      <c r="N18" s="3">
        <v>4.5594619999999999</v>
      </c>
      <c r="O18" s="3">
        <v>4.6218320000000004</v>
      </c>
      <c r="P18" s="3">
        <v>4.6756950000000002</v>
      </c>
      <c r="Q18" s="3">
        <v>4.7671780000000004</v>
      </c>
      <c r="R18" s="3">
        <v>4.8668399999999998</v>
      </c>
      <c r="S18" s="3">
        <v>4.8939170000000001</v>
      </c>
      <c r="T18" s="3">
        <v>5.0176509999999999</v>
      </c>
      <c r="U18" s="3">
        <v>5.0911879999999998</v>
      </c>
      <c r="V18" s="3">
        <v>5.1636410000000001</v>
      </c>
      <c r="W18" s="3">
        <v>5.2540950000000004</v>
      </c>
      <c r="X18" s="3">
        <v>5.3475190000000001</v>
      </c>
      <c r="Y18" s="3">
        <v>5.4366760000000003</v>
      </c>
      <c r="Z18" s="3">
        <v>5.5111619999999997</v>
      </c>
      <c r="AA18" s="3">
        <v>5.6048530000000003</v>
      </c>
      <c r="AB18" s="3">
        <v>5.6959419999999996</v>
      </c>
      <c r="AC18" s="3">
        <v>5.7682089999999997</v>
      </c>
      <c r="AD18" s="3">
        <v>5.849882</v>
      </c>
      <c r="AE18" s="4" t="e">
        <v>#DIV/0!</v>
      </c>
      <c r="AF18" s="2">
        <v>6.0173050000000003</v>
      </c>
      <c r="AG18" s="2">
        <v>6.0896429999999997</v>
      </c>
      <c r="AH18" s="2" t="s">
        <v>33</v>
      </c>
    </row>
    <row r="19" spans="1:34" x14ac:dyDescent="0.25">
      <c r="A19" s="3" t="s">
        <v>17</v>
      </c>
      <c r="B19" s="3" t="s">
        <v>22</v>
      </c>
      <c r="C19" s="3"/>
      <c r="D19" s="3"/>
      <c r="E19" s="3" t="s">
        <v>3</v>
      </c>
      <c r="F19" s="3"/>
      <c r="G19" s="3">
        <v>4.5756999999999999E-2</v>
      </c>
      <c r="H19" s="3">
        <v>0.30903999999999998</v>
      </c>
      <c r="I19" s="3">
        <v>0.76854599999999995</v>
      </c>
      <c r="J19" s="3">
        <v>1.4782919999999999</v>
      </c>
      <c r="K19" s="3">
        <v>2.5151910000000002</v>
      </c>
      <c r="L19" s="3">
        <v>3.7292010000000002</v>
      </c>
      <c r="M19" s="3">
        <v>5.1376049999999998</v>
      </c>
      <c r="N19" s="3">
        <v>8.3368149999999996</v>
      </c>
      <c r="O19" s="3">
        <v>15.756297999999999</v>
      </c>
      <c r="P19" s="3">
        <v>22.463695999999999</v>
      </c>
      <c r="Q19" s="3">
        <v>28.582612999999998</v>
      </c>
      <c r="R19" s="3">
        <v>34.257308999999999</v>
      </c>
      <c r="S19" s="3">
        <v>39.648918000000002</v>
      </c>
      <c r="T19" s="3">
        <v>44.896552999999997</v>
      </c>
      <c r="U19" s="3">
        <v>49.970202999999998</v>
      </c>
      <c r="V19" s="3">
        <v>54.822319</v>
      </c>
      <c r="W19" s="3">
        <v>59.738598000000003</v>
      </c>
      <c r="X19" s="3">
        <v>64.571929999999995</v>
      </c>
      <c r="Y19" s="3">
        <v>69.167648</v>
      </c>
      <c r="Z19" s="3">
        <v>73.521880999999993</v>
      </c>
      <c r="AA19" s="3">
        <v>77.613906999999998</v>
      </c>
      <c r="AB19" s="3">
        <v>81.543587000000002</v>
      </c>
      <c r="AC19" s="3">
        <v>85.308623999999995</v>
      </c>
      <c r="AD19" s="3">
        <v>88.681763000000004</v>
      </c>
      <c r="AE19" s="4" t="e">
        <v>#DIV/0!</v>
      </c>
      <c r="AF19" s="2">
        <v>95.037543999999997</v>
      </c>
      <c r="AG19" s="2">
        <v>97.702872999999997</v>
      </c>
      <c r="AH19" s="2" t="s">
        <v>34</v>
      </c>
    </row>
    <row r="20" spans="1:34" x14ac:dyDescent="0.25">
      <c r="A20" s="3" t="s">
        <v>17</v>
      </c>
      <c r="B20" s="3" t="s">
        <v>23</v>
      </c>
      <c r="C20" s="3"/>
      <c r="D20" s="3"/>
      <c r="E20" s="3" t="s">
        <v>3</v>
      </c>
      <c r="F20" s="3"/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4" t="e">
        <v>#DIV/0!</v>
      </c>
      <c r="AF20" s="2">
        <v>0</v>
      </c>
      <c r="AG20" s="2">
        <v>0</v>
      </c>
      <c r="AH20" s="2" t="s">
        <v>5</v>
      </c>
    </row>
    <row r="21" spans="1:34" x14ac:dyDescent="0.25">
      <c r="A21" s="3" t="s">
        <v>24</v>
      </c>
      <c r="B21" s="3" t="s">
        <v>26</v>
      </c>
      <c r="C21" s="3"/>
      <c r="D21" s="3"/>
      <c r="E21" s="3" t="s">
        <v>25</v>
      </c>
      <c r="F21" s="3"/>
      <c r="G21" s="3">
        <v>7.347734</v>
      </c>
      <c r="H21" s="3">
        <v>7.6390419999999999</v>
      </c>
      <c r="I21" s="3">
        <v>7.426024</v>
      </c>
      <c r="J21" s="3">
        <v>7.3972579999999999</v>
      </c>
      <c r="K21" s="3">
        <v>7.5239419999999999</v>
      </c>
      <c r="L21" s="3">
        <v>7.5874540000000001</v>
      </c>
      <c r="M21" s="3">
        <v>7.7530619999999999</v>
      </c>
      <c r="N21" s="3">
        <v>7.8786579999999997</v>
      </c>
      <c r="O21" s="3">
        <v>8.2581670000000003</v>
      </c>
      <c r="P21" s="3">
        <v>8.6462160000000008</v>
      </c>
      <c r="Q21" s="3">
        <v>8.8989969999999996</v>
      </c>
      <c r="R21" s="3">
        <v>9.0393310000000007</v>
      </c>
      <c r="S21" s="3">
        <v>9.0132729999999999</v>
      </c>
      <c r="T21" s="3">
        <v>8.9231780000000001</v>
      </c>
      <c r="U21" s="3">
        <v>8.8428730000000009</v>
      </c>
      <c r="V21" s="3">
        <v>8.7553049999999999</v>
      </c>
      <c r="W21" s="3">
        <v>8.7944379999999995</v>
      </c>
      <c r="X21" s="3">
        <v>8.9094960000000007</v>
      </c>
      <c r="Y21" s="3">
        <v>8.9631530000000001</v>
      </c>
      <c r="Z21" s="3">
        <v>8.8929980000000004</v>
      </c>
      <c r="AA21" s="3">
        <v>8.7526810000000008</v>
      </c>
      <c r="AB21" s="3">
        <v>8.7491319999999995</v>
      </c>
      <c r="AC21" s="3">
        <v>9.6657220000000006</v>
      </c>
      <c r="AD21" s="3">
        <v>9.7459589999999992</v>
      </c>
      <c r="AE21" s="4" t="e">
        <f>(AD21-D21)/D21</f>
        <v>#DIV/0!</v>
      </c>
      <c r="AF21" s="2">
        <v>10.306108999999999</v>
      </c>
      <c r="AG21" s="2">
        <v>8.6532300000000006</v>
      </c>
      <c r="AH21" s="2" t="s">
        <v>30</v>
      </c>
    </row>
    <row r="22" spans="1:34" x14ac:dyDescent="0.25">
      <c r="A22" s="3" t="s">
        <v>27</v>
      </c>
      <c r="B22" s="3" t="s">
        <v>28</v>
      </c>
      <c r="C22" s="3"/>
      <c r="D22" s="3"/>
      <c r="E22" s="3" t="s">
        <v>25</v>
      </c>
      <c r="F22" s="3"/>
      <c r="G22" s="3">
        <v>9.8112560000000002</v>
      </c>
      <c r="H22" s="3">
        <v>10.102563999999999</v>
      </c>
      <c r="I22" s="3">
        <v>9.8895459999999993</v>
      </c>
      <c r="J22" s="3">
        <v>9.8607800000000001</v>
      </c>
      <c r="K22" s="3">
        <v>9.9874650000000003</v>
      </c>
      <c r="L22" s="3">
        <v>10.050974999999999</v>
      </c>
      <c r="M22" s="3">
        <v>10.216583</v>
      </c>
      <c r="N22" s="3">
        <v>10.342180000000001</v>
      </c>
      <c r="O22" s="3">
        <v>10.721688</v>
      </c>
      <c r="P22" s="3">
        <v>11.109738</v>
      </c>
      <c r="Q22" s="3">
        <v>11.362519000000001</v>
      </c>
      <c r="R22" s="3">
        <v>11.502853</v>
      </c>
      <c r="S22" s="3">
        <v>11.476794999999999</v>
      </c>
      <c r="T22" s="3">
        <v>11.386699999999999</v>
      </c>
      <c r="U22" s="3">
        <v>11.306393999999999</v>
      </c>
      <c r="V22" s="3">
        <v>11.218826</v>
      </c>
      <c r="W22" s="3">
        <v>11.257960000000001</v>
      </c>
      <c r="X22" s="3">
        <v>11.373018</v>
      </c>
      <c r="Y22" s="3">
        <v>11.426674</v>
      </c>
      <c r="Z22" s="3">
        <v>11.35652</v>
      </c>
      <c r="AA22" s="3">
        <v>11.216203</v>
      </c>
      <c r="AB22" s="3">
        <v>11.212653</v>
      </c>
      <c r="AC22" s="3">
        <v>12.129244999999999</v>
      </c>
      <c r="AD22" s="3">
        <v>12.209479999999999</v>
      </c>
      <c r="AE22" s="4" t="e" cm="1">
        <f t="array" ref="AE22:AE24">(AD22:AD24-D22:D24)/D22:D24</f>
        <v>#DIV/0!</v>
      </c>
      <c r="AF22" s="2">
        <v>12.769631</v>
      </c>
      <c r="AG22" s="2">
        <v>11.116752</v>
      </c>
      <c r="AH22" s="2" t="s">
        <v>35</v>
      </c>
    </row>
    <row r="23" spans="1:34" x14ac:dyDescent="0.25">
      <c r="A23" s="3" t="s">
        <v>27</v>
      </c>
      <c r="B23" s="3" t="s">
        <v>22</v>
      </c>
      <c r="C23" s="3"/>
      <c r="D23" s="3"/>
      <c r="E23" s="3" t="s">
        <v>25</v>
      </c>
      <c r="F23" s="3"/>
      <c r="G23" s="3">
        <v>59.901699000000001</v>
      </c>
      <c r="H23" s="3">
        <v>60.193466000000001</v>
      </c>
      <c r="I23" s="3">
        <v>59.981147999999997</v>
      </c>
      <c r="J23" s="3">
        <v>59.952385</v>
      </c>
      <c r="K23" s="3">
        <v>60.079070999999999</v>
      </c>
      <c r="L23" s="3">
        <v>60.142586000000001</v>
      </c>
      <c r="M23" s="3">
        <v>60.308193000000003</v>
      </c>
      <c r="N23" s="3">
        <v>60.433791999999997</v>
      </c>
      <c r="O23" s="3">
        <v>60.813296999999999</v>
      </c>
      <c r="P23" s="3">
        <v>61.201340000000002</v>
      </c>
      <c r="Q23" s="3">
        <v>61.454121000000001</v>
      </c>
      <c r="R23" s="3">
        <v>61.594462999999998</v>
      </c>
      <c r="S23" s="3">
        <v>61.568409000000003</v>
      </c>
      <c r="T23" s="3">
        <v>61.47831</v>
      </c>
      <c r="U23" s="3">
        <v>61.398009999999999</v>
      </c>
      <c r="V23" s="3">
        <v>61.310431999999999</v>
      </c>
      <c r="W23" s="3">
        <v>61.349567</v>
      </c>
      <c r="X23" s="3">
        <v>61.464621999999999</v>
      </c>
      <c r="Y23" s="3">
        <v>61.518279999999997</v>
      </c>
      <c r="Z23" s="3">
        <v>61.448127999999997</v>
      </c>
      <c r="AA23" s="3">
        <v>61.307808000000001</v>
      </c>
      <c r="AB23" s="3">
        <v>61.304259999999999</v>
      </c>
      <c r="AC23" s="3">
        <v>62.220753000000002</v>
      </c>
      <c r="AD23" s="3">
        <v>62.300995</v>
      </c>
      <c r="AE23" s="4" t="e">
        <v>#DIV/0!</v>
      </c>
      <c r="AF23" s="2">
        <v>62.861136999999999</v>
      </c>
      <c r="AG23" s="2">
        <v>61.208354999999997</v>
      </c>
      <c r="AH23" s="2" t="s">
        <v>29</v>
      </c>
    </row>
    <row r="24" spans="1:34" x14ac:dyDescent="0.25">
      <c r="A24" s="3" t="s">
        <v>27</v>
      </c>
      <c r="B24" s="3" t="s">
        <v>23</v>
      </c>
      <c r="C24" s="3"/>
      <c r="D24" s="3"/>
      <c r="E24" s="3" t="s">
        <v>25</v>
      </c>
      <c r="F24" s="3"/>
      <c r="G24" s="3">
        <v>9.8112560000000002</v>
      </c>
      <c r="H24" s="3">
        <v>10.102563999999999</v>
      </c>
      <c r="I24" s="3">
        <v>9.8895459999999993</v>
      </c>
      <c r="J24" s="3">
        <v>9.8607800000000001</v>
      </c>
      <c r="K24" s="3">
        <v>9.9874650000000003</v>
      </c>
      <c r="L24" s="3">
        <v>10.050974999999999</v>
      </c>
      <c r="M24" s="3">
        <v>10.216583</v>
      </c>
      <c r="N24" s="3">
        <v>10.342180000000001</v>
      </c>
      <c r="O24" s="3">
        <v>10.721688</v>
      </c>
      <c r="P24" s="3">
        <v>11.109738</v>
      </c>
      <c r="Q24" s="3">
        <v>11.362519000000001</v>
      </c>
      <c r="R24" s="3">
        <v>11.502853</v>
      </c>
      <c r="S24" s="3">
        <v>11.476794999999999</v>
      </c>
      <c r="T24" s="3">
        <v>11.386699999999999</v>
      </c>
      <c r="U24" s="3">
        <v>11.306393999999999</v>
      </c>
      <c r="V24" s="3">
        <v>11.218826</v>
      </c>
      <c r="W24" s="3">
        <v>11.257960000000001</v>
      </c>
      <c r="X24" s="3">
        <v>11.373018</v>
      </c>
      <c r="Y24" s="3">
        <v>11.426674</v>
      </c>
      <c r="Z24" s="3">
        <v>11.35652</v>
      </c>
      <c r="AA24" s="3">
        <v>11.216203</v>
      </c>
      <c r="AB24" s="3">
        <v>11.212653</v>
      </c>
      <c r="AC24" s="3">
        <v>12.129244999999999</v>
      </c>
      <c r="AD24" s="3">
        <v>12.209479999999999</v>
      </c>
      <c r="AE24" s="4" t="e">
        <v>#DIV/0!</v>
      </c>
      <c r="AF24" s="2">
        <v>12.769631</v>
      </c>
      <c r="AG24" s="2">
        <v>11.116752</v>
      </c>
      <c r="AH24" s="2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24"/>
  <sheetViews>
    <sheetView tabSelected="1" zoomScale="70" zoomScaleNormal="70" workbookViewId="0">
      <selection activeCell="A42" sqref="A42"/>
    </sheetView>
  </sheetViews>
  <sheetFormatPr defaultColWidth="8.7109375" defaultRowHeight="15" x14ac:dyDescent="0.25"/>
  <cols>
    <col min="1" max="1" width="65.7109375" style="2" bestFit="1" customWidth="1"/>
    <col min="2" max="2" width="54.85546875" style="2" bestFit="1" customWidth="1"/>
    <col min="3" max="3" width="15" style="2" bestFit="1" customWidth="1"/>
    <col min="4" max="30" width="12.42578125" style="2" bestFit="1" customWidth="1"/>
    <col min="31" max="31" width="20.7109375" style="2" bestFit="1" customWidth="1"/>
    <col min="32" max="16384" width="8.7109375" style="2"/>
  </cols>
  <sheetData>
    <row r="1" spans="1:31" s="1" customFormat="1" ht="15.75" thickBot="1" x14ac:dyDescent="0.3">
      <c r="A1" s="6" t="s">
        <v>39</v>
      </c>
      <c r="B1" s="6" t="s">
        <v>40</v>
      </c>
      <c r="C1" s="6" t="s">
        <v>0</v>
      </c>
      <c r="D1" s="6">
        <v>2024</v>
      </c>
      <c r="E1" s="6">
        <v>2025</v>
      </c>
      <c r="F1" s="6">
        <v>2026</v>
      </c>
      <c r="G1" s="6">
        <v>2027</v>
      </c>
      <c r="H1" s="6">
        <v>2028</v>
      </c>
      <c r="I1" s="6">
        <v>2029</v>
      </c>
      <c r="J1" s="6">
        <v>2030</v>
      </c>
      <c r="K1" s="6">
        <v>2031</v>
      </c>
      <c r="L1" s="6">
        <v>2032</v>
      </c>
      <c r="M1" s="6">
        <v>2033</v>
      </c>
      <c r="N1" s="6">
        <v>2034</v>
      </c>
      <c r="O1" s="6">
        <v>2035</v>
      </c>
      <c r="P1" s="6">
        <v>2036</v>
      </c>
      <c r="Q1" s="6">
        <v>2037</v>
      </c>
      <c r="R1" s="6">
        <v>2038</v>
      </c>
      <c r="S1" s="6">
        <v>2039</v>
      </c>
      <c r="T1" s="6">
        <v>2040</v>
      </c>
      <c r="U1" s="6">
        <v>2041</v>
      </c>
      <c r="V1" s="6">
        <v>2042</v>
      </c>
      <c r="W1" s="6">
        <v>2043</v>
      </c>
      <c r="X1" s="6">
        <v>2044</v>
      </c>
      <c r="Y1" s="6">
        <v>2045</v>
      </c>
      <c r="Z1" s="6">
        <v>2046</v>
      </c>
      <c r="AA1" s="6">
        <v>2047</v>
      </c>
      <c r="AB1" s="6">
        <v>2048</v>
      </c>
      <c r="AC1" s="6">
        <v>2049</v>
      </c>
      <c r="AD1" s="6">
        <v>2050</v>
      </c>
      <c r="AE1" s="6" t="s">
        <v>1</v>
      </c>
    </row>
    <row r="2" spans="1:31" ht="15.75" thickTop="1" x14ac:dyDescent="0.25">
      <c r="A2" s="3" t="s">
        <v>38</v>
      </c>
      <c r="B2" s="3" t="s">
        <v>2</v>
      </c>
      <c r="C2" s="3" t="s">
        <v>3</v>
      </c>
      <c r="D2" s="3">
        <v>5.5500000000000002E-3</v>
      </c>
      <c r="E2" s="3">
        <v>3.6972999999999999E-2</v>
      </c>
      <c r="F2" s="3">
        <v>3.1572000000000003E-2</v>
      </c>
      <c r="G2" s="3">
        <v>2.3293999999999999E-2</v>
      </c>
      <c r="H2" s="3">
        <v>0.14286599999999999</v>
      </c>
      <c r="I2" s="3">
        <v>0.28129799999999999</v>
      </c>
      <c r="J2" s="3">
        <v>0.43959399999999998</v>
      </c>
      <c r="K2" s="3">
        <v>8.3100999999999994E-2</v>
      </c>
      <c r="L2" s="3">
        <v>0.26858300000000002</v>
      </c>
      <c r="M2" s="3">
        <v>0.94546300000000005</v>
      </c>
      <c r="N2" s="3">
        <v>1.3285480000000001</v>
      </c>
      <c r="O2" s="3">
        <v>1.6729540000000001</v>
      </c>
      <c r="P2" s="3">
        <v>1.995506</v>
      </c>
      <c r="Q2" s="3">
        <v>4.7151909999999999</v>
      </c>
      <c r="R2" s="3">
        <v>5.3010429999999999</v>
      </c>
      <c r="S2" s="3">
        <v>5.8733029999999999</v>
      </c>
      <c r="T2" s="3">
        <v>6.3514980000000003</v>
      </c>
      <c r="U2" s="3">
        <v>6.8097159999999999</v>
      </c>
      <c r="V2" s="3">
        <v>7.225352</v>
      </c>
      <c r="W2" s="3">
        <v>7.608066</v>
      </c>
      <c r="X2" s="3">
        <v>7.9464730000000001</v>
      </c>
      <c r="Y2" s="3">
        <v>8.2643649999999997</v>
      </c>
      <c r="Z2" s="3">
        <v>8.5441640000000003</v>
      </c>
      <c r="AA2" s="3">
        <v>8.3529260000000001</v>
      </c>
      <c r="AB2" s="3">
        <v>8.1553950000000004</v>
      </c>
      <c r="AC2" s="3">
        <v>7.9536340000000001</v>
      </c>
      <c r="AD2" s="3">
        <v>6.9921600000000002</v>
      </c>
      <c r="AE2" s="4" cm="1">
        <f t="array" ref="AE2:AE6">(AD2:AD6-D2:D6)/D2:D6</f>
        <v>1258.8486486486486</v>
      </c>
    </row>
    <row r="3" spans="1:31" x14ac:dyDescent="0.25">
      <c r="A3" s="3" t="s">
        <v>38</v>
      </c>
      <c r="B3" s="3" t="s">
        <v>4</v>
      </c>
      <c r="C3" s="3" t="s">
        <v>3</v>
      </c>
      <c r="D3" s="3">
        <v>0</v>
      </c>
      <c r="E3" s="3">
        <v>0</v>
      </c>
      <c r="F3" s="3">
        <v>5.9415000000000003E-2</v>
      </c>
      <c r="G3" s="3">
        <v>0.15046899999999999</v>
      </c>
      <c r="H3" s="3">
        <v>0.15046899999999999</v>
      </c>
      <c r="I3" s="3">
        <v>0.15046899999999999</v>
      </c>
      <c r="J3" s="3">
        <v>0.15046899999999999</v>
      </c>
      <c r="K3" s="3">
        <v>0.100313</v>
      </c>
      <c r="L3" s="3">
        <v>0.15046899999999999</v>
      </c>
      <c r="M3" s="3">
        <v>0.15046899999999999</v>
      </c>
      <c r="N3" s="3">
        <v>0.15046899999999999</v>
      </c>
      <c r="O3" s="3">
        <v>0.15046899999999999</v>
      </c>
      <c r="P3" s="3">
        <v>0.15046899999999999</v>
      </c>
      <c r="Q3" s="3">
        <v>0.15046899999999999</v>
      </c>
      <c r="R3" s="3">
        <v>9.1053999999999996E-2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4" t="e">
        <v>#DIV/0!</v>
      </c>
    </row>
    <row r="4" spans="1:31" x14ac:dyDescent="0.25">
      <c r="A4" s="3" t="s">
        <v>38</v>
      </c>
      <c r="B4" s="3" t="s">
        <v>6</v>
      </c>
      <c r="C4" s="3" t="s">
        <v>3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4" t="e">
        <v>#DIV/0!</v>
      </c>
    </row>
    <row r="5" spans="1:31" x14ac:dyDescent="0.25">
      <c r="A5" s="3" t="s">
        <v>38</v>
      </c>
      <c r="B5" s="3" t="s">
        <v>7</v>
      </c>
      <c r="C5" s="3" t="s">
        <v>3</v>
      </c>
      <c r="D5" s="3">
        <v>4.0000000000000003E-5</v>
      </c>
      <c r="E5" s="3">
        <v>4.0000000000000003E-5</v>
      </c>
      <c r="F5" s="3">
        <v>4.0000000000000003E-5</v>
      </c>
      <c r="G5" s="3">
        <v>4.0000000000000003E-5</v>
      </c>
      <c r="H5" s="3">
        <v>4.0000000000000003E-5</v>
      </c>
      <c r="I5" s="3">
        <v>4.0000000000000003E-5</v>
      </c>
      <c r="J5" s="3">
        <v>4.0000000000000003E-5</v>
      </c>
      <c r="K5" s="3">
        <v>4.0000000000000003E-5</v>
      </c>
      <c r="L5" s="3">
        <v>4.0000000000000003E-5</v>
      </c>
      <c r="M5" s="3">
        <v>4.0000000000000003E-5</v>
      </c>
      <c r="N5" s="3">
        <v>4.0000000000000003E-5</v>
      </c>
      <c r="O5" s="3">
        <v>4.0000000000000003E-5</v>
      </c>
      <c r="P5" s="3">
        <v>4.0000000000000003E-5</v>
      </c>
      <c r="Q5" s="3">
        <v>4.0000000000000003E-5</v>
      </c>
      <c r="R5" s="3">
        <v>4.0000000000000003E-5</v>
      </c>
      <c r="S5" s="3">
        <v>4.0000000000000003E-5</v>
      </c>
      <c r="T5" s="3">
        <v>4.0000000000000003E-5</v>
      </c>
      <c r="U5" s="3">
        <v>4.0000000000000003E-5</v>
      </c>
      <c r="V5" s="3">
        <v>4.0000000000000003E-5</v>
      </c>
      <c r="W5" s="3">
        <v>4.0000000000000003E-5</v>
      </c>
      <c r="X5" s="3">
        <v>4.0000000000000003E-5</v>
      </c>
      <c r="Y5" s="3">
        <v>4.0000000000000003E-5</v>
      </c>
      <c r="Z5" s="3">
        <v>4.0000000000000003E-5</v>
      </c>
      <c r="AA5" s="3">
        <v>4.0000000000000003E-5</v>
      </c>
      <c r="AB5" s="3">
        <v>4.0000000000000003E-5</v>
      </c>
      <c r="AC5" s="3">
        <v>4.0000000000000003E-5</v>
      </c>
      <c r="AD5" s="3">
        <v>4.0000000000000003E-5</v>
      </c>
      <c r="AE5" s="4">
        <v>0</v>
      </c>
    </row>
    <row r="6" spans="1:31" x14ac:dyDescent="0.25">
      <c r="A6" s="3" t="s">
        <v>38</v>
      </c>
      <c r="B6" s="5" t="s">
        <v>8</v>
      </c>
      <c r="C6" s="3" t="s">
        <v>3</v>
      </c>
      <c r="D6" s="3">
        <v>5.5900000000000004E-3</v>
      </c>
      <c r="E6" s="3">
        <v>3.7012999999999997E-2</v>
      </c>
      <c r="F6" s="3">
        <v>9.1026999999999997E-2</v>
      </c>
      <c r="G6" s="3">
        <v>0.17380300000000001</v>
      </c>
      <c r="H6" s="3">
        <v>0.293375</v>
      </c>
      <c r="I6" s="3">
        <v>0.431807</v>
      </c>
      <c r="J6" s="3">
        <v>0.59010300000000004</v>
      </c>
      <c r="K6" s="3">
        <v>0.183453</v>
      </c>
      <c r="L6" s="3">
        <v>0.41909200000000002</v>
      </c>
      <c r="M6" s="3">
        <v>1.0959730000000001</v>
      </c>
      <c r="N6" s="3">
        <v>1.4790570000000001</v>
      </c>
      <c r="O6" s="3">
        <v>1.8234630000000001</v>
      </c>
      <c r="P6" s="3">
        <v>2.1460149999999998</v>
      </c>
      <c r="Q6" s="3">
        <v>4.8657000000000004</v>
      </c>
      <c r="R6" s="3">
        <v>5.3921380000000001</v>
      </c>
      <c r="S6" s="3">
        <v>5.8733430000000002</v>
      </c>
      <c r="T6" s="3">
        <v>6.3515379999999997</v>
      </c>
      <c r="U6" s="3">
        <v>6.8097560000000001</v>
      </c>
      <c r="V6" s="3">
        <v>7.2253920000000003</v>
      </c>
      <c r="W6" s="3">
        <v>7.6081060000000003</v>
      </c>
      <c r="X6" s="3">
        <v>7.9465130000000004</v>
      </c>
      <c r="Y6" s="3">
        <v>8.264405</v>
      </c>
      <c r="Z6" s="3">
        <v>8.5442040000000006</v>
      </c>
      <c r="AA6" s="3">
        <v>8.3529660000000003</v>
      </c>
      <c r="AB6" s="3">
        <v>8.1554350000000007</v>
      </c>
      <c r="AC6" s="3">
        <v>7.9536740000000004</v>
      </c>
      <c r="AD6" s="3">
        <v>6.9922000000000004</v>
      </c>
      <c r="AE6" s="4">
        <v>1249.8407871198569</v>
      </c>
    </row>
    <row r="7" spans="1:31" x14ac:dyDescent="0.25">
      <c r="A7" s="3" t="s">
        <v>9</v>
      </c>
      <c r="B7" s="3" t="s">
        <v>10</v>
      </c>
      <c r="C7" s="3" t="s">
        <v>3</v>
      </c>
      <c r="D7" s="3">
        <v>7.6210000000000002E-3</v>
      </c>
      <c r="E7" s="3">
        <v>5.0764999999999998E-2</v>
      </c>
      <c r="F7" s="3">
        <v>0.13046099999999999</v>
      </c>
      <c r="G7" s="3">
        <v>0.25259500000000001</v>
      </c>
      <c r="H7" s="3">
        <v>0.416771</v>
      </c>
      <c r="I7" s="3">
        <v>0.60684199999999999</v>
      </c>
      <c r="J7" s="3">
        <v>0.824187</v>
      </c>
      <c r="K7" s="3">
        <v>0.26117400000000002</v>
      </c>
      <c r="L7" s="3">
        <v>0.58938400000000002</v>
      </c>
      <c r="M7" s="3">
        <v>1.5187619999999999</v>
      </c>
      <c r="N7" s="3">
        <v>2.0447489999999999</v>
      </c>
      <c r="O7" s="3">
        <v>2.51763</v>
      </c>
      <c r="P7" s="3">
        <v>2.9605030000000001</v>
      </c>
      <c r="Q7" s="3">
        <v>6.6947159999999997</v>
      </c>
      <c r="R7" s="3">
        <v>7.4119979999999996</v>
      </c>
      <c r="S7" s="3">
        <v>8.0642300000000002</v>
      </c>
      <c r="T7" s="3">
        <v>8.7208039999999993</v>
      </c>
      <c r="U7" s="3">
        <v>9.3499529999999993</v>
      </c>
      <c r="V7" s="3">
        <v>9.9206339999999997</v>
      </c>
      <c r="W7" s="3">
        <v>10.446113</v>
      </c>
      <c r="X7" s="3">
        <v>10.910755999999999</v>
      </c>
      <c r="Y7" s="3">
        <v>11.347232999999999</v>
      </c>
      <c r="Z7" s="3">
        <v>11.731405000000001</v>
      </c>
      <c r="AA7" s="3">
        <v>11.468828</v>
      </c>
      <c r="AB7" s="3">
        <v>11.197611999999999</v>
      </c>
      <c r="AC7" s="3">
        <v>10.920589</v>
      </c>
      <c r="AD7" s="3">
        <v>9.6004550000000002</v>
      </c>
      <c r="AE7" s="4" cm="1">
        <f t="array" ref="AE7:AE9">(AD7:AD9-D7:D9)/D7:D9</f>
        <v>1258.7369111665134</v>
      </c>
    </row>
    <row r="8" spans="1:31" x14ac:dyDescent="0.25">
      <c r="A8" s="3" t="s">
        <v>9</v>
      </c>
      <c r="B8" s="3" t="s">
        <v>11</v>
      </c>
      <c r="C8" s="3" t="s">
        <v>3</v>
      </c>
      <c r="D8" s="3">
        <v>1.9000000000000001E-5</v>
      </c>
      <c r="E8" s="3">
        <v>1.2300000000000001E-4</v>
      </c>
      <c r="F8" s="3">
        <v>2.3749999999999999E-3</v>
      </c>
      <c r="G8" s="3">
        <v>5.8259999999999996E-3</v>
      </c>
      <c r="H8" s="3">
        <v>6.2249999999999996E-3</v>
      </c>
      <c r="I8" s="3">
        <v>6.6870000000000002E-3</v>
      </c>
      <c r="J8" s="3">
        <v>7.2150000000000001E-3</v>
      </c>
      <c r="K8" s="3">
        <v>4.1099999999999999E-3</v>
      </c>
      <c r="L8" s="3">
        <v>6.6439999999999997E-3</v>
      </c>
      <c r="M8" s="3">
        <v>8.9020000000000002E-3</v>
      </c>
      <c r="N8" s="3">
        <v>1.0179000000000001E-2</v>
      </c>
      <c r="O8" s="3">
        <v>1.1328E-2</v>
      </c>
      <c r="P8" s="3">
        <v>1.2404E-2</v>
      </c>
      <c r="Q8" s="3">
        <v>2.1474E-2</v>
      </c>
      <c r="R8" s="3">
        <v>2.1158E-2</v>
      </c>
      <c r="S8" s="3">
        <v>1.9588000000000001E-2</v>
      </c>
      <c r="T8" s="3">
        <v>2.1181999999999999E-2</v>
      </c>
      <c r="U8" s="3">
        <v>2.2710999999999999E-2</v>
      </c>
      <c r="V8" s="3">
        <v>2.4097E-2</v>
      </c>
      <c r="W8" s="3">
        <v>2.5373E-2</v>
      </c>
      <c r="X8" s="3">
        <v>2.6502000000000001E-2</v>
      </c>
      <c r="Y8" s="3">
        <v>2.7562E-2</v>
      </c>
      <c r="Z8" s="3">
        <v>2.8494999999999999E-2</v>
      </c>
      <c r="AA8" s="3">
        <v>2.7857E-2</v>
      </c>
      <c r="AB8" s="3">
        <v>2.7198E-2</v>
      </c>
      <c r="AC8" s="3">
        <v>2.6526000000000001E-2</v>
      </c>
      <c r="AD8" s="3">
        <v>2.3318999999999999E-2</v>
      </c>
      <c r="AE8" s="4">
        <v>1226.3157894736839</v>
      </c>
    </row>
    <row r="9" spans="1:31" x14ac:dyDescent="0.25">
      <c r="A9" s="3" t="s">
        <v>9</v>
      </c>
      <c r="B9" s="3" t="s">
        <v>12</v>
      </c>
      <c r="C9" s="3" t="s">
        <v>3</v>
      </c>
      <c r="D9" s="3">
        <v>7.639E-3</v>
      </c>
      <c r="E9" s="3">
        <v>5.0888999999999997E-2</v>
      </c>
      <c r="F9" s="3">
        <v>0.13283600000000001</v>
      </c>
      <c r="G9" s="3">
        <v>0.25842100000000001</v>
      </c>
      <c r="H9" s="3">
        <v>0.42299599999999998</v>
      </c>
      <c r="I9" s="3">
        <v>0.61352899999999999</v>
      </c>
      <c r="J9" s="3">
        <v>0.83140199999999997</v>
      </c>
      <c r="K9" s="3">
        <v>0.26528400000000002</v>
      </c>
      <c r="L9" s="3">
        <v>0.59602900000000003</v>
      </c>
      <c r="M9" s="3">
        <v>1.5276639999999999</v>
      </c>
      <c r="N9" s="3">
        <v>2.054929</v>
      </c>
      <c r="O9" s="3">
        <v>2.5289579999999998</v>
      </c>
      <c r="P9" s="3">
        <v>2.9729070000000002</v>
      </c>
      <c r="Q9" s="3">
        <v>6.7161900000000001</v>
      </c>
      <c r="R9" s="3">
        <v>7.4331560000000003</v>
      </c>
      <c r="S9" s="3">
        <v>8.0838169999999998</v>
      </c>
      <c r="T9" s="3">
        <v>8.7419860000000007</v>
      </c>
      <c r="U9" s="3">
        <v>9.3726629999999993</v>
      </c>
      <c r="V9" s="3">
        <v>9.9447310000000009</v>
      </c>
      <c r="W9" s="3">
        <v>10.471486000000001</v>
      </c>
      <c r="X9" s="3">
        <v>10.937258</v>
      </c>
      <c r="Y9" s="3">
        <v>11.374795000000001</v>
      </c>
      <c r="Z9" s="3">
        <v>11.7599</v>
      </c>
      <c r="AA9" s="3">
        <v>11.496684999999999</v>
      </c>
      <c r="AB9" s="3">
        <v>11.224811000000001</v>
      </c>
      <c r="AC9" s="3">
        <v>10.947115</v>
      </c>
      <c r="AD9" s="3">
        <v>9.6237750000000002</v>
      </c>
      <c r="AE9" s="4">
        <v>1258.821311690012</v>
      </c>
    </row>
    <row r="10" spans="1:31" x14ac:dyDescent="0.25">
      <c r="A10" s="3" t="s">
        <v>36</v>
      </c>
      <c r="B10" s="3" t="s">
        <v>10</v>
      </c>
      <c r="C10" s="3" t="s">
        <v>3</v>
      </c>
      <c r="D10" s="3">
        <v>7.6210000000000002E-3</v>
      </c>
      <c r="E10" s="3">
        <v>5.0764999999999998E-2</v>
      </c>
      <c r="F10" s="3">
        <v>0.13046099999999999</v>
      </c>
      <c r="G10" s="3">
        <v>0.25259500000000001</v>
      </c>
      <c r="H10" s="3">
        <v>0.416771</v>
      </c>
      <c r="I10" s="3">
        <v>0.60684199999999999</v>
      </c>
      <c r="J10" s="3">
        <v>0.824187</v>
      </c>
      <c r="K10" s="3">
        <v>0.26117400000000002</v>
      </c>
      <c r="L10" s="3">
        <v>0.58938400000000002</v>
      </c>
      <c r="M10" s="3">
        <v>1.5187619999999999</v>
      </c>
      <c r="N10" s="3">
        <v>2.0447489999999999</v>
      </c>
      <c r="O10" s="3">
        <v>2.51763</v>
      </c>
      <c r="P10" s="3">
        <v>2.9605030000000001</v>
      </c>
      <c r="Q10" s="3">
        <v>6.6947159999999997</v>
      </c>
      <c r="R10" s="3">
        <v>7.4119979999999996</v>
      </c>
      <c r="S10" s="3">
        <v>8.0642300000000002</v>
      </c>
      <c r="T10" s="3">
        <v>8.7208039999999993</v>
      </c>
      <c r="U10" s="3">
        <v>9.3499529999999993</v>
      </c>
      <c r="V10" s="3">
        <v>9.9206339999999997</v>
      </c>
      <c r="W10" s="3">
        <v>10.446113</v>
      </c>
      <c r="X10" s="3">
        <v>10.910755999999999</v>
      </c>
      <c r="Y10" s="3">
        <v>11.347232999999999</v>
      </c>
      <c r="Z10" s="3">
        <v>11.731405000000001</v>
      </c>
      <c r="AA10" s="3">
        <v>11.468828</v>
      </c>
      <c r="AB10" s="3">
        <v>11.197611999999999</v>
      </c>
      <c r="AC10" s="3">
        <v>10.920589</v>
      </c>
      <c r="AD10" s="3">
        <v>9.6004550000000002</v>
      </c>
      <c r="AE10" s="4" cm="1">
        <f t="array" ref="AE10:AE14">(AD10:AD14-D10:D14)/D10:D14</f>
        <v>1258.7369111665134</v>
      </c>
    </row>
    <row r="11" spans="1:31" x14ac:dyDescent="0.25">
      <c r="A11" s="3" t="s">
        <v>36</v>
      </c>
      <c r="B11" s="3" t="s">
        <v>13</v>
      </c>
      <c r="C11" s="3" t="s">
        <v>3</v>
      </c>
      <c r="D11" s="3">
        <v>6.5040000000000002E-3</v>
      </c>
      <c r="E11" s="3">
        <v>4.3327999999999998E-2</v>
      </c>
      <c r="F11" s="3">
        <v>0.111274</v>
      </c>
      <c r="G11" s="3">
        <v>0.21540100000000001</v>
      </c>
      <c r="H11" s="3">
        <v>0.35552499999999998</v>
      </c>
      <c r="I11" s="3">
        <v>0.51775000000000004</v>
      </c>
      <c r="J11" s="3">
        <v>0.70325400000000005</v>
      </c>
      <c r="K11" s="3">
        <v>0.22278600000000001</v>
      </c>
      <c r="L11" s="3">
        <v>0.50285000000000002</v>
      </c>
      <c r="M11" s="3">
        <v>1.2960739999999999</v>
      </c>
      <c r="N11" s="3">
        <v>1.745004</v>
      </c>
      <c r="O11" s="3">
        <v>2.1486070000000002</v>
      </c>
      <c r="P11" s="3">
        <v>2.526599</v>
      </c>
      <c r="Q11" s="3">
        <v>5.713749</v>
      </c>
      <c r="R11" s="3">
        <v>6.3260240000000003</v>
      </c>
      <c r="S11" s="3">
        <v>6.8828180000000003</v>
      </c>
      <c r="T11" s="3">
        <v>7.4432039999999997</v>
      </c>
      <c r="U11" s="3">
        <v>7.9801830000000002</v>
      </c>
      <c r="V11" s="3">
        <v>8.4672579999999993</v>
      </c>
      <c r="W11" s="3">
        <v>8.9157539999999997</v>
      </c>
      <c r="X11" s="3">
        <v>9.3123269999999998</v>
      </c>
      <c r="Y11" s="3">
        <v>9.6848600000000005</v>
      </c>
      <c r="Z11" s="3">
        <v>10.012751</v>
      </c>
      <c r="AA11" s="3">
        <v>9.7886419999999994</v>
      </c>
      <c r="AB11" s="3">
        <v>9.5571579999999994</v>
      </c>
      <c r="AC11" s="3">
        <v>9.3207199999999997</v>
      </c>
      <c r="AD11" s="3">
        <v>8.1939860000000007</v>
      </c>
      <c r="AE11" s="4">
        <v>1258.8379458794589</v>
      </c>
    </row>
    <row r="12" spans="1:31" x14ac:dyDescent="0.25">
      <c r="A12" s="3" t="s">
        <v>36</v>
      </c>
      <c r="B12" s="3" t="s">
        <v>14</v>
      </c>
      <c r="C12" s="3" t="s">
        <v>3</v>
      </c>
      <c r="D12" s="3">
        <v>1.116E-3</v>
      </c>
      <c r="E12" s="3">
        <v>7.437E-3</v>
      </c>
      <c r="F12" s="3">
        <v>1.9186999999999999E-2</v>
      </c>
      <c r="G12" s="3">
        <v>3.7193999999999998E-2</v>
      </c>
      <c r="H12" s="3">
        <v>6.1246000000000002E-2</v>
      </c>
      <c r="I12" s="3">
        <v>8.9092000000000005E-2</v>
      </c>
      <c r="J12" s="3">
        <v>0.120933</v>
      </c>
      <c r="K12" s="3">
        <v>3.8387999999999999E-2</v>
      </c>
      <c r="L12" s="3">
        <v>8.6534E-2</v>
      </c>
      <c r="M12" s="3">
        <v>0.222688</v>
      </c>
      <c r="N12" s="3">
        <v>0.29974600000000001</v>
      </c>
      <c r="O12" s="3">
        <v>0.36902299999999999</v>
      </c>
      <c r="P12" s="3">
        <v>0.43390400000000001</v>
      </c>
      <c r="Q12" s="3">
        <v>0.98096700000000003</v>
      </c>
      <c r="R12" s="3">
        <v>1.085974</v>
      </c>
      <c r="S12" s="3">
        <v>1.1814119999999999</v>
      </c>
      <c r="T12" s="3">
        <v>1.2776000000000001</v>
      </c>
      <c r="U12" s="3">
        <v>1.3697710000000001</v>
      </c>
      <c r="V12" s="3">
        <v>1.453376</v>
      </c>
      <c r="W12" s="3">
        <v>1.5303580000000001</v>
      </c>
      <c r="X12" s="3">
        <v>1.5984290000000001</v>
      </c>
      <c r="Y12" s="3">
        <v>1.6623730000000001</v>
      </c>
      <c r="Z12" s="3">
        <v>1.7186539999999999</v>
      </c>
      <c r="AA12" s="3">
        <v>1.680186</v>
      </c>
      <c r="AB12" s="3">
        <v>1.6404529999999999</v>
      </c>
      <c r="AC12" s="3">
        <v>1.599869</v>
      </c>
      <c r="AD12" s="3">
        <v>1.406469</v>
      </c>
      <c r="AE12" s="4">
        <v>1259.2768817204301</v>
      </c>
    </row>
    <row r="13" spans="1:31" x14ac:dyDescent="0.25">
      <c r="A13" s="3" t="s">
        <v>36</v>
      </c>
      <c r="B13" s="3" t="s">
        <v>15</v>
      </c>
      <c r="C13" s="3" t="s">
        <v>3</v>
      </c>
      <c r="D13" s="3">
        <v>1.9000000000000001E-5</v>
      </c>
      <c r="E13" s="3">
        <v>1.2300000000000001E-4</v>
      </c>
      <c r="F13" s="3">
        <v>2.3749999999999999E-3</v>
      </c>
      <c r="G13" s="3">
        <v>5.8259999999999996E-3</v>
      </c>
      <c r="H13" s="3">
        <v>6.2249999999999996E-3</v>
      </c>
      <c r="I13" s="3">
        <v>6.6870000000000002E-3</v>
      </c>
      <c r="J13" s="3">
        <v>7.2150000000000001E-3</v>
      </c>
      <c r="K13" s="3">
        <v>4.1099999999999999E-3</v>
      </c>
      <c r="L13" s="3">
        <v>6.6439999999999997E-3</v>
      </c>
      <c r="M13" s="3">
        <v>8.9020000000000002E-3</v>
      </c>
      <c r="N13" s="3">
        <v>1.0179000000000001E-2</v>
      </c>
      <c r="O13" s="3">
        <v>1.1328E-2</v>
      </c>
      <c r="P13" s="3">
        <v>1.2404E-2</v>
      </c>
      <c r="Q13" s="3">
        <v>2.1474E-2</v>
      </c>
      <c r="R13" s="3">
        <v>2.1158E-2</v>
      </c>
      <c r="S13" s="3">
        <v>1.9588000000000001E-2</v>
      </c>
      <c r="T13" s="3">
        <v>2.1181999999999999E-2</v>
      </c>
      <c r="U13" s="3">
        <v>2.2710999999999999E-2</v>
      </c>
      <c r="V13" s="3">
        <v>2.4097E-2</v>
      </c>
      <c r="W13" s="3">
        <v>2.5373E-2</v>
      </c>
      <c r="X13" s="3">
        <v>2.6502000000000001E-2</v>
      </c>
      <c r="Y13" s="3">
        <v>2.7562E-2</v>
      </c>
      <c r="Z13" s="3">
        <v>2.8494999999999999E-2</v>
      </c>
      <c r="AA13" s="3">
        <v>2.7857E-2</v>
      </c>
      <c r="AB13" s="3">
        <v>2.7198E-2</v>
      </c>
      <c r="AC13" s="3">
        <v>2.6526000000000001E-2</v>
      </c>
      <c r="AD13" s="3">
        <v>2.3318999999999999E-2</v>
      </c>
      <c r="AE13" s="4">
        <v>1226.3157894736839</v>
      </c>
    </row>
    <row r="14" spans="1:31" x14ac:dyDescent="0.25">
      <c r="A14" s="3" t="s">
        <v>36</v>
      </c>
      <c r="B14" s="3" t="s">
        <v>16</v>
      </c>
      <c r="C14" s="3" t="s">
        <v>3</v>
      </c>
      <c r="D14" s="3">
        <v>7.639E-3</v>
      </c>
      <c r="E14" s="3">
        <v>5.0888999999999997E-2</v>
      </c>
      <c r="F14" s="3">
        <v>0.13283600000000001</v>
      </c>
      <c r="G14" s="3">
        <v>0.25842100000000001</v>
      </c>
      <c r="H14" s="3">
        <v>0.42299599999999998</v>
      </c>
      <c r="I14" s="3">
        <v>0.61352899999999999</v>
      </c>
      <c r="J14" s="3">
        <v>0.83140199999999997</v>
      </c>
      <c r="K14" s="3">
        <v>0.26528400000000002</v>
      </c>
      <c r="L14" s="3">
        <v>0.59602900000000003</v>
      </c>
      <c r="M14" s="3">
        <v>1.5276639999999999</v>
      </c>
      <c r="N14" s="3">
        <v>2.054929</v>
      </c>
      <c r="O14" s="3">
        <v>2.5289579999999998</v>
      </c>
      <c r="P14" s="3">
        <v>2.9729070000000002</v>
      </c>
      <c r="Q14" s="3">
        <v>6.7161900000000001</v>
      </c>
      <c r="R14" s="3">
        <v>7.4331560000000003</v>
      </c>
      <c r="S14" s="3">
        <v>8.0838169999999998</v>
      </c>
      <c r="T14" s="3">
        <v>8.7419860000000007</v>
      </c>
      <c r="U14" s="3">
        <v>9.3726629999999993</v>
      </c>
      <c r="V14" s="3">
        <v>9.9447310000000009</v>
      </c>
      <c r="W14" s="3">
        <v>10.471486000000001</v>
      </c>
      <c r="X14" s="3">
        <v>10.937258</v>
      </c>
      <c r="Y14" s="3">
        <v>11.374795000000001</v>
      </c>
      <c r="Z14" s="3">
        <v>11.7599</v>
      </c>
      <c r="AA14" s="3">
        <v>11.496684999999999</v>
      </c>
      <c r="AB14" s="3">
        <v>11.224811000000001</v>
      </c>
      <c r="AC14" s="3">
        <v>10.947115</v>
      </c>
      <c r="AD14" s="3">
        <v>9.6237750000000002</v>
      </c>
      <c r="AE14" s="4">
        <v>1258.821311690012</v>
      </c>
    </row>
    <row r="15" spans="1:31" x14ac:dyDescent="0.25">
      <c r="A15" s="3" t="s">
        <v>37</v>
      </c>
      <c r="B15" s="3" t="s">
        <v>15</v>
      </c>
      <c r="C15" s="3" t="s">
        <v>3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4" t="e">
        <f>(AD15-D15)/D15</f>
        <v>#DIV/0!</v>
      </c>
    </row>
    <row r="16" spans="1:31" x14ac:dyDescent="0.25">
      <c r="A16" s="3" t="s">
        <v>17</v>
      </c>
      <c r="B16" s="3" t="s">
        <v>18</v>
      </c>
      <c r="C16" s="3" t="s">
        <v>3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4" t="e" cm="1">
        <f t="array" ref="AE16:AE20">(AD16:AD20-D16:D20)/D16:D20</f>
        <v>#DIV/0!</v>
      </c>
    </row>
    <row r="17" spans="1:31" x14ac:dyDescent="0.25">
      <c r="A17" s="3" t="s">
        <v>17</v>
      </c>
      <c r="B17" s="3" t="s">
        <v>19</v>
      </c>
      <c r="C17" s="3" t="s">
        <v>3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4" t="e">
        <v>#DIV/0!</v>
      </c>
    </row>
    <row r="18" spans="1:31" x14ac:dyDescent="0.25">
      <c r="A18" s="3" t="s">
        <v>17</v>
      </c>
      <c r="B18" s="3" t="s">
        <v>21</v>
      </c>
      <c r="C18" s="3" t="s">
        <v>3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4" t="e">
        <v>#DIV/0!</v>
      </c>
    </row>
    <row r="19" spans="1:31" x14ac:dyDescent="0.25">
      <c r="A19" s="3" t="s">
        <v>17</v>
      </c>
      <c r="B19" s="3" t="s">
        <v>22</v>
      </c>
      <c r="C19" s="3" t="s">
        <v>3</v>
      </c>
      <c r="D19" s="3">
        <v>5.5900000000000004E-3</v>
      </c>
      <c r="E19" s="3">
        <v>3.7021999999999999E-2</v>
      </c>
      <c r="F19" s="3">
        <v>9.1042999999999999E-2</v>
      </c>
      <c r="G19" s="3">
        <v>0.173848</v>
      </c>
      <c r="H19" s="3">
        <v>0.29344599999999998</v>
      </c>
      <c r="I19" s="3">
        <v>0.43172199999999999</v>
      </c>
      <c r="J19" s="3">
        <v>0.589673</v>
      </c>
      <c r="K19" s="3">
        <v>0.94711900000000004</v>
      </c>
      <c r="L19" s="3">
        <v>1.7820910000000001</v>
      </c>
      <c r="M19" s="3">
        <v>2.5162270000000002</v>
      </c>
      <c r="N19" s="3">
        <v>3.1729989999999999</v>
      </c>
      <c r="O19" s="3">
        <v>3.771128</v>
      </c>
      <c r="P19" s="3">
        <v>4.3294160000000002</v>
      </c>
      <c r="Q19" s="3">
        <v>4.8550789999999999</v>
      </c>
      <c r="R19" s="3">
        <v>5.3795330000000003</v>
      </c>
      <c r="S19" s="3">
        <v>5.8579340000000002</v>
      </c>
      <c r="T19" s="3">
        <v>6.3337960000000004</v>
      </c>
      <c r="U19" s="3">
        <v>6.7905170000000004</v>
      </c>
      <c r="V19" s="3">
        <v>7.2082119999999996</v>
      </c>
      <c r="W19" s="3">
        <v>7.591615</v>
      </c>
      <c r="X19" s="3">
        <v>7.9329190000000001</v>
      </c>
      <c r="Y19" s="3">
        <v>8.2517200000000006</v>
      </c>
      <c r="Z19" s="3">
        <v>8.537191</v>
      </c>
      <c r="AA19" s="3">
        <v>8.7798590000000001</v>
      </c>
      <c r="AB19" s="3">
        <v>8.9906900000000007</v>
      </c>
      <c r="AC19" s="3">
        <v>9.1889020000000006</v>
      </c>
      <c r="AD19" s="3">
        <v>9.3348800000000001</v>
      </c>
      <c r="AE19" s="4">
        <v>1668.9248658318425</v>
      </c>
    </row>
    <row r="20" spans="1:31" x14ac:dyDescent="0.25">
      <c r="A20" s="3" t="s">
        <v>17</v>
      </c>
      <c r="B20" s="3" t="s">
        <v>23</v>
      </c>
      <c r="C20" s="3" t="s">
        <v>3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4" t="e">
        <v>#DIV/0!</v>
      </c>
    </row>
    <row r="21" spans="1:31" x14ac:dyDescent="0.25">
      <c r="A21" s="3" t="s">
        <v>24</v>
      </c>
      <c r="B21" s="3" t="s">
        <v>26</v>
      </c>
      <c r="C21" s="3" t="s">
        <v>25</v>
      </c>
      <c r="D21" s="3">
        <v>11.221731</v>
      </c>
      <c r="E21" s="3">
        <v>11.289474999999999</v>
      </c>
      <c r="F21" s="3">
        <v>12.470456</v>
      </c>
      <c r="G21" s="3">
        <v>12.346933</v>
      </c>
      <c r="H21" s="3">
        <v>11.370447</v>
      </c>
      <c r="I21" s="3">
        <v>10.932553</v>
      </c>
      <c r="J21" s="3">
        <v>10.563841</v>
      </c>
      <c r="K21" s="3">
        <v>9.5538570000000007</v>
      </c>
      <c r="L21" s="3">
        <v>10.780989999999999</v>
      </c>
      <c r="M21" s="3">
        <v>10.702980999999999</v>
      </c>
      <c r="N21" s="3">
        <v>10.826475</v>
      </c>
      <c r="O21" s="3">
        <v>10.991308999999999</v>
      </c>
      <c r="P21" s="3">
        <v>10.820576000000001</v>
      </c>
      <c r="Q21" s="3">
        <v>10.723050000000001</v>
      </c>
      <c r="R21" s="3">
        <v>10.825863</v>
      </c>
      <c r="S21" s="3">
        <v>10.6174</v>
      </c>
      <c r="T21" s="3">
        <v>10.511728</v>
      </c>
      <c r="U21" s="3">
        <v>10.796234999999999</v>
      </c>
      <c r="V21" s="3">
        <v>10.800547999999999</v>
      </c>
      <c r="W21" s="3">
        <v>10.820779</v>
      </c>
      <c r="X21" s="3">
        <v>10.481197</v>
      </c>
      <c r="Y21" s="3">
        <v>10.314104</v>
      </c>
      <c r="Z21" s="3">
        <v>10.380849</v>
      </c>
      <c r="AA21" s="3">
        <v>10.324171</v>
      </c>
      <c r="AB21" s="3">
        <v>10.222434</v>
      </c>
      <c r="AC21" s="3">
        <v>10.225586</v>
      </c>
      <c r="AD21" s="3">
        <v>10.250688999999999</v>
      </c>
      <c r="AE21" s="4">
        <f>(AD21-D21)/D21</f>
        <v>-8.6532282764575322E-2</v>
      </c>
    </row>
    <row r="22" spans="1:31" x14ac:dyDescent="0.25">
      <c r="A22" s="3" t="s">
        <v>27</v>
      </c>
      <c r="B22" s="3" t="s">
        <v>28</v>
      </c>
      <c r="C22" s="3" t="s">
        <v>25</v>
      </c>
      <c r="D22" s="3">
        <v>13.685252999999999</v>
      </c>
      <c r="E22" s="3">
        <v>13.752997000000001</v>
      </c>
      <c r="F22" s="3">
        <v>14.933978</v>
      </c>
      <c r="G22" s="3">
        <v>14.810454999999999</v>
      </c>
      <c r="H22" s="3">
        <v>13.833969</v>
      </c>
      <c r="I22" s="3">
        <v>13.396075</v>
      </c>
      <c r="J22" s="3">
        <v>13.027362999999999</v>
      </c>
      <c r="K22" s="3">
        <v>12.017379</v>
      </c>
      <c r="L22" s="3">
        <v>13.244512</v>
      </c>
      <c r="M22" s="3">
        <v>13.166501999999999</v>
      </c>
      <c r="N22" s="3">
        <v>13.289996</v>
      </c>
      <c r="O22" s="3">
        <v>13.454831</v>
      </c>
      <c r="P22" s="3">
        <v>13.284098999999999</v>
      </c>
      <c r="Q22" s="3">
        <v>13.186572999999999</v>
      </c>
      <c r="R22" s="3">
        <v>13.289384</v>
      </c>
      <c r="S22" s="3">
        <v>13.080921</v>
      </c>
      <c r="T22" s="3">
        <v>12.975250000000001</v>
      </c>
      <c r="U22" s="3">
        <v>13.259757</v>
      </c>
      <c r="V22" s="3">
        <v>13.26407</v>
      </c>
      <c r="W22" s="3">
        <v>13.284302</v>
      </c>
      <c r="X22" s="3">
        <v>12.944718999999999</v>
      </c>
      <c r="Y22" s="3">
        <v>12.777625</v>
      </c>
      <c r="Z22" s="3">
        <v>12.84437</v>
      </c>
      <c r="AA22" s="3">
        <v>12.787693000000001</v>
      </c>
      <c r="AB22" s="3">
        <v>12.685955999999999</v>
      </c>
      <c r="AC22" s="3">
        <v>12.689107999999999</v>
      </c>
      <c r="AD22" s="3">
        <v>12.714211000000001</v>
      </c>
      <c r="AE22" s="4" cm="1">
        <f t="array" ref="AE22:AE24">(AD22:AD24-D22:D24)/D22:D24</f>
        <v>-7.0955356104852346E-2</v>
      </c>
    </row>
    <row r="23" spans="1:31" x14ac:dyDescent="0.25">
      <c r="A23" s="3" t="s">
        <v>27</v>
      </c>
      <c r="B23" s="3" t="s">
        <v>22</v>
      </c>
      <c r="C23" s="3" t="s">
        <v>25</v>
      </c>
      <c r="D23" s="3">
        <v>63.771296999999997</v>
      </c>
      <c r="E23" s="3">
        <v>63.838057999999997</v>
      </c>
      <c r="F23" s="3">
        <v>65.025597000000005</v>
      </c>
      <c r="G23" s="3">
        <v>64.902077000000006</v>
      </c>
      <c r="H23" s="3">
        <v>63.925590999999997</v>
      </c>
      <c r="I23" s="3">
        <v>63.487693999999998</v>
      </c>
      <c r="J23" s="3">
        <v>63.119014999999997</v>
      </c>
      <c r="K23" s="3">
        <v>62.109104000000002</v>
      </c>
      <c r="L23" s="3">
        <v>63.336136000000003</v>
      </c>
      <c r="M23" s="3">
        <v>63.258113999999999</v>
      </c>
      <c r="N23" s="3">
        <v>63.381630000000001</v>
      </c>
      <c r="O23" s="3">
        <v>63.546447999999998</v>
      </c>
      <c r="P23" s="3">
        <v>63.375694000000003</v>
      </c>
      <c r="Q23" s="3">
        <v>63.278179000000002</v>
      </c>
      <c r="R23" s="3">
        <v>63.380989</v>
      </c>
      <c r="S23" s="3">
        <v>63.172530999999999</v>
      </c>
      <c r="T23" s="3">
        <v>63.066871999999996</v>
      </c>
      <c r="U23" s="3">
        <v>63.351382999999998</v>
      </c>
      <c r="V23" s="3">
        <v>63.355697999999997</v>
      </c>
      <c r="W23" s="3">
        <v>63.375926999999997</v>
      </c>
      <c r="X23" s="3">
        <v>63.036338999999998</v>
      </c>
      <c r="Y23" s="3">
        <v>62.869247000000001</v>
      </c>
      <c r="Z23" s="3">
        <v>62.935988999999999</v>
      </c>
      <c r="AA23" s="3">
        <v>62.879322000000002</v>
      </c>
      <c r="AB23" s="3">
        <v>62.777569</v>
      </c>
      <c r="AC23" s="3">
        <v>62.780731000000003</v>
      </c>
      <c r="AD23" s="3">
        <v>62.805827999999998</v>
      </c>
      <c r="AE23" s="4">
        <v>-1.513955408496708E-2</v>
      </c>
    </row>
    <row r="24" spans="1:31" x14ac:dyDescent="0.25">
      <c r="A24" s="3" t="s">
        <v>27</v>
      </c>
      <c r="B24" s="3" t="s">
        <v>23</v>
      </c>
      <c r="C24" s="3" t="s">
        <v>25</v>
      </c>
      <c r="D24" s="3">
        <v>13.685252999999999</v>
      </c>
      <c r="E24" s="3">
        <v>13.752997000000001</v>
      </c>
      <c r="F24" s="3">
        <v>14.933978</v>
      </c>
      <c r="G24" s="3">
        <v>14.810454999999999</v>
      </c>
      <c r="H24" s="3">
        <v>13.833969</v>
      </c>
      <c r="I24" s="3">
        <v>13.396075</v>
      </c>
      <c r="J24" s="3">
        <v>13.027362999999999</v>
      </c>
      <c r="K24" s="3">
        <v>12.017379</v>
      </c>
      <c r="L24" s="3">
        <v>13.244512</v>
      </c>
      <c r="M24" s="3">
        <v>13.166501999999999</v>
      </c>
      <c r="N24" s="3">
        <v>13.289996</v>
      </c>
      <c r="O24" s="3">
        <v>13.454831</v>
      </c>
      <c r="P24" s="3">
        <v>13.284098999999999</v>
      </c>
      <c r="Q24" s="3">
        <v>13.186572999999999</v>
      </c>
      <c r="R24" s="3">
        <v>13.289384</v>
      </c>
      <c r="S24" s="3">
        <v>13.080921</v>
      </c>
      <c r="T24" s="3">
        <v>12.975250000000001</v>
      </c>
      <c r="U24" s="3">
        <v>13.259757</v>
      </c>
      <c r="V24" s="3">
        <v>13.26407</v>
      </c>
      <c r="W24" s="3">
        <v>13.284302</v>
      </c>
      <c r="X24" s="3">
        <v>12.944718999999999</v>
      </c>
      <c r="Y24" s="3">
        <v>12.777625</v>
      </c>
      <c r="Z24" s="3">
        <v>12.84437</v>
      </c>
      <c r="AA24" s="3">
        <v>12.787693000000001</v>
      </c>
      <c r="AB24" s="3">
        <v>12.685955999999999</v>
      </c>
      <c r="AC24" s="3">
        <v>12.689107999999999</v>
      </c>
      <c r="AD24" s="3">
        <v>12.714211000000001</v>
      </c>
      <c r="AE24" s="4">
        <v>-7.0955356104852346E-2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24"/>
  <sheetViews>
    <sheetView tabSelected="1" zoomScale="70" zoomScaleNormal="70" workbookViewId="0">
      <selection activeCell="A42" sqref="A42"/>
    </sheetView>
  </sheetViews>
  <sheetFormatPr defaultColWidth="8.7109375" defaultRowHeight="15" x14ac:dyDescent="0.25"/>
  <cols>
    <col min="1" max="1" width="65.7109375" style="2" bestFit="1" customWidth="1"/>
    <col min="2" max="2" width="54.85546875" style="2" bestFit="1" customWidth="1"/>
    <col min="3" max="3" width="15" style="2" bestFit="1" customWidth="1"/>
    <col min="4" max="30" width="13.5703125" style="2" bestFit="1" customWidth="1"/>
    <col min="31" max="31" width="20.7109375" style="2" bestFit="1" customWidth="1"/>
    <col min="32" max="16384" width="8.7109375" style="2"/>
  </cols>
  <sheetData>
    <row r="1" spans="1:31" s="1" customFormat="1" ht="15.75" thickBot="1" x14ac:dyDescent="0.3">
      <c r="A1" s="6" t="s">
        <v>39</v>
      </c>
      <c r="B1" s="6" t="s">
        <v>40</v>
      </c>
      <c r="C1" s="6" t="s">
        <v>0</v>
      </c>
      <c r="D1" s="6">
        <v>2024</v>
      </c>
      <c r="E1" s="6">
        <v>2025</v>
      </c>
      <c r="F1" s="6">
        <v>2026</v>
      </c>
      <c r="G1" s="6">
        <v>2027</v>
      </c>
      <c r="H1" s="6">
        <v>2028</v>
      </c>
      <c r="I1" s="6">
        <v>2029</v>
      </c>
      <c r="J1" s="6">
        <v>2030</v>
      </c>
      <c r="K1" s="6">
        <v>2031</v>
      </c>
      <c r="L1" s="6">
        <v>2032</v>
      </c>
      <c r="M1" s="6">
        <v>2033</v>
      </c>
      <c r="N1" s="6">
        <v>2034</v>
      </c>
      <c r="O1" s="6">
        <v>2035</v>
      </c>
      <c r="P1" s="6">
        <v>2036</v>
      </c>
      <c r="Q1" s="6">
        <v>2037</v>
      </c>
      <c r="R1" s="6">
        <v>2038</v>
      </c>
      <c r="S1" s="6">
        <v>2039</v>
      </c>
      <c r="T1" s="6">
        <v>2040</v>
      </c>
      <c r="U1" s="6">
        <v>2041</v>
      </c>
      <c r="V1" s="6">
        <v>2042</v>
      </c>
      <c r="W1" s="6">
        <v>2043</v>
      </c>
      <c r="X1" s="6">
        <v>2044</v>
      </c>
      <c r="Y1" s="6">
        <v>2045</v>
      </c>
      <c r="Z1" s="6">
        <v>2046</v>
      </c>
      <c r="AA1" s="6">
        <v>2047</v>
      </c>
      <c r="AB1" s="6">
        <v>2048</v>
      </c>
      <c r="AC1" s="6">
        <v>2049</v>
      </c>
      <c r="AD1" s="6">
        <v>2050</v>
      </c>
      <c r="AE1" s="6" t="s">
        <v>1</v>
      </c>
    </row>
    <row r="2" spans="1:31" ht="15.75" thickTop="1" x14ac:dyDescent="0.25">
      <c r="A2" s="3" t="s">
        <v>38</v>
      </c>
      <c r="B2" s="3" t="s">
        <v>2</v>
      </c>
      <c r="C2" s="3" t="s">
        <v>3</v>
      </c>
      <c r="D2" s="3">
        <v>83.641250999999997</v>
      </c>
      <c r="E2" s="3">
        <v>84.198204000000004</v>
      </c>
      <c r="F2" s="3">
        <v>84.902282999999997</v>
      </c>
      <c r="G2" s="3">
        <v>85.540474000000003</v>
      </c>
      <c r="H2" s="3">
        <v>86.302368000000001</v>
      </c>
      <c r="I2" s="3">
        <v>87.217635999999999</v>
      </c>
      <c r="J2" s="3">
        <v>88.318054000000004</v>
      </c>
      <c r="K2" s="3">
        <v>90.729393000000002</v>
      </c>
      <c r="L2" s="3">
        <v>96.139435000000006</v>
      </c>
      <c r="M2" s="3">
        <v>100.98934199999999</v>
      </c>
      <c r="N2" s="3">
        <v>105.443031</v>
      </c>
      <c r="O2" s="3">
        <v>109.529816</v>
      </c>
      <c r="P2" s="3">
        <v>113.352707</v>
      </c>
      <c r="Q2" s="3">
        <v>117.14424099999999</v>
      </c>
      <c r="R2" s="3">
        <v>120.766701</v>
      </c>
      <c r="S2" s="3">
        <v>124.261864</v>
      </c>
      <c r="T2" s="3">
        <v>127.726006</v>
      </c>
      <c r="U2" s="3">
        <v>131.08381700000001</v>
      </c>
      <c r="V2" s="3">
        <v>134.26916499999999</v>
      </c>
      <c r="W2" s="3">
        <v>137.23696899999999</v>
      </c>
      <c r="X2" s="3">
        <v>139.98318499999999</v>
      </c>
      <c r="Y2" s="3">
        <v>142.674026</v>
      </c>
      <c r="Z2" s="3">
        <v>145.25375399999999</v>
      </c>
      <c r="AA2" s="3">
        <v>147.549622</v>
      </c>
      <c r="AB2" s="3">
        <v>149.75357099999999</v>
      </c>
      <c r="AC2" s="3">
        <v>151.87167400000001</v>
      </c>
      <c r="AD2" s="3">
        <v>153.70851099999999</v>
      </c>
      <c r="AE2" s="4" cm="1">
        <f t="array" ref="AE2:AE6">(AD2:AD6-D2:D6)/D2:D6</f>
        <v>0.83771176497587285</v>
      </c>
    </row>
    <row r="3" spans="1:31" x14ac:dyDescent="0.25">
      <c r="A3" s="3" t="s">
        <v>38</v>
      </c>
      <c r="B3" s="3" t="s">
        <v>4</v>
      </c>
      <c r="C3" s="3" t="s">
        <v>3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4" t="e">
        <v>#DIV/0!</v>
      </c>
    </row>
    <row r="4" spans="1:31" x14ac:dyDescent="0.25">
      <c r="A4" s="3" t="s">
        <v>38</v>
      </c>
      <c r="B4" s="3" t="s">
        <v>6</v>
      </c>
      <c r="C4" s="3" t="s">
        <v>3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7.4200000000000004E-4</v>
      </c>
      <c r="AA4" s="3">
        <v>1.485E-3</v>
      </c>
      <c r="AB4" s="3">
        <v>1.485E-3</v>
      </c>
      <c r="AC4" s="3">
        <v>1.485E-3</v>
      </c>
      <c r="AD4" s="3">
        <v>7.4200000000000004E-4</v>
      </c>
      <c r="AE4" s="4" t="e">
        <v>#DIV/0!</v>
      </c>
    </row>
    <row r="5" spans="1:31" x14ac:dyDescent="0.25">
      <c r="A5" s="3" t="s">
        <v>38</v>
      </c>
      <c r="B5" s="3" t="s">
        <v>7</v>
      </c>
      <c r="C5" s="3" t="s">
        <v>3</v>
      </c>
      <c r="D5" s="3">
        <v>22.397535000000001</v>
      </c>
      <c r="E5" s="3">
        <v>22.397535000000001</v>
      </c>
      <c r="F5" s="3">
        <v>22.397535000000001</v>
      </c>
      <c r="G5" s="3">
        <v>22.397535000000001</v>
      </c>
      <c r="H5" s="3">
        <v>22.397535000000001</v>
      </c>
      <c r="I5" s="3">
        <v>22.397535000000001</v>
      </c>
      <c r="J5" s="3">
        <v>22.397535000000001</v>
      </c>
      <c r="K5" s="3">
        <v>22.397535000000001</v>
      </c>
      <c r="L5" s="3">
        <v>22.397535000000001</v>
      </c>
      <c r="M5" s="3">
        <v>22.397535000000001</v>
      </c>
      <c r="N5" s="3">
        <v>22.397535000000001</v>
      </c>
      <c r="O5" s="3">
        <v>22.397535000000001</v>
      </c>
      <c r="P5" s="3">
        <v>22.397535000000001</v>
      </c>
      <c r="Q5" s="3">
        <v>22.397535000000001</v>
      </c>
      <c r="R5" s="3">
        <v>22.397535000000001</v>
      </c>
      <c r="S5" s="3">
        <v>22.397535000000001</v>
      </c>
      <c r="T5" s="3">
        <v>22.397535000000001</v>
      </c>
      <c r="U5" s="3">
        <v>22.397535000000001</v>
      </c>
      <c r="V5" s="3">
        <v>22.397535000000001</v>
      </c>
      <c r="W5" s="3">
        <v>22.397535000000001</v>
      </c>
      <c r="X5" s="3">
        <v>22.397535000000001</v>
      </c>
      <c r="Y5" s="3">
        <v>22.397535000000001</v>
      </c>
      <c r="Z5" s="3">
        <v>22.397535000000001</v>
      </c>
      <c r="AA5" s="3">
        <v>22.397535000000001</v>
      </c>
      <c r="AB5" s="3">
        <v>22.397535000000001</v>
      </c>
      <c r="AC5" s="3">
        <v>22.397535000000001</v>
      </c>
      <c r="AD5" s="3">
        <v>22.397535000000001</v>
      </c>
      <c r="AE5" s="4">
        <v>0</v>
      </c>
    </row>
    <row r="6" spans="1:31" x14ac:dyDescent="0.25">
      <c r="A6" s="3" t="s">
        <v>38</v>
      </c>
      <c r="B6" s="5" t="s">
        <v>8</v>
      </c>
      <c r="C6" s="3" t="s">
        <v>3</v>
      </c>
      <c r="D6" s="3">
        <v>106.038788</v>
      </c>
      <c r="E6" s="3">
        <v>106.595741</v>
      </c>
      <c r="F6" s="3">
        <v>107.29982</v>
      </c>
      <c r="G6" s="3">
        <v>107.938011</v>
      </c>
      <c r="H6" s="3">
        <v>108.699905</v>
      </c>
      <c r="I6" s="3">
        <v>109.615173</v>
      </c>
      <c r="J6" s="3">
        <v>110.715591</v>
      </c>
      <c r="K6" s="3">
        <v>113.12693</v>
      </c>
      <c r="L6" s="3">
        <v>118.53697200000001</v>
      </c>
      <c r="M6" s="3">
        <v>123.38687899999999</v>
      </c>
      <c r="N6" s="3">
        <v>127.840569</v>
      </c>
      <c r="O6" s="3">
        <v>131.92735300000001</v>
      </c>
      <c r="P6" s="3">
        <v>135.75024400000001</v>
      </c>
      <c r="Q6" s="3">
        <v>139.54177899999999</v>
      </c>
      <c r="R6" s="3">
        <v>143.16423</v>
      </c>
      <c r="S6" s="3">
        <v>146.65939299999999</v>
      </c>
      <c r="T6" s="3">
        <v>150.123535</v>
      </c>
      <c r="U6" s="3">
        <v>153.48135400000001</v>
      </c>
      <c r="V6" s="3">
        <v>156.66670199999999</v>
      </c>
      <c r="W6" s="3">
        <v>159.63450599999999</v>
      </c>
      <c r="X6" s="3">
        <v>162.38072199999999</v>
      </c>
      <c r="Y6" s="3">
        <v>165.071564</v>
      </c>
      <c r="Z6" s="3">
        <v>167.652008</v>
      </c>
      <c r="AA6" s="3">
        <v>169.94863900000001</v>
      </c>
      <c r="AB6" s="3">
        <v>172.15258800000001</v>
      </c>
      <c r="AC6" s="3">
        <v>174.27070599999999</v>
      </c>
      <c r="AD6" s="3">
        <v>176.106796</v>
      </c>
      <c r="AE6" s="4">
        <v>0.66077714882972827</v>
      </c>
    </row>
    <row r="7" spans="1:31" x14ac:dyDescent="0.25">
      <c r="A7" s="3" t="s">
        <v>9</v>
      </c>
      <c r="B7" s="3" t="s">
        <v>10</v>
      </c>
      <c r="C7" s="3" t="s">
        <v>3</v>
      </c>
      <c r="D7" s="3">
        <v>114.84206399999999</v>
      </c>
      <c r="E7" s="3">
        <v>115.60676599999999</v>
      </c>
      <c r="F7" s="3">
        <v>116.573494</v>
      </c>
      <c r="G7" s="3">
        <v>117.44974499999999</v>
      </c>
      <c r="H7" s="3">
        <v>118.49585</v>
      </c>
      <c r="I7" s="3">
        <v>119.75254099999999</v>
      </c>
      <c r="J7" s="3">
        <v>121.263458</v>
      </c>
      <c r="K7" s="3">
        <v>124.574303</v>
      </c>
      <c r="L7" s="3">
        <v>132.002441</v>
      </c>
      <c r="M7" s="3">
        <v>138.66153</v>
      </c>
      <c r="N7" s="3">
        <v>144.77658099999999</v>
      </c>
      <c r="O7" s="3">
        <v>150.38786300000001</v>
      </c>
      <c r="P7" s="3">
        <v>155.63681</v>
      </c>
      <c r="Q7" s="3">
        <v>160.84269699999999</v>
      </c>
      <c r="R7" s="3">
        <v>165.816452</v>
      </c>
      <c r="S7" s="3">
        <v>170.61541700000001</v>
      </c>
      <c r="T7" s="3">
        <v>175.37179599999999</v>
      </c>
      <c r="U7" s="3">
        <v>179.98216199999999</v>
      </c>
      <c r="V7" s="3">
        <v>184.35575900000001</v>
      </c>
      <c r="W7" s="3">
        <v>188.43064899999999</v>
      </c>
      <c r="X7" s="3">
        <v>192.20130900000001</v>
      </c>
      <c r="Y7" s="3">
        <v>195.89591999999999</v>
      </c>
      <c r="Z7" s="3">
        <v>199.437927</v>
      </c>
      <c r="AA7" s="3">
        <v>202.590225</v>
      </c>
      <c r="AB7" s="3">
        <v>205.616333</v>
      </c>
      <c r="AC7" s="3">
        <v>208.52458200000001</v>
      </c>
      <c r="AD7" s="3">
        <v>211.046616</v>
      </c>
      <c r="AE7" s="4" cm="1">
        <f t="array" ref="AE7:AE9">(AD7:AD9-D7:D9)/D7:D9</f>
        <v>0.8377117987012147</v>
      </c>
    </row>
    <row r="8" spans="1:31" x14ac:dyDescent="0.25">
      <c r="A8" s="3" t="s">
        <v>9</v>
      </c>
      <c r="B8" s="3" t="s">
        <v>11</v>
      </c>
      <c r="C8" s="3" t="s">
        <v>3</v>
      </c>
      <c r="D8" s="3">
        <v>0.278945</v>
      </c>
      <c r="E8" s="3">
        <v>0.280802</v>
      </c>
      <c r="F8" s="3">
        <v>0.28315000000000001</v>
      </c>
      <c r="G8" s="3">
        <v>0.285279</v>
      </c>
      <c r="H8" s="3">
        <v>0.28782000000000002</v>
      </c>
      <c r="I8" s="3">
        <v>0.29087200000000002</v>
      </c>
      <c r="J8" s="3">
        <v>0.29454200000000003</v>
      </c>
      <c r="K8" s="3">
        <v>0.30258400000000002</v>
      </c>
      <c r="L8" s="3">
        <v>0.320627</v>
      </c>
      <c r="M8" s="3">
        <v>0.33680100000000002</v>
      </c>
      <c r="N8" s="3">
        <v>0.35165400000000002</v>
      </c>
      <c r="O8" s="3">
        <v>0.365284</v>
      </c>
      <c r="P8" s="3">
        <v>0.37803300000000001</v>
      </c>
      <c r="Q8" s="3">
        <v>0.39067800000000003</v>
      </c>
      <c r="R8" s="3">
        <v>0.40275899999999998</v>
      </c>
      <c r="S8" s="3">
        <v>0.41441499999999998</v>
      </c>
      <c r="T8" s="3">
        <v>0.42596800000000001</v>
      </c>
      <c r="U8" s="3">
        <v>0.43716699999999997</v>
      </c>
      <c r="V8" s="3">
        <v>0.44779000000000002</v>
      </c>
      <c r="W8" s="3">
        <v>0.45768700000000001</v>
      </c>
      <c r="X8" s="3">
        <v>0.46684599999999998</v>
      </c>
      <c r="Y8" s="3">
        <v>0.47582000000000002</v>
      </c>
      <c r="Z8" s="3">
        <v>0.48544799999999999</v>
      </c>
      <c r="AA8" s="3">
        <v>0.49413000000000001</v>
      </c>
      <c r="AB8" s="3">
        <v>0.50148000000000004</v>
      </c>
      <c r="AC8" s="3">
        <v>0.508544</v>
      </c>
      <c r="AD8" s="3">
        <v>0.51364500000000002</v>
      </c>
      <c r="AE8" s="4">
        <v>0.84138450232124617</v>
      </c>
    </row>
    <row r="9" spans="1:31" x14ac:dyDescent="0.25">
      <c r="A9" s="3" t="s">
        <v>9</v>
      </c>
      <c r="B9" s="3" t="s">
        <v>12</v>
      </c>
      <c r="C9" s="3" t="s">
        <v>3</v>
      </c>
      <c r="D9" s="3">
        <v>115.12101</v>
      </c>
      <c r="E9" s="3">
        <v>115.88756600000001</v>
      </c>
      <c r="F9" s="3">
        <v>116.856644</v>
      </c>
      <c r="G9" s="3">
        <v>117.735023</v>
      </c>
      <c r="H9" s="3">
        <v>118.783669</v>
      </c>
      <c r="I9" s="3">
        <v>120.04341100000001</v>
      </c>
      <c r="J9" s="3">
        <v>121.557999</v>
      </c>
      <c r="K9" s="3">
        <v>124.876884</v>
      </c>
      <c r="L9" s="3">
        <v>132.32307399999999</v>
      </c>
      <c r="M9" s="3">
        <v>138.99833699999999</v>
      </c>
      <c r="N9" s="3">
        <v>145.12823499999999</v>
      </c>
      <c r="O9" s="3">
        <v>150.75314299999999</v>
      </c>
      <c r="P9" s="3">
        <v>156.014847</v>
      </c>
      <c r="Q9" s="3">
        <v>161.23336800000001</v>
      </c>
      <c r="R9" s="3">
        <v>166.21920800000001</v>
      </c>
      <c r="S9" s="3">
        <v>171.029831</v>
      </c>
      <c r="T9" s="3">
        <v>175.79776000000001</v>
      </c>
      <c r="U9" s="3">
        <v>180.41932700000001</v>
      </c>
      <c r="V9" s="3">
        <v>184.80354299999999</v>
      </c>
      <c r="W9" s="3">
        <v>188.88833600000001</v>
      </c>
      <c r="X9" s="3">
        <v>192.66815199999999</v>
      </c>
      <c r="Y9" s="3">
        <v>196.371735</v>
      </c>
      <c r="Z9" s="3">
        <v>199.92337000000001</v>
      </c>
      <c r="AA9" s="3">
        <v>203.084351</v>
      </c>
      <c r="AB9" s="3">
        <v>206.11781300000001</v>
      </c>
      <c r="AC9" s="3">
        <v>209.03312700000001</v>
      </c>
      <c r="AD9" s="3">
        <v>211.56025700000001</v>
      </c>
      <c r="AE9" s="4">
        <v>0.83772064716944383</v>
      </c>
    </row>
    <row r="10" spans="1:31" x14ac:dyDescent="0.25">
      <c r="A10" s="3" t="s">
        <v>36</v>
      </c>
      <c r="B10" s="3" t="s">
        <v>10</v>
      </c>
      <c r="C10" s="3" t="s">
        <v>3</v>
      </c>
      <c r="D10" s="3">
        <v>114.84206399999999</v>
      </c>
      <c r="E10" s="3">
        <v>115.60676599999999</v>
      </c>
      <c r="F10" s="3">
        <v>116.573494</v>
      </c>
      <c r="G10" s="3">
        <v>117.44974499999999</v>
      </c>
      <c r="H10" s="3">
        <v>118.49585</v>
      </c>
      <c r="I10" s="3">
        <v>119.75254099999999</v>
      </c>
      <c r="J10" s="3">
        <v>121.263458</v>
      </c>
      <c r="K10" s="3">
        <v>124.574303</v>
      </c>
      <c r="L10" s="3">
        <v>132.002441</v>
      </c>
      <c r="M10" s="3">
        <v>138.66153</v>
      </c>
      <c r="N10" s="3">
        <v>144.77658099999999</v>
      </c>
      <c r="O10" s="3">
        <v>150.38786300000001</v>
      </c>
      <c r="P10" s="3">
        <v>155.63681</v>
      </c>
      <c r="Q10" s="3">
        <v>160.84269699999999</v>
      </c>
      <c r="R10" s="3">
        <v>165.816452</v>
      </c>
      <c r="S10" s="3">
        <v>170.61541700000001</v>
      </c>
      <c r="T10" s="3">
        <v>175.37179599999999</v>
      </c>
      <c r="U10" s="3">
        <v>179.98216199999999</v>
      </c>
      <c r="V10" s="3">
        <v>184.35575900000001</v>
      </c>
      <c r="W10" s="3">
        <v>188.43064899999999</v>
      </c>
      <c r="X10" s="3">
        <v>192.20130900000001</v>
      </c>
      <c r="Y10" s="3">
        <v>195.89591999999999</v>
      </c>
      <c r="Z10" s="3">
        <v>199.437927</v>
      </c>
      <c r="AA10" s="3">
        <v>202.590225</v>
      </c>
      <c r="AB10" s="3">
        <v>205.616333</v>
      </c>
      <c r="AC10" s="3">
        <v>208.52458200000001</v>
      </c>
      <c r="AD10" s="3">
        <v>211.046616</v>
      </c>
      <c r="AE10" s="4" cm="1">
        <f t="array" ref="AE10:AE14">(AD10:AD14-D10:D14)/D10:D14</f>
        <v>0.8377117987012147</v>
      </c>
    </row>
    <row r="11" spans="1:31" x14ac:dyDescent="0.25">
      <c r="A11" s="3" t="s">
        <v>36</v>
      </c>
      <c r="B11" s="3" t="s">
        <v>13</v>
      </c>
      <c r="C11" s="3" t="s">
        <v>3</v>
      </c>
      <c r="D11" s="3">
        <v>98.017669999999995</v>
      </c>
      <c r="E11" s="3">
        <v>98.670349000000002</v>
      </c>
      <c r="F11" s="3">
        <v>99.495445000000004</v>
      </c>
      <c r="G11" s="3">
        <v>100.243324</v>
      </c>
      <c r="H11" s="3">
        <v>101.136177</v>
      </c>
      <c r="I11" s="3">
        <v>102.208755</v>
      </c>
      <c r="J11" s="3">
        <v>103.498329</v>
      </c>
      <c r="K11" s="3">
        <v>106.324135</v>
      </c>
      <c r="L11" s="3">
        <v>112.664047</v>
      </c>
      <c r="M11" s="3">
        <v>118.34757999999999</v>
      </c>
      <c r="N11" s="3">
        <v>123.566772</v>
      </c>
      <c r="O11" s="3">
        <v>128.35600299999999</v>
      </c>
      <c r="P11" s="3">
        <v>132.835983</v>
      </c>
      <c r="Q11" s="3">
        <v>137.27920499999999</v>
      </c>
      <c r="R11" s="3">
        <v>141.524292</v>
      </c>
      <c r="S11" s="3">
        <v>145.62022400000001</v>
      </c>
      <c r="T11" s="3">
        <v>149.679779</v>
      </c>
      <c r="U11" s="3">
        <v>153.61473100000001</v>
      </c>
      <c r="V11" s="3">
        <v>157.34759500000001</v>
      </c>
      <c r="W11" s="3">
        <v>160.82550000000001</v>
      </c>
      <c r="X11" s="3">
        <v>164.04376199999999</v>
      </c>
      <c r="Y11" s="3">
        <v>167.197113</v>
      </c>
      <c r="Z11" s="3">
        <v>170.220215</v>
      </c>
      <c r="AA11" s="3">
        <v>172.910706</v>
      </c>
      <c r="AB11" s="3">
        <v>175.493484</v>
      </c>
      <c r="AC11" s="3">
        <v>177.97567699999999</v>
      </c>
      <c r="AD11" s="3">
        <v>180.12823499999999</v>
      </c>
      <c r="AE11" s="4">
        <v>0.83771186358541272</v>
      </c>
    </row>
    <row r="12" spans="1:31" x14ac:dyDescent="0.25">
      <c r="A12" s="3" t="s">
        <v>36</v>
      </c>
      <c r="B12" s="3" t="s">
        <v>14</v>
      </c>
      <c r="C12" s="3" t="s">
        <v>3</v>
      </c>
      <c r="D12" s="3">
        <v>16.824394000000002</v>
      </c>
      <c r="E12" s="3">
        <v>16.936422</v>
      </c>
      <c r="F12" s="3">
        <v>17.078049</v>
      </c>
      <c r="G12" s="3">
        <v>17.206419</v>
      </c>
      <c r="H12" s="3">
        <v>17.359673999999998</v>
      </c>
      <c r="I12" s="3">
        <v>17.543779000000001</v>
      </c>
      <c r="J12" s="3">
        <v>17.765129000000002</v>
      </c>
      <c r="K12" s="3">
        <v>18.250170000000001</v>
      </c>
      <c r="L12" s="3">
        <v>19.338394000000001</v>
      </c>
      <c r="M12" s="3">
        <v>20.313950999999999</v>
      </c>
      <c r="N12" s="3">
        <v>21.209807999999999</v>
      </c>
      <c r="O12" s="3">
        <v>22.031863999999999</v>
      </c>
      <c r="P12" s="3">
        <v>22.800834999999999</v>
      </c>
      <c r="Q12" s="3">
        <v>23.563499</v>
      </c>
      <c r="R12" s="3">
        <v>24.292155999999999</v>
      </c>
      <c r="S12" s="3">
        <v>24.995204999999999</v>
      </c>
      <c r="T12" s="3">
        <v>25.692017</v>
      </c>
      <c r="U12" s="3">
        <v>26.367435</v>
      </c>
      <c r="V12" s="3">
        <v>27.008168999999999</v>
      </c>
      <c r="W12" s="3">
        <v>27.605141</v>
      </c>
      <c r="X12" s="3">
        <v>28.157543</v>
      </c>
      <c r="Y12" s="3">
        <v>28.698805</v>
      </c>
      <c r="Z12" s="3">
        <v>29.21771</v>
      </c>
      <c r="AA12" s="3">
        <v>29.679523</v>
      </c>
      <c r="AB12" s="3">
        <v>30.122848999999999</v>
      </c>
      <c r="AC12" s="3">
        <v>30.548908000000001</v>
      </c>
      <c r="AD12" s="3">
        <v>30.918386000000002</v>
      </c>
      <c r="AE12" s="4">
        <v>0.83771171787821885</v>
      </c>
    </row>
    <row r="13" spans="1:31" x14ac:dyDescent="0.25">
      <c r="A13" s="3" t="s">
        <v>36</v>
      </c>
      <c r="B13" s="3" t="s">
        <v>15</v>
      </c>
      <c r="C13" s="3" t="s">
        <v>3</v>
      </c>
      <c r="D13" s="3">
        <v>0.278945</v>
      </c>
      <c r="E13" s="3">
        <v>0.280802</v>
      </c>
      <c r="F13" s="3">
        <v>0.28315000000000001</v>
      </c>
      <c r="G13" s="3">
        <v>0.285279</v>
      </c>
      <c r="H13" s="3">
        <v>0.28782000000000002</v>
      </c>
      <c r="I13" s="3">
        <v>0.29087200000000002</v>
      </c>
      <c r="J13" s="3">
        <v>0.29454200000000003</v>
      </c>
      <c r="K13" s="3">
        <v>0.30258400000000002</v>
      </c>
      <c r="L13" s="3">
        <v>0.320627</v>
      </c>
      <c r="M13" s="3">
        <v>0.33680100000000002</v>
      </c>
      <c r="N13" s="3">
        <v>0.35165400000000002</v>
      </c>
      <c r="O13" s="3">
        <v>0.365284</v>
      </c>
      <c r="P13" s="3">
        <v>0.37803300000000001</v>
      </c>
      <c r="Q13" s="3">
        <v>0.39067800000000003</v>
      </c>
      <c r="R13" s="3">
        <v>0.40275899999999998</v>
      </c>
      <c r="S13" s="3">
        <v>0.41441499999999998</v>
      </c>
      <c r="T13" s="3">
        <v>0.42596800000000001</v>
      </c>
      <c r="U13" s="3">
        <v>0.43716699999999997</v>
      </c>
      <c r="V13" s="3">
        <v>0.44779000000000002</v>
      </c>
      <c r="W13" s="3">
        <v>0.45768700000000001</v>
      </c>
      <c r="X13" s="3">
        <v>0.46684599999999998</v>
      </c>
      <c r="Y13" s="3">
        <v>0.47582000000000002</v>
      </c>
      <c r="Z13" s="3">
        <v>0.48442400000000002</v>
      </c>
      <c r="AA13" s="3">
        <v>0.49208000000000002</v>
      </c>
      <c r="AB13" s="3">
        <v>0.49943100000000001</v>
      </c>
      <c r="AC13" s="3">
        <v>0.50649500000000003</v>
      </c>
      <c r="AD13" s="3">
        <v>0.51261999999999996</v>
      </c>
      <c r="AE13" s="4">
        <v>0.83770994282026912</v>
      </c>
    </row>
    <row r="14" spans="1:31" x14ac:dyDescent="0.25">
      <c r="A14" s="3" t="s">
        <v>36</v>
      </c>
      <c r="B14" s="3" t="s">
        <v>16</v>
      </c>
      <c r="C14" s="3" t="s">
        <v>3</v>
      </c>
      <c r="D14" s="3">
        <v>115.12101</v>
      </c>
      <c r="E14" s="3">
        <v>115.88756600000001</v>
      </c>
      <c r="F14" s="3">
        <v>116.856644</v>
      </c>
      <c r="G14" s="3">
        <v>117.735023</v>
      </c>
      <c r="H14" s="3">
        <v>118.783669</v>
      </c>
      <c r="I14" s="3">
        <v>120.04341100000001</v>
      </c>
      <c r="J14" s="3">
        <v>121.557999</v>
      </c>
      <c r="K14" s="3">
        <v>124.876884</v>
      </c>
      <c r="L14" s="3">
        <v>132.32307399999999</v>
      </c>
      <c r="M14" s="3">
        <v>138.99833699999999</v>
      </c>
      <c r="N14" s="3">
        <v>145.12823499999999</v>
      </c>
      <c r="O14" s="3">
        <v>150.75314299999999</v>
      </c>
      <c r="P14" s="3">
        <v>156.014847</v>
      </c>
      <c r="Q14" s="3">
        <v>161.23336800000001</v>
      </c>
      <c r="R14" s="3">
        <v>166.21920800000001</v>
      </c>
      <c r="S14" s="3">
        <v>171.029831</v>
      </c>
      <c r="T14" s="3">
        <v>175.79776000000001</v>
      </c>
      <c r="U14" s="3">
        <v>180.41932700000001</v>
      </c>
      <c r="V14" s="3">
        <v>184.80354299999999</v>
      </c>
      <c r="W14" s="3">
        <v>188.88833600000001</v>
      </c>
      <c r="X14" s="3">
        <v>192.66815199999999</v>
      </c>
      <c r="Y14" s="3">
        <v>196.371735</v>
      </c>
      <c r="Z14" s="3">
        <v>199.922348</v>
      </c>
      <c r="AA14" s="3">
        <v>203.08230599999999</v>
      </c>
      <c r="AB14" s="3">
        <v>206.115768</v>
      </c>
      <c r="AC14" s="3">
        <v>209.031082</v>
      </c>
      <c r="AD14" s="3">
        <v>211.559235</v>
      </c>
      <c r="AE14" s="4">
        <v>0.83771176955448878</v>
      </c>
    </row>
    <row r="15" spans="1:31" x14ac:dyDescent="0.25">
      <c r="A15" s="3" t="s">
        <v>37</v>
      </c>
      <c r="B15" s="3" t="s">
        <v>15</v>
      </c>
      <c r="C15" s="3" t="s">
        <v>3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1.0250000000000001E-3</v>
      </c>
      <c r="AA15" s="3">
        <v>2.049E-3</v>
      </c>
      <c r="AB15" s="3">
        <v>2.049E-3</v>
      </c>
      <c r="AC15" s="3">
        <v>2.049E-3</v>
      </c>
      <c r="AD15" s="3">
        <v>1.0250000000000001E-3</v>
      </c>
      <c r="AE15" s="4" t="e">
        <f>(AD15-D15)/D15</f>
        <v>#DIV/0!</v>
      </c>
    </row>
    <row r="16" spans="1:31" x14ac:dyDescent="0.25">
      <c r="A16" s="3" t="s">
        <v>17</v>
      </c>
      <c r="B16" s="3" t="s">
        <v>18</v>
      </c>
      <c r="C16" s="3" t="s">
        <v>3</v>
      </c>
      <c r="D16" s="3">
        <v>105.57910200000001</v>
      </c>
      <c r="E16" s="3">
        <v>105.918549</v>
      </c>
      <c r="F16" s="3">
        <v>106.276779</v>
      </c>
      <c r="G16" s="3">
        <v>106.399055</v>
      </c>
      <c r="H16" s="3">
        <v>106.416374</v>
      </c>
      <c r="I16" s="3">
        <v>106.471825</v>
      </c>
      <c r="J16" s="3">
        <v>106.573013</v>
      </c>
      <c r="K16" s="3">
        <v>106.702606</v>
      </c>
      <c r="L16" s="3">
        <v>106.79489100000001</v>
      </c>
      <c r="M16" s="3">
        <v>106.874596</v>
      </c>
      <c r="N16" s="3">
        <v>107.009964</v>
      </c>
      <c r="O16" s="3">
        <v>107.157433</v>
      </c>
      <c r="P16" s="3">
        <v>107.197502</v>
      </c>
      <c r="Q16" s="3">
        <v>107.38059199999999</v>
      </c>
      <c r="R16" s="3">
        <v>107.489403</v>
      </c>
      <c r="S16" s="3">
        <v>107.596611</v>
      </c>
      <c r="T16" s="3">
        <v>107.73046100000001</v>
      </c>
      <c r="U16" s="3">
        <v>107.86869799999999</v>
      </c>
      <c r="V16" s="3">
        <v>108.000626</v>
      </c>
      <c r="W16" s="3">
        <v>108.11084</v>
      </c>
      <c r="X16" s="3">
        <v>108.249481</v>
      </c>
      <c r="Y16" s="3">
        <v>108.38426200000001</v>
      </c>
      <c r="Z16" s="3">
        <v>108.491196</v>
      </c>
      <c r="AA16" s="3">
        <v>108.612053</v>
      </c>
      <c r="AB16" s="3">
        <v>108.732231</v>
      </c>
      <c r="AC16" s="3">
        <v>108.859787</v>
      </c>
      <c r="AD16" s="3">
        <v>108.96682699999999</v>
      </c>
      <c r="AE16" s="4" cm="1">
        <f t="array" ref="AE16:AE20">(AD16:AD20-D16:D20)/D16:D20</f>
        <v>3.2087079126700557E-2</v>
      </c>
    </row>
    <row r="17" spans="1:31" x14ac:dyDescent="0.25">
      <c r="A17" s="3" t="s">
        <v>17</v>
      </c>
      <c r="B17" s="3" t="s">
        <v>19</v>
      </c>
      <c r="C17" s="3" t="s">
        <v>3</v>
      </c>
      <c r="D17" s="3">
        <v>99.955924999999993</v>
      </c>
      <c r="E17" s="3">
        <v>99.955924999999993</v>
      </c>
      <c r="F17" s="3">
        <v>99.955924999999993</v>
      </c>
      <c r="G17" s="3">
        <v>99.955924999999993</v>
      </c>
      <c r="H17" s="3">
        <v>99.955924999999993</v>
      </c>
      <c r="I17" s="3">
        <v>99.955924999999993</v>
      </c>
      <c r="J17" s="3">
        <v>99.955924999999993</v>
      </c>
      <c r="K17" s="3">
        <v>99.955924999999993</v>
      </c>
      <c r="L17" s="3">
        <v>99.955924999999993</v>
      </c>
      <c r="M17" s="3">
        <v>99.955924999999993</v>
      </c>
      <c r="N17" s="3">
        <v>99.955924999999993</v>
      </c>
      <c r="O17" s="3">
        <v>99.955924999999993</v>
      </c>
      <c r="P17" s="3">
        <v>99.955924999999993</v>
      </c>
      <c r="Q17" s="3">
        <v>99.955924999999993</v>
      </c>
      <c r="R17" s="3">
        <v>99.955924999999993</v>
      </c>
      <c r="S17" s="3">
        <v>99.955924999999993</v>
      </c>
      <c r="T17" s="3">
        <v>99.955924999999993</v>
      </c>
      <c r="U17" s="3">
        <v>99.955924999999993</v>
      </c>
      <c r="V17" s="3">
        <v>99.955924999999993</v>
      </c>
      <c r="W17" s="3">
        <v>99.955924999999993</v>
      </c>
      <c r="X17" s="3">
        <v>99.955924999999993</v>
      </c>
      <c r="Y17" s="3">
        <v>99.955924999999993</v>
      </c>
      <c r="Z17" s="3">
        <v>99.955924999999993</v>
      </c>
      <c r="AA17" s="3">
        <v>99.955924999999993</v>
      </c>
      <c r="AB17" s="3">
        <v>99.955924999999993</v>
      </c>
      <c r="AC17" s="3">
        <v>99.955924999999993</v>
      </c>
      <c r="AD17" s="3">
        <v>99.955924999999993</v>
      </c>
      <c r="AE17" s="4">
        <v>0</v>
      </c>
    </row>
    <row r="18" spans="1:31" x14ac:dyDescent="0.25">
      <c r="A18" s="3" t="s">
        <v>17</v>
      </c>
      <c r="B18" s="3" t="s">
        <v>21</v>
      </c>
      <c r="C18" s="3" t="s">
        <v>3</v>
      </c>
      <c r="D18" s="3">
        <v>5.6231770000000001</v>
      </c>
      <c r="E18" s="3">
        <v>5.9626239999999999</v>
      </c>
      <c r="F18" s="3">
        <v>6.3208539999999998</v>
      </c>
      <c r="G18" s="3">
        <v>6.44313</v>
      </c>
      <c r="H18" s="3">
        <v>6.4604489999999997</v>
      </c>
      <c r="I18" s="3">
        <v>6.5159000000000002</v>
      </c>
      <c r="J18" s="3">
        <v>6.6170879999999999</v>
      </c>
      <c r="K18" s="3">
        <v>6.7466809999999997</v>
      </c>
      <c r="L18" s="3">
        <v>6.8389660000000001</v>
      </c>
      <c r="M18" s="3">
        <v>6.9186709999999998</v>
      </c>
      <c r="N18" s="3">
        <v>7.0540390000000004</v>
      </c>
      <c r="O18" s="3">
        <v>7.2015079999999996</v>
      </c>
      <c r="P18" s="3">
        <v>7.2415770000000004</v>
      </c>
      <c r="Q18" s="3">
        <v>7.4246670000000003</v>
      </c>
      <c r="R18" s="3">
        <v>7.5334779999999997</v>
      </c>
      <c r="S18" s="3">
        <v>7.6406859999999996</v>
      </c>
      <c r="T18" s="3">
        <v>7.7745360000000003</v>
      </c>
      <c r="U18" s="3">
        <v>7.9127729999999996</v>
      </c>
      <c r="V18" s="3">
        <v>8.0447009999999999</v>
      </c>
      <c r="W18" s="3">
        <v>8.1549150000000008</v>
      </c>
      <c r="X18" s="3">
        <v>8.2935560000000006</v>
      </c>
      <c r="Y18" s="3">
        <v>8.4283370000000009</v>
      </c>
      <c r="Z18" s="3">
        <v>8.5352709999999998</v>
      </c>
      <c r="AA18" s="3">
        <v>8.6561280000000007</v>
      </c>
      <c r="AB18" s="3">
        <v>8.7763059999999999</v>
      </c>
      <c r="AC18" s="3">
        <v>8.9038620000000002</v>
      </c>
      <c r="AD18" s="3">
        <v>9.0109019999999997</v>
      </c>
      <c r="AE18" s="4">
        <v>0.60245747199492383</v>
      </c>
    </row>
    <row r="19" spans="1:31" x14ac:dyDescent="0.25">
      <c r="A19" s="3" t="s">
        <v>17</v>
      </c>
      <c r="B19" s="3" t="s">
        <v>22</v>
      </c>
      <c r="C19" s="3" t="s">
        <v>3</v>
      </c>
      <c r="D19" s="3">
        <v>0.45973399999999998</v>
      </c>
      <c r="E19" s="3">
        <v>0.67791400000000002</v>
      </c>
      <c r="F19" s="3">
        <v>1.021833</v>
      </c>
      <c r="G19" s="3">
        <v>1.5391090000000001</v>
      </c>
      <c r="H19" s="3">
        <v>2.2847339999999998</v>
      </c>
      <c r="I19" s="3">
        <v>3.1425939999999999</v>
      </c>
      <c r="J19" s="3">
        <v>4.1371060000000002</v>
      </c>
      <c r="K19" s="3">
        <v>6.4134510000000002</v>
      </c>
      <c r="L19" s="3">
        <v>11.722111</v>
      </c>
      <c r="M19" s="3">
        <v>16.483992000000001</v>
      </c>
      <c r="N19" s="3">
        <v>20.775569999999998</v>
      </c>
      <c r="O19" s="3">
        <v>24.722828</v>
      </c>
      <c r="P19" s="3">
        <v>28.498003000000001</v>
      </c>
      <c r="Q19" s="3">
        <v>32.091591000000001</v>
      </c>
      <c r="R19" s="3">
        <v>35.587353</v>
      </c>
      <c r="S19" s="3">
        <v>38.952736000000002</v>
      </c>
      <c r="T19" s="3">
        <v>42.266345999999999</v>
      </c>
      <c r="U19" s="3">
        <v>45.478794000000001</v>
      </c>
      <c r="V19" s="3">
        <v>48.535331999999997</v>
      </c>
      <c r="W19" s="3">
        <v>51.395446999999997</v>
      </c>
      <c r="X19" s="3">
        <v>54.068553999999999</v>
      </c>
      <c r="Y19" s="3">
        <v>56.674380999999997</v>
      </c>
      <c r="Z19" s="3">
        <v>59.183124999999997</v>
      </c>
      <c r="AA19" s="3">
        <v>61.415520000000001</v>
      </c>
      <c r="AB19" s="3">
        <v>63.517848999999998</v>
      </c>
      <c r="AC19" s="3">
        <v>65.614493999999993</v>
      </c>
      <c r="AD19" s="3">
        <v>67.362487999999999</v>
      </c>
      <c r="AE19" s="4">
        <v>145.52492093253926</v>
      </c>
    </row>
    <row r="20" spans="1:31" x14ac:dyDescent="0.25">
      <c r="A20" s="3" t="s">
        <v>17</v>
      </c>
      <c r="B20" s="3" t="s">
        <v>23</v>
      </c>
      <c r="C20" s="3" t="s">
        <v>3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4" t="e">
        <v>#DIV/0!</v>
      </c>
    </row>
    <row r="21" spans="1:31" x14ac:dyDescent="0.25">
      <c r="A21" s="3" t="s">
        <v>24</v>
      </c>
      <c r="B21" s="3" t="s">
        <v>26</v>
      </c>
      <c r="C21" s="3" t="s">
        <v>25</v>
      </c>
      <c r="D21" s="3">
        <v>8.8111660000000001</v>
      </c>
      <c r="E21" s="3">
        <v>8.8732729999999993</v>
      </c>
      <c r="F21" s="3">
        <v>8.6969100000000008</v>
      </c>
      <c r="G21" s="3">
        <v>8.6618089999999999</v>
      </c>
      <c r="H21" s="3">
        <v>8.8083740000000006</v>
      </c>
      <c r="I21" s="3">
        <v>8.8867530000000006</v>
      </c>
      <c r="J21" s="3">
        <v>9.1064749999999997</v>
      </c>
      <c r="K21" s="3">
        <v>9.2686030000000006</v>
      </c>
      <c r="L21" s="3">
        <v>9.6708099999999995</v>
      </c>
      <c r="M21" s="3">
        <v>9.8660969999999999</v>
      </c>
      <c r="N21" s="3">
        <v>9.9762740000000001</v>
      </c>
      <c r="O21" s="3">
        <v>10.020307000000001</v>
      </c>
      <c r="P21" s="3">
        <v>9.9329239999999999</v>
      </c>
      <c r="Q21" s="3">
        <v>9.8702939999999995</v>
      </c>
      <c r="R21" s="3">
        <v>9.8681789999999996</v>
      </c>
      <c r="S21" s="3">
        <v>9.8657079999999997</v>
      </c>
      <c r="T21" s="3">
        <v>9.9090199999999999</v>
      </c>
      <c r="U21" s="3">
        <v>10.045076999999999</v>
      </c>
      <c r="V21" s="3">
        <v>10.125422</v>
      </c>
      <c r="W21" s="3">
        <v>10.091257000000001</v>
      </c>
      <c r="X21" s="3">
        <v>9.9683309999999992</v>
      </c>
      <c r="Y21" s="3">
        <v>10.073230000000001</v>
      </c>
      <c r="Z21" s="3">
        <v>10.041373</v>
      </c>
      <c r="AA21" s="3">
        <v>10.073337</v>
      </c>
      <c r="AB21" s="3">
        <v>10.040692</v>
      </c>
      <c r="AC21" s="3">
        <v>10.016195</v>
      </c>
      <c r="AD21" s="3">
        <v>10.024495999999999</v>
      </c>
      <c r="AE21" s="4">
        <f>(AD21-D21)/D21</f>
        <v>0.13770368189635732</v>
      </c>
    </row>
    <row r="22" spans="1:31" x14ac:dyDescent="0.25">
      <c r="A22" s="3" t="s">
        <v>27</v>
      </c>
      <c r="B22" s="3" t="s">
        <v>28</v>
      </c>
      <c r="C22" s="3" t="s">
        <v>25</v>
      </c>
      <c r="D22" s="3">
        <v>11.274687999999999</v>
      </c>
      <c r="E22" s="3">
        <v>11.336795</v>
      </c>
      <c r="F22" s="3">
        <v>11.160431000000001</v>
      </c>
      <c r="G22" s="3">
        <v>11.125330999999999</v>
      </c>
      <c r="H22" s="3">
        <v>11.271896</v>
      </c>
      <c r="I22" s="3">
        <v>11.350275</v>
      </c>
      <c r="J22" s="3">
        <v>11.569997000000001</v>
      </c>
      <c r="K22" s="3">
        <v>11.732125</v>
      </c>
      <c r="L22" s="3">
        <v>12.134332000000001</v>
      </c>
      <c r="M22" s="3">
        <v>12.329618</v>
      </c>
      <c r="N22" s="3">
        <v>12.439795999999999</v>
      </c>
      <c r="O22" s="3">
        <v>12.483829</v>
      </c>
      <c r="P22" s="3">
        <v>12.396445</v>
      </c>
      <c r="Q22" s="3">
        <v>12.333816000000001</v>
      </c>
      <c r="R22" s="3">
        <v>12.331701000000001</v>
      </c>
      <c r="S22" s="3">
        <v>12.329230000000001</v>
      </c>
      <c r="T22" s="3">
        <v>12.372543</v>
      </c>
      <c r="U22" s="3">
        <v>12.508597999999999</v>
      </c>
      <c r="V22" s="3">
        <v>12.588943</v>
      </c>
      <c r="W22" s="3">
        <v>12.554779999999999</v>
      </c>
      <c r="X22" s="3">
        <v>12.431853</v>
      </c>
      <c r="Y22" s="3">
        <v>12.536752</v>
      </c>
      <c r="Z22" s="3">
        <v>12.504894999999999</v>
      </c>
      <c r="AA22" s="3">
        <v>12.536859</v>
      </c>
      <c r="AB22" s="3">
        <v>12.504213999999999</v>
      </c>
      <c r="AC22" s="3">
        <v>12.479717000000001</v>
      </c>
      <c r="AD22" s="3">
        <v>12.488016999999999</v>
      </c>
      <c r="AE22" s="4" cm="1">
        <f t="array" ref="AE22:AE24">(AD22:AD24-D22:D24)/D22:D24</f>
        <v>0.10761530607321461</v>
      </c>
    </row>
    <row r="23" spans="1:31" x14ac:dyDescent="0.25">
      <c r="A23" s="3" t="s">
        <v>27</v>
      </c>
      <c r="B23" s="3" t="s">
        <v>22</v>
      </c>
      <c r="C23" s="3" t="s">
        <v>25</v>
      </c>
      <c r="D23" s="3">
        <v>61.360560999999997</v>
      </c>
      <c r="E23" s="3">
        <v>61.423996000000002</v>
      </c>
      <c r="F23" s="3">
        <v>61.252029</v>
      </c>
      <c r="G23" s="3">
        <v>61.216929999999998</v>
      </c>
      <c r="H23" s="3">
        <v>61.363495</v>
      </c>
      <c r="I23" s="3">
        <v>61.441875000000003</v>
      </c>
      <c r="J23" s="3">
        <v>61.661594000000001</v>
      </c>
      <c r="K23" s="3">
        <v>61.823726999999998</v>
      </c>
      <c r="L23" s="3">
        <v>62.225932999999998</v>
      </c>
      <c r="M23" s="3">
        <v>62.421222999999998</v>
      </c>
      <c r="N23" s="3">
        <v>62.531405999999997</v>
      </c>
      <c r="O23" s="3">
        <v>62.575439000000003</v>
      </c>
      <c r="P23" s="3">
        <v>62.488036999999998</v>
      </c>
      <c r="Q23" s="3">
        <v>62.425407</v>
      </c>
      <c r="R23" s="3">
        <v>62.423293999999999</v>
      </c>
      <c r="S23" s="3">
        <v>62.420825999999998</v>
      </c>
      <c r="T23" s="3">
        <v>62.464146</v>
      </c>
      <c r="U23" s="3">
        <v>62.600200999999998</v>
      </c>
      <c r="V23" s="3">
        <v>62.680546</v>
      </c>
      <c r="W23" s="3">
        <v>62.646380999999998</v>
      </c>
      <c r="X23" s="3">
        <v>62.52346</v>
      </c>
      <c r="Y23" s="3">
        <v>62.628357000000001</v>
      </c>
      <c r="Z23" s="3">
        <v>62.596504000000003</v>
      </c>
      <c r="AA23" s="3">
        <v>62.628464000000001</v>
      </c>
      <c r="AB23" s="3">
        <v>62.595821000000001</v>
      </c>
      <c r="AC23" s="3">
        <v>62.571326999999997</v>
      </c>
      <c r="AD23" s="3">
        <v>62.579624000000003</v>
      </c>
      <c r="AE23" s="4">
        <v>1.9867207537427919E-2</v>
      </c>
    </row>
    <row r="24" spans="1:31" x14ac:dyDescent="0.25">
      <c r="A24" s="3" t="s">
        <v>27</v>
      </c>
      <c r="B24" s="3" t="s">
        <v>23</v>
      </c>
      <c r="C24" s="3" t="s">
        <v>25</v>
      </c>
      <c r="D24" s="3">
        <v>11.274687999999999</v>
      </c>
      <c r="E24" s="3">
        <v>11.336795</v>
      </c>
      <c r="F24" s="3">
        <v>11.160431000000001</v>
      </c>
      <c r="G24" s="3">
        <v>11.125330999999999</v>
      </c>
      <c r="H24" s="3">
        <v>11.271896</v>
      </c>
      <c r="I24" s="3">
        <v>11.350275</v>
      </c>
      <c r="J24" s="3">
        <v>11.569997000000001</v>
      </c>
      <c r="K24" s="3">
        <v>11.732125</v>
      </c>
      <c r="L24" s="3">
        <v>12.134332000000001</v>
      </c>
      <c r="M24" s="3">
        <v>12.329618</v>
      </c>
      <c r="N24" s="3">
        <v>12.439795999999999</v>
      </c>
      <c r="O24" s="3">
        <v>12.483829</v>
      </c>
      <c r="P24" s="3">
        <v>12.396445</v>
      </c>
      <c r="Q24" s="3">
        <v>12.333816000000001</v>
      </c>
      <c r="R24" s="3">
        <v>12.331701000000001</v>
      </c>
      <c r="S24" s="3">
        <v>12.329230000000001</v>
      </c>
      <c r="T24" s="3">
        <v>12.372543</v>
      </c>
      <c r="U24" s="3">
        <v>12.508597999999999</v>
      </c>
      <c r="V24" s="3">
        <v>12.588943</v>
      </c>
      <c r="W24" s="3">
        <v>12.554779999999999</v>
      </c>
      <c r="X24" s="3">
        <v>12.431853</v>
      </c>
      <c r="Y24" s="3">
        <v>12.536752</v>
      </c>
      <c r="Z24" s="3">
        <v>12.504894999999999</v>
      </c>
      <c r="AA24" s="3">
        <v>12.536859</v>
      </c>
      <c r="AB24" s="3">
        <v>12.504213999999999</v>
      </c>
      <c r="AC24" s="3">
        <v>12.479717000000001</v>
      </c>
      <c r="AD24" s="3">
        <v>12.488016999999999</v>
      </c>
      <c r="AE24" s="4">
        <v>0.10761530607321461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24"/>
  <sheetViews>
    <sheetView tabSelected="1" zoomScale="70" zoomScaleNormal="70" workbookViewId="0">
      <selection activeCell="A42" sqref="A42"/>
    </sheetView>
  </sheetViews>
  <sheetFormatPr defaultColWidth="8.7109375" defaultRowHeight="15" x14ac:dyDescent="0.25"/>
  <cols>
    <col min="1" max="1" width="65.7109375" style="2" bestFit="1" customWidth="1"/>
    <col min="2" max="2" width="54.85546875" style="2" bestFit="1" customWidth="1"/>
    <col min="3" max="3" width="15" style="2" bestFit="1" customWidth="1"/>
    <col min="4" max="30" width="13.5703125" style="2" bestFit="1" customWidth="1"/>
    <col min="31" max="31" width="20.7109375" style="2" bestFit="1" customWidth="1"/>
    <col min="32" max="16384" width="8.7109375" style="2"/>
  </cols>
  <sheetData>
    <row r="1" spans="1:31" s="1" customFormat="1" ht="15.75" thickBot="1" x14ac:dyDescent="0.3">
      <c r="A1" s="6" t="s">
        <v>39</v>
      </c>
      <c r="B1" s="6" t="s">
        <v>40</v>
      </c>
      <c r="C1" s="6" t="s">
        <v>0</v>
      </c>
      <c r="D1" s="6">
        <v>2024</v>
      </c>
      <c r="E1" s="6">
        <v>2025</v>
      </c>
      <c r="F1" s="6">
        <v>2026</v>
      </c>
      <c r="G1" s="6">
        <v>2027</v>
      </c>
      <c r="H1" s="6">
        <v>2028</v>
      </c>
      <c r="I1" s="6">
        <v>2029</v>
      </c>
      <c r="J1" s="6">
        <v>2030</v>
      </c>
      <c r="K1" s="6">
        <v>2031</v>
      </c>
      <c r="L1" s="6">
        <v>2032</v>
      </c>
      <c r="M1" s="6">
        <v>2033</v>
      </c>
      <c r="N1" s="6">
        <v>2034</v>
      </c>
      <c r="O1" s="6">
        <v>2035</v>
      </c>
      <c r="P1" s="6">
        <v>2036</v>
      </c>
      <c r="Q1" s="6">
        <v>2037</v>
      </c>
      <c r="R1" s="6">
        <v>2038</v>
      </c>
      <c r="S1" s="6">
        <v>2039</v>
      </c>
      <c r="T1" s="6">
        <v>2040</v>
      </c>
      <c r="U1" s="6">
        <v>2041</v>
      </c>
      <c r="V1" s="6">
        <v>2042</v>
      </c>
      <c r="W1" s="6">
        <v>2043</v>
      </c>
      <c r="X1" s="6">
        <v>2044</v>
      </c>
      <c r="Y1" s="6">
        <v>2045</v>
      </c>
      <c r="Z1" s="6">
        <v>2046</v>
      </c>
      <c r="AA1" s="6">
        <v>2047</v>
      </c>
      <c r="AB1" s="6">
        <v>2048</v>
      </c>
      <c r="AC1" s="6">
        <v>2049</v>
      </c>
      <c r="AD1" s="6">
        <v>2050</v>
      </c>
      <c r="AE1" s="6" t="s">
        <v>1</v>
      </c>
    </row>
    <row r="2" spans="1:31" ht="15.75" thickTop="1" x14ac:dyDescent="0.25">
      <c r="A2" s="3" t="s">
        <v>38</v>
      </c>
      <c r="B2" s="3" t="s">
        <v>2</v>
      </c>
      <c r="C2" s="3" t="s">
        <v>3</v>
      </c>
      <c r="D2" s="3">
        <v>138.58320599999999</v>
      </c>
      <c r="E2" s="3">
        <v>144.83854700000001</v>
      </c>
      <c r="F2" s="3">
        <v>150.639847</v>
      </c>
      <c r="G2" s="3">
        <v>152.30275</v>
      </c>
      <c r="H2" s="3">
        <v>151.48980700000001</v>
      </c>
      <c r="I2" s="3">
        <v>152.97752399999999</v>
      </c>
      <c r="J2" s="3">
        <v>156.454758</v>
      </c>
      <c r="K2" s="3">
        <v>162.02079800000001</v>
      </c>
      <c r="L2" s="3">
        <v>171.54361</v>
      </c>
      <c r="M2" s="3">
        <v>179.232101</v>
      </c>
      <c r="N2" s="3">
        <v>181.737976</v>
      </c>
      <c r="O2" s="3">
        <v>181.06414799999999</v>
      </c>
      <c r="P2" s="3">
        <v>188.25460799999999</v>
      </c>
      <c r="Q2" s="3">
        <v>195.24749800000001</v>
      </c>
      <c r="R2" s="3">
        <v>202.19523599999999</v>
      </c>
      <c r="S2" s="3">
        <v>208.37901299999999</v>
      </c>
      <c r="T2" s="3">
        <v>215.047394</v>
      </c>
      <c r="U2" s="3">
        <v>221.63270600000001</v>
      </c>
      <c r="V2" s="3">
        <v>227.72305299999999</v>
      </c>
      <c r="W2" s="3">
        <v>233.501846</v>
      </c>
      <c r="X2" s="3">
        <v>238.90626499999999</v>
      </c>
      <c r="Y2" s="3">
        <v>244.29672199999999</v>
      </c>
      <c r="Z2" s="3">
        <v>254.05049099999999</v>
      </c>
      <c r="AA2" s="3">
        <v>265.937164</v>
      </c>
      <c r="AB2" s="3">
        <v>270.468231</v>
      </c>
      <c r="AC2" s="3">
        <v>274.62304699999999</v>
      </c>
      <c r="AD2" s="3">
        <v>278.19534299999998</v>
      </c>
      <c r="AE2" s="4" cm="1">
        <f t="array" ref="AE2:AE6">(AD2:AD6-D2:D6)/D2:D6</f>
        <v>1.0074246442242072</v>
      </c>
    </row>
    <row r="3" spans="1:31" x14ac:dyDescent="0.25">
      <c r="A3" s="3" t="s">
        <v>38</v>
      </c>
      <c r="B3" s="3" t="s">
        <v>4</v>
      </c>
      <c r="C3" s="3" t="s">
        <v>3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4.9470340000000004</v>
      </c>
      <c r="O3" s="3">
        <v>12.35919</v>
      </c>
      <c r="P3" s="3">
        <v>12.35919</v>
      </c>
      <c r="Q3" s="3">
        <v>12.35919</v>
      </c>
      <c r="R3" s="3">
        <v>12.35919</v>
      </c>
      <c r="S3" s="3">
        <v>12.35919</v>
      </c>
      <c r="T3" s="3">
        <v>12.35919</v>
      </c>
      <c r="U3" s="3">
        <v>12.35919</v>
      </c>
      <c r="V3" s="3">
        <v>12.35919</v>
      </c>
      <c r="W3" s="3">
        <v>12.35919</v>
      </c>
      <c r="X3" s="3">
        <v>12.35919</v>
      </c>
      <c r="Y3" s="3">
        <v>12.35919</v>
      </c>
      <c r="Z3" s="3">
        <v>7.4121560000000004</v>
      </c>
      <c r="AA3" s="3">
        <v>0</v>
      </c>
      <c r="AB3" s="3">
        <v>0</v>
      </c>
      <c r="AC3" s="3">
        <v>0</v>
      </c>
      <c r="AD3" s="3">
        <v>0</v>
      </c>
      <c r="AE3" s="4" t="e">
        <v>#DIV/0!</v>
      </c>
    </row>
    <row r="4" spans="1:31" x14ac:dyDescent="0.25">
      <c r="A4" s="3" t="s">
        <v>38</v>
      </c>
      <c r="B4" s="3" t="s">
        <v>6</v>
      </c>
      <c r="C4" s="3" t="s">
        <v>3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4" t="e">
        <v>#DIV/0!</v>
      </c>
    </row>
    <row r="5" spans="1:31" x14ac:dyDescent="0.25">
      <c r="A5" s="3" t="s">
        <v>38</v>
      </c>
      <c r="B5" s="3" t="s">
        <v>7</v>
      </c>
      <c r="C5" s="3" t="s">
        <v>3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4" t="e">
        <v>#DIV/0!</v>
      </c>
    </row>
    <row r="6" spans="1:31" x14ac:dyDescent="0.25">
      <c r="A6" s="3" t="s">
        <v>38</v>
      </c>
      <c r="B6" s="5" t="s">
        <v>8</v>
      </c>
      <c r="C6" s="3" t="s">
        <v>3</v>
      </c>
      <c r="D6" s="3">
        <v>138.58320599999999</v>
      </c>
      <c r="E6" s="3">
        <v>144.83854700000001</v>
      </c>
      <c r="F6" s="3">
        <v>150.639847</v>
      </c>
      <c r="G6" s="3">
        <v>152.30275</v>
      </c>
      <c r="H6" s="3">
        <v>151.48980700000001</v>
      </c>
      <c r="I6" s="3">
        <v>152.97752399999999</v>
      </c>
      <c r="J6" s="3">
        <v>156.454758</v>
      </c>
      <c r="K6" s="3">
        <v>162.02079800000001</v>
      </c>
      <c r="L6" s="3">
        <v>171.54361</v>
      </c>
      <c r="M6" s="3">
        <v>179.232101</v>
      </c>
      <c r="N6" s="3">
        <v>186.685013</v>
      </c>
      <c r="O6" s="3">
        <v>193.42332500000001</v>
      </c>
      <c r="P6" s="3">
        <v>200.6138</v>
      </c>
      <c r="Q6" s="3">
        <v>207.60668899999999</v>
      </c>
      <c r="R6" s="3">
        <v>214.55444299999999</v>
      </c>
      <c r="S6" s="3">
        <v>220.73820499999999</v>
      </c>
      <c r="T6" s="3">
        <v>227.40656999999999</v>
      </c>
      <c r="U6" s="3">
        <v>233.99189799999999</v>
      </c>
      <c r="V6" s="3">
        <v>240.08223000000001</v>
      </c>
      <c r="W6" s="3">
        <v>245.86103800000001</v>
      </c>
      <c r="X6" s="3">
        <v>251.26544200000001</v>
      </c>
      <c r="Y6" s="3">
        <v>256.655914</v>
      </c>
      <c r="Z6" s="3">
        <v>261.46261600000003</v>
      </c>
      <c r="AA6" s="3">
        <v>265.937164</v>
      </c>
      <c r="AB6" s="3">
        <v>270.468231</v>
      </c>
      <c r="AC6" s="3">
        <v>274.62304699999999</v>
      </c>
      <c r="AD6" s="3">
        <v>278.19534299999998</v>
      </c>
      <c r="AE6" s="4">
        <v>1.0074246442242072</v>
      </c>
    </row>
    <row r="7" spans="1:31" x14ac:dyDescent="0.25">
      <c r="A7" s="3" t="s">
        <v>9</v>
      </c>
      <c r="B7" s="3" t="s">
        <v>10</v>
      </c>
      <c r="C7" s="3" t="s">
        <v>3</v>
      </c>
      <c r="D7" s="3">
        <v>190.279068</v>
      </c>
      <c r="E7" s="3">
        <v>198.86784399999999</v>
      </c>
      <c r="F7" s="3">
        <v>206.83322100000001</v>
      </c>
      <c r="G7" s="3">
        <v>209.116455</v>
      </c>
      <c r="H7" s="3">
        <v>208.000259</v>
      </c>
      <c r="I7" s="3">
        <v>210.042923</v>
      </c>
      <c r="J7" s="3">
        <v>214.81727599999999</v>
      </c>
      <c r="K7" s="3">
        <v>222.459641</v>
      </c>
      <c r="L7" s="3">
        <v>235.534729</v>
      </c>
      <c r="M7" s="3">
        <v>246.09127799999999</v>
      </c>
      <c r="N7" s="3">
        <v>256.785034</v>
      </c>
      <c r="O7" s="3">
        <v>266.72720299999997</v>
      </c>
      <c r="P7" s="3">
        <v>276.59997600000003</v>
      </c>
      <c r="Q7" s="3">
        <v>286.20144699999997</v>
      </c>
      <c r="R7" s="3">
        <v>295.740906</v>
      </c>
      <c r="S7" s="3">
        <v>304.23138399999999</v>
      </c>
      <c r="T7" s="3">
        <v>313.38729899999998</v>
      </c>
      <c r="U7" s="3">
        <v>322.42913800000002</v>
      </c>
      <c r="V7" s="3">
        <v>330.79135100000002</v>
      </c>
      <c r="W7" s="3">
        <v>338.72582999999997</v>
      </c>
      <c r="X7" s="3">
        <v>346.14627100000001</v>
      </c>
      <c r="Y7" s="3">
        <v>353.54754600000001</v>
      </c>
      <c r="Z7" s="3">
        <v>359.686646</v>
      </c>
      <c r="AA7" s="3">
        <v>365.14004499999999</v>
      </c>
      <c r="AB7" s="3">
        <v>371.36135899999999</v>
      </c>
      <c r="AC7" s="3">
        <v>377.06603999999999</v>
      </c>
      <c r="AD7" s="3">
        <v>381.97094700000002</v>
      </c>
      <c r="AE7" s="4" cm="1">
        <f t="array" ref="AE7:AE9">(AD7:AD9-D7:D9)/D7:D9</f>
        <v>1.0074249417702636</v>
      </c>
    </row>
    <row r="8" spans="1:31" x14ac:dyDescent="0.25">
      <c r="A8" s="3" t="s">
        <v>9</v>
      </c>
      <c r="B8" s="3" t="s">
        <v>11</v>
      </c>
      <c r="C8" s="3" t="s">
        <v>3</v>
      </c>
      <c r="D8" s="3">
        <v>0.462177</v>
      </c>
      <c r="E8" s="3">
        <v>0.483039</v>
      </c>
      <c r="F8" s="3">
        <v>0.502386</v>
      </c>
      <c r="G8" s="3">
        <v>0.50793200000000005</v>
      </c>
      <c r="H8" s="3">
        <v>0.50522100000000003</v>
      </c>
      <c r="I8" s="3">
        <v>0.51018200000000002</v>
      </c>
      <c r="J8" s="3">
        <v>0.52177899999999999</v>
      </c>
      <c r="K8" s="3">
        <v>0.54034199999999999</v>
      </c>
      <c r="L8" s="3">
        <v>0.57210099999999997</v>
      </c>
      <c r="M8" s="3">
        <v>0.597742</v>
      </c>
      <c r="N8" s="3">
        <v>0.79510199999999998</v>
      </c>
      <c r="O8" s="3">
        <v>1.076038</v>
      </c>
      <c r="P8" s="3">
        <v>1.1000179999999999</v>
      </c>
      <c r="Q8" s="3">
        <v>1.12334</v>
      </c>
      <c r="R8" s="3">
        <v>1.1465099999999999</v>
      </c>
      <c r="S8" s="3">
        <v>1.167133</v>
      </c>
      <c r="T8" s="3">
        <v>1.189373</v>
      </c>
      <c r="U8" s="3">
        <v>1.2113350000000001</v>
      </c>
      <c r="V8" s="3">
        <v>1.231646</v>
      </c>
      <c r="W8" s="3">
        <v>1.250918</v>
      </c>
      <c r="X8" s="3">
        <v>1.268942</v>
      </c>
      <c r="Y8" s="3">
        <v>1.2869189999999999</v>
      </c>
      <c r="Z8" s="3">
        <v>1.1304460000000001</v>
      </c>
      <c r="AA8" s="3">
        <v>0.88690500000000005</v>
      </c>
      <c r="AB8" s="3">
        <v>0.90201600000000004</v>
      </c>
      <c r="AC8" s="3">
        <v>0.91587200000000002</v>
      </c>
      <c r="AD8" s="3">
        <v>0.927786</v>
      </c>
      <c r="AE8" s="4">
        <v>1.0074257265073769</v>
      </c>
    </row>
    <row r="9" spans="1:31" x14ac:dyDescent="0.25">
      <c r="A9" s="3" t="s">
        <v>9</v>
      </c>
      <c r="B9" s="3" t="s">
        <v>12</v>
      </c>
      <c r="C9" s="3" t="s">
        <v>3</v>
      </c>
      <c r="D9" s="3">
        <v>190.741241</v>
      </c>
      <c r="E9" s="3">
        <v>199.350876</v>
      </c>
      <c r="F9" s="3">
        <v>207.33560199999999</v>
      </c>
      <c r="G9" s="3">
        <v>209.62439000000001</v>
      </c>
      <c r="H9" s="3">
        <v>208.50547800000001</v>
      </c>
      <c r="I9" s="3">
        <v>210.553101</v>
      </c>
      <c r="J9" s="3">
        <v>215.33904999999999</v>
      </c>
      <c r="K9" s="3">
        <v>222.99998500000001</v>
      </c>
      <c r="L9" s="3">
        <v>236.10682700000001</v>
      </c>
      <c r="M9" s="3">
        <v>246.68902600000001</v>
      </c>
      <c r="N9" s="3">
        <v>257.58013899999997</v>
      </c>
      <c r="O9" s="3">
        <v>267.80325299999998</v>
      </c>
      <c r="P9" s="3">
        <v>277.69998199999998</v>
      </c>
      <c r="Q9" s="3">
        <v>287.32479899999998</v>
      </c>
      <c r="R9" s="3">
        <v>296.88742100000002</v>
      </c>
      <c r="S9" s="3">
        <v>305.398529</v>
      </c>
      <c r="T9" s="3">
        <v>314.57666</v>
      </c>
      <c r="U9" s="3">
        <v>323.64047199999999</v>
      </c>
      <c r="V9" s="3">
        <v>332.02301</v>
      </c>
      <c r="W9" s="3">
        <v>339.97674599999999</v>
      </c>
      <c r="X9" s="3">
        <v>347.41522200000003</v>
      </c>
      <c r="Y9" s="3">
        <v>354.834473</v>
      </c>
      <c r="Z9" s="3">
        <v>360.81707799999998</v>
      </c>
      <c r="AA9" s="3">
        <v>366.02694700000001</v>
      </c>
      <c r="AB9" s="3">
        <v>372.26336700000002</v>
      </c>
      <c r="AC9" s="3">
        <v>377.98190299999999</v>
      </c>
      <c r="AD9" s="3">
        <v>382.89874300000002</v>
      </c>
      <c r="AE9" s="4">
        <v>1.0074250381961183</v>
      </c>
    </row>
    <row r="10" spans="1:31" x14ac:dyDescent="0.25">
      <c r="A10" s="3" t="s">
        <v>36</v>
      </c>
      <c r="B10" s="3" t="s">
        <v>10</v>
      </c>
      <c r="C10" s="3" t="s">
        <v>3</v>
      </c>
      <c r="D10" s="3">
        <v>190.279068</v>
      </c>
      <c r="E10" s="3">
        <v>198.86784399999999</v>
      </c>
      <c r="F10" s="3">
        <v>206.83322100000001</v>
      </c>
      <c r="G10" s="3">
        <v>209.116455</v>
      </c>
      <c r="H10" s="3">
        <v>208.000259</v>
      </c>
      <c r="I10" s="3">
        <v>210.042923</v>
      </c>
      <c r="J10" s="3">
        <v>214.81727599999999</v>
      </c>
      <c r="K10" s="3">
        <v>222.459641</v>
      </c>
      <c r="L10" s="3">
        <v>235.534729</v>
      </c>
      <c r="M10" s="3">
        <v>246.09127799999999</v>
      </c>
      <c r="N10" s="3">
        <v>256.785034</v>
      </c>
      <c r="O10" s="3">
        <v>266.72720299999997</v>
      </c>
      <c r="P10" s="3">
        <v>276.59997600000003</v>
      </c>
      <c r="Q10" s="3">
        <v>286.20144699999997</v>
      </c>
      <c r="R10" s="3">
        <v>295.740906</v>
      </c>
      <c r="S10" s="3">
        <v>304.23138399999999</v>
      </c>
      <c r="T10" s="3">
        <v>313.38729899999998</v>
      </c>
      <c r="U10" s="3">
        <v>322.42913800000002</v>
      </c>
      <c r="V10" s="3">
        <v>330.79135100000002</v>
      </c>
      <c r="W10" s="3">
        <v>338.72582999999997</v>
      </c>
      <c r="X10" s="3">
        <v>346.14627100000001</v>
      </c>
      <c r="Y10" s="3">
        <v>353.54754600000001</v>
      </c>
      <c r="Z10" s="3">
        <v>359.686646</v>
      </c>
      <c r="AA10" s="3">
        <v>365.14004499999999</v>
      </c>
      <c r="AB10" s="3">
        <v>371.36135899999999</v>
      </c>
      <c r="AC10" s="3">
        <v>377.06603999999999</v>
      </c>
      <c r="AD10" s="3">
        <v>381.97094700000002</v>
      </c>
      <c r="AE10" s="4" cm="1">
        <f t="array" ref="AE10:AE14">(AD10:AD14-D10:D14)/D10:D14</f>
        <v>1.0074249417702636</v>
      </c>
    </row>
    <row r="11" spans="1:31" x14ac:dyDescent="0.25">
      <c r="A11" s="3" t="s">
        <v>36</v>
      </c>
      <c r="B11" s="3" t="s">
        <v>13</v>
      </c>
      <c r="C11" s="3" t="s">
        <v>3</v>
      </c>
      <c r="D11" s="3">
        <v>162.40313699999999</v>
      </c>
      <c r="E11" s="3">
        <v>169.73365799999999</v>
      </c>
      <c r="F11" s="3">
        <v>176.53208900000001</v>
      </c>
      <c r="G11" s="3">
        <v>178.48083500000001</v>
      </c>
      <c r="H11" s="3">
        <v>177.52816799999999</v>
      </c>
      <c r="I11" s="3">
        <v>179.27157600000001</v>
      </c>
      <c r="J11" s="3">
        <v>183.34648100000001</v>
      </c>
      <c r="K11" s="3">
        <v>189.869247</v>
      </c>
      <c r="L11" s="3">
        <v>201.02882399999999</v>
      </c>
      <c r="M11" s="3">
        <v>210.03883400000001</v>
      </c>
      <c r="N11" s="3">
        <v>219.15974399999999</v>
      </c>
      <c r="O11" s="3">
        <v>227.636078</v>
      </c>
      <c r="P11" s="3">
        <v>236.062454</v>
      </c>
      <c r="Q11" s="3">
        <v>244.25730899999999</v>
      </c>
      <c r="R11" s="3">
        <v>252.39924600000001</v>
      </c>
      <c r="S11" s="3">
        <v>259.64587399999999</v>
      </c>
      <c r="T11" s="3">
        <v>267.460419</v>
      </c>
      <c r="U11" s="3">
        <v>275.17764299999999</v>
      </c>
      <c r="V11" s="3">
        <v>282.31478900000002</v>
      </c>
      <c r="W11" s="3">
        <v>289.086884</v>
      </c>
      <c r="X11" s="3">
        <v>295.42019699999997</v>
      </c>
      <c r="Y11" s="3">
        <v>301.73718300000002</v>
      </c>
      <c r="Z11" s="3">
        <v>306.98312399999998</v>
      </c>
      <c r="AA11" s="3">
        <v>311.64694200000002</v>
      </c>
      <c r="AB11" s="3">
        <v>316.956818</v>
      </c>
      <c r="AC11" s="3">
        <v>321.82577500000002</v>
      </c>
      <c r="AD11" s="3">
        <v>326.01211499999999</v>
      </c>
      <c r="AE11" s="4">
        <v>1.0074249858855868</v>
      </c>
    </row>
    <row r="12" spans="1:31" x14ac:dyDescent="0.25">
      <c r="A12" s="3" t="s">
        <v>36</v>
      </c>
      <c r="B12" s="3" t="s">
        <v>14</v>
      </c>
      <c r="C12" s="3" t="s">
        <v>3</v>
      </c>
      <c r="D12" s="3">
        <v>27.875934999999998</v>
      </c>
      <c r="E12" s="3">
        <v>29.134193</v>
      </c>
      <c r="F12" s="3">
        <v>30.301123</v>
      </c>
      <c r="G12" s="3">
        <v>30.635618000000001</v>
      </c>
      <c r="H12" s="3">
        <v>30.472093999999998</v>
      </c>
      <c r="I12" s="3">
        <v>30.771345</v>
      </c>
      <c r="J12" s="3">
        <v>31.470789</v>
      </c>
      <c r="K12" s="3">
        <v>32.590397000000003</v>
      </c>
      <c r="L12" s="3">
        <v>34.505901000000001</v>
      </c>
      <c r="M12" s="3">
        <v>36.052436999999998</v>
      </c>
      <c r="N12" s="3">
        <v>37.625298000000001</v>
      </c>
      <c r="O12" s="3">
        <v>39.091147999999997</v>
      </c>
      <c r="P12" s="3">
        <v>40.537506</v>
      </c>
      <c r="Q12" s="3">
        <v>41.944125999999997</v>
      </c>
      <c r="R12" s="3">
        <v>43.341659999999997</v>
      </c>
      <c r="S12" s="3">
        <v>44.585518</v>
      </c>
      <c r="T12" s="3">
        <v>45.926861000000002</v>
      </c>
      <c r="U12" s="3">
        <v>47.251491999999999</v>
      </c>
      <c r="V12" s="3">
        <v>48.476562000000001</v>
      </c>
      <c r="W12" s="3">
        <v>49.638966000000003</v>
      </c>
      <c r="X12" s="3">
        <v>50.726058999999999</v>
      </c>
      <c r="Y12" s="3">
        <v>51.810349000000002</v>
      </c>
      <c r="Z12" s="3">
        <v>52.703510000000001</v>
      </c>
      <c r="AA12" s="3">
        <v>53.493118000000003</v>
      </c>
      <c r="AB12" s="3">
        <v>54.404541000000002</v>
      </c>
      <c r="AC12" s="3">
        <v>55.240276000000001</v>
      </c>
      <c r="AD12" s="3">
        <v>55.958846999999999</v>
      </c>
      <c r="AE12" s="4">
        <v>1.0074249348048774</v>
      </c>
    </row>
    <row r="13" spans="1:31" x14ac:dyDescent="0.25">
      <c r="A13" s="3" t="s">
        <v>36</v>
      </c>
      <c r="B13" s="3" t="s">
        <v>15</v>
      </c>
      <c r="C13" s="3" t="s">
        <v>3</v>
      </c>
      <c r="D13" s="3">
        <v>0.462177</v>
      </c>
      <c r="E13" s="3">
        <v>0.483039</v>
      </c>
      <c r="F13" s="3">
        <v>0.502386</v>
      </c>
      <c r="G13" s="3">
        <v>0.50793200000000005</v>
      </c>
      <c r="H13" s="3">
        <v>0.50522100000000003</v>
      </c>
      <c r="I13" s="3">
        <v>0.51018200000000002</v>
      </c>
      <c r="J13" s="3">
        <v>0.52177899999999999</v>
      </c>
      <c r="K13" s="3">
        <v>0.54034199999999999</v>
      </c>
      <c r="L13" s="3">
        <v>0.57210099999999997</v>
      </c>
      <c r="M13" s="3">
        <v>0.597742</v>
      </c>
      <c r="N13" s="3">
        <v>0.79510199999999998</v>
      </c>
      <c r="O13" s="3">
        <v>1.076038</v>
      </c>
      <c r="P13" s="3">
        <v>1.1000179999999999</v>
      </c>
      <c r="Q13" s="3">
        <v>1.12334</v>
      </c>
      <c r="R13" s="3">
        <v>1.1465099999999999</v>
      </c>
      <c r="S13" s="3">
        <v>1.167133</v>
      </c>
      <c r="T13" s="3">
        <v>1.189373</v>
      </c>
      <c r="U13" s="3">
        <v>1.2113350000000001</v>
      </c>
      <c r="V13" s="3">
        <v>1.231646</v>
      </c>
      <c r="W13" s="3">
        <v>1.250918</v>
      </c>
      <c r="X13" s="3">
        <v>1.268942</v>
      </c>
      <c r="Y13" s="3">
        <v>1.2869189999999999</v>
      </c>
      <c r="Z13" s="3">
        <v>1.1304460000000001</v>
      </c>
      <c r="AA13" s="3">
        <v>0.88690500000000005</v>
      </c>
      <c r="AB13" s="3">
        <v>0.90201600000000004</v>
      </c>
      <c r="AC13" s="3">
        <v>0.91587200000000002</v>
      </c>
      <c r="AD13" s="3">
        <v>0.927786</v>
      </c>
      <c r="AE13" s="4">
        <v>1.0074257265073769</v>
      </c>
    </row>
    <row r="14" spans="1:31" x14ac:dyDescent="0.25">
      <c r="A14" s="3" t="s">
        <v>36</v>
      </c>
      <c r="B14" s="3" t="s">
        <v>16</v>
      </c>
      <c r="C14" s="3" t="s">
        <v>3</v>
      </c>
      <c r="D14" s="3">
        <v>190.741241</v>
      </c>
      <c r="E14" s="3">
        <v>199.350876</v>
      </c>
      <c r="F14" s="3">
        <v>207.33560199999999</v>
      </c>
      <c r="G14" s="3">
        <v>209.62439000000001</v>
      </c>
      <c r="H14" s="3">
        <v>208.50547800000001</v>
      </c>
      <c r="I14" s="3">
        <v>210.553101</v>
      </c>
      <c r="J14" s="3">
        <v>215.33904999999999</v>
      </c>
      <c r="K14" s="3">
        <v>222.99998500000001</v>
      </c>
      <c r="L14" s="3">
        <v>236.10682700000001</v>
      </c>
      <c r="M14" s="3">
        <v>246.68902600000001</v>
      </c>
      <c r="N14" s="3">
        <v>257.58013899999997</v>
      </c>
      <c r="O14" s="3">
        <v>267.80325299999998</v>
      </c>
      <c r="P14" s="3">
        <v>277.69998199999998</v>
      </c>
      <c r="Q14" s="3">
        <v>287.32479899999998</v>
      </c>
      <c r="R14" s="3">
        <v>296.88742100000002</v>
      </c>
      <c r="S14" s="3">
        <v>305.398529</v>
      </c>
      <c r="T14" s="3">
        <v>314.57666</v>
      </c>
      <c r="U14" s="3">
        <v>323.64047199999999</v>
      </c>
      <c r="V14" s="3">
        <v>332.02301</v>
      </c>
      <c r="W14" s="3">
        <v>339.97674599999999</v>
      </c>
      <c r="X14" s="3">
        <v>347.41522200000003</v>
      </c>
      <c r="Y14" s="3">
        <v>354.834473</v>
      </c>
      <c r="Z14" s="3">
        <v>360.81707799999998</v>
      </c>
      <c r="AA14" s="3">
        <v>366.02694700000001</v>
      </c>
      <c r="AB14" s="3">
        <v>372.26336700000002</v>
      </c>
      <c r="AC14" s="3">
        <v>377.98190299999999</v>
      </c>
      <c r="AD14" s="3">
        <v>382.89874300000002</v>
      </c>
      <c r="AE14" s="4">
        <v>1.0074250381961183</v>
      </c>
    </row>
    <row r="15" spans="1:31" x14ac:dyDescent="0.25">
      <c r="A15" s="3" t="s">
        <v>37</v>
      </c>
      <c r="B15" s="3" t="s">
        <v>15</v>
      </c>
      <c r="C15" s="3" t="s">
        <v>3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4" t="e">
        <f>(AD15-D15)/D15</f>
        <v>#DIV/0!</v>
      </c>
    </row>
    <row r="16" spans="1:31" x14ac:dyDescent="0.25">
      <c r="A16" s="3" t="s">
        <v>17</v>
      </c>
      <c r="B16" s="3" t="s">
        <v>18</v>
      </c>
      <c r="C16" s="3" t="s">
        <v>3</v>
      </c>
      <c r="D16" s="3">
        <v>138.532455</v>
      </c>
      <c r="E16" s="3">
        <v>144.511505</v>
      </c>
      <c r="F16" s="3">
        <v>149.648911</v>
      </c>
      <c r="G16" s="3">
        <v>150.543915</v>
      </c>
      <c r="H16" s="3">
        <v>148.740387</v>
      </c>
      <c r="I16" s="3">
        <v>148.92285200000001</v>
      </c>
      <c r="J16" s="3">
        <v>150.90965299999999</v>
      </c>
      <c r="K16" s="3">
        <v>153.06195099999999</v>
      </c>
      <c r="L16" s="3">
        <v>154.96615600000001</v>
      </c>
      <c r="M16" s="3">
        <v>155.79051200000001</v>
      </c>
      <c r="N16" s="3">
        <v>156.95605499999999</v>
      </c>
      <c r="O16" s="3">
        <v>158.22827100000001</v>
      </c>
      <c r="P16" s="3">
        <v>160.073792</v>
      </c>
      <c r="Q16" s="3">
        <v>161.74726899999999</v>
      </c>
      <c r="R16" s="3">
        <v>163.662048</v>
      </c>
      <c r="S16" s="3">
        <v>165.139343</v>
      </c>
      <c r="T16" s="3">
        <v>167.11772199999999</v>
      </c>
      <c r="U16" s="3">
        <v>169.32492099999999</v>
      </c>
      <c r="V16" s="3">
        <v>171.38024899999999</v>
      </c>
      <c r="W16" s="3">
        <v>173.10870399999999</v>
      </c>
      <c r="X16" s="3">
        <v>175.06189000000001</v>
      </c>
      <c r="Y16" s="3">
        <v>177.254501</v>
      </c>
      <c r="Z16" s="3">
        <v>178.705353</v>
      </c>
      <c r="AA16" s="3">
        <v>180.44047499999999</v>
      </c>
      <c r="AB16" s="3">
        <v>182.263611</v>
      </c>
      <c r="AC16" s="3">
        <v>184.03980999999999</v>
      </c>
      <c r="AD16" s="3">
        <v>185.51951600000001</v>
      </c>
      <c r="AE16" s="4" cm="1">
        <f t="array" ref="AE16:AE20">(AD16:AD20-D16:D20)/D16:D20</f>
        <v>0.3391772779887573</v>
      </c>
    </row>
    <row r="17" spans="1:31" x14ac:dyDescent="0.25">
      <c r="A17" s="3" t="s">
        <v>17</v>
      </c>
      <c r="B17" s="3" t="s">
        <v>19</v>
      </c>
      <c r="C17" s="3" t="s">
        <v>3</v>
      </c>
      <c r="D17" s="3">
        <v>1.2747850000000001</v>
      </c>
      <c r="E17" s="3">
        <v>1.2747850000000001</v>
      </c>
      <c r="F17" s="3">
        <v>1.2747850000000001</v>
      </c>
      <c r="G17" s="3">
        <v>1.2747850000000001</v>
      </c>
      <c r="H17" s="3">
        <v>1.2747850000000001</v>
      </c>
      <c r="I17" s="3">
        <v>1.2747850000000001</v>
      </c>
      <c r="J17" s="3">
        <v>1.2747850000000001</v>
      </c>
      <c r="K17" s="3">
        <v>1.2747850000000001</v>
      </c>
      <c r="L17" s="3">
        <v>1.2747850000000001</v>
      </c>
      <c r="M17" s="3">
        <v>1.2747850000000001</v>
      </c>
      <c r="N17" s="3">
        <v>1.2747850000000001</v>
      </c>
      <c r="O17" s="3">
        <v>1.2747850000000001</v>
      </c>
      <c r="P17" s="3">
        <v>1.2747850000000001</v>
      </c>
      <c r="Q17" s="3">
        <v>1.2747850000000001</v>
      </c>
      <c r="R17" s="3">
        <v>1.2747850000000001</v>
      </c>
      <c r="S17" s="3">
        <v>1.2747850000000001</v>
      </c>
      <c r="T17" s="3">
        <v>1.2747850000000001</v>
      </c>
      <c r="U17" s="3">
        <v>1.2747850000000001</v>
      </c>
      <c r="V17" s="3">
        <v>1.2747850000000001</v>
      </c>
      <c r="W17" s="3">
        <v>1.2747850000000001</v>
      </c>
      <c r="X17" s="3">
        <v>1.2747850000000001</v>
      </c>
      <c r="Y17" s="3">
        <v>1.2747850000000001</v>
      </c>
      <c r="Z17" s="3">
        <v>1.2747850000000001</v>
      </c>
      <c r="AA17" s="3">
        <v>1.2747850000000001</v>
      </c>
      <c r="AB17" s="3">
        <v>1.2747850000000001</v>
      </c>
      <c r="AC17" s="3">
        <v>1.2747850000000001</v>
      </c>
      <c r="AD17" s="3">
        <v>1.2747850000000001</v>
      </c>
      <c r="AE17" s="4">
        <v>0</v>
      </c>
    </row>
    <row r="18" spans="1:31" x14ac:dyDescent="0.25">
      <c r="A18" s="3" t="s">
        <v>17</v>
      </c>
      <c r="B18" s="3" t="s">
        <v>21</v>
      </c>
      <c r="C18" s="3" t="s">
        <v>3</v>
      </c>
      <c r="D18" s="3">
        <v>137.25767500000001</v>
      </c>
      <c r="E18" s="3">
        <v>143.23672500000001</v>
      </c>
      <c r="F18" s="3">
        <v>148.37413000000001</v>
      </c>
      <c r="G18" s="3">
        <v>149.26913500000001</v>
      </c>
      <c r="H18" s="3">
        <v>147.46560700000001</v>
      </c>
      <c r="I18" s="3">
        <v>147.64807099999999</v>
      </c>
      <c r="J18" s="3">
        <v>149.634872</v>
      </c>
      <c r="K18" s="3">
        <v>151.78717</v>
      </c>
      <c r="L18" s="3">
        <v>153.69137599999999</v>
      </c>
      <c r="M18" s="3">
        <v>154.51573200000001</v>
      </c>
      <c r="N18" s="3">
        <v>155.681274</v>
      </c>
      <c r="O18" s="3">
        <v>156.95349100000001</v>
      </c>
      <c r="P18" s="3">
        <v>158.79901100000001</v>
      </c>
      <c r="Q18" s="3">
        <v>160.472488</v>
      </c>
      <c r="R18" s="3">
        <v>162.38726800000001</v>
      </c>
      <c r="S18" s="3">
        <v>163.864563</v>
      </c>
      <c r="T18" s="3">
        <v>165.842941</v>
      </c>
      <c r="U18" s="3">
        <v>168.05014</v>
      </c>
      <c r="V18" s="3">
        <v>170.105469</v>
      </c>
      <c r="W18" s="3">
        <v>171.833923</v>
      </c>
      <c r="X18" s="3">
        <v>173.78710899999999</v>
      </c>
      <c r="Y18" s="3">
        <v>175.97972100000001</v>
      </c>
      <c r="Z18" s="3">
        <v>177.43057300000001</v>
      </c>
      <c r="AA18" s="3">
        <v>179.165695</v>
      </c>
      <c r="AB18" s="3">
        <v>180.988831</v>
      </c>
      <c r="AC18" s="3">
        <v>182.76503</v>
      </c>
      <c r="AD18" s="3">
        <v>184.24473599999999</v>
      </c>
      <c r="AE18" s="4">
        <v>0.34232738533564683</v>
      </c>
    </row>
    <row r="19" spans="1:31" x14ac:dyDescent="0.25">
      <c r="A19" s="3" t="s">
        <v>17</v>
      </c>
      <c r="B19" s="3" t="s">
        <v>22</v>
      </c>
      <c r="C19" s="3" t="s">
        <v>3</v>
      </c>
      <c r="D19" s="3">
        <v>5.0771999999999998E-2</v>
      </c>
      <c r="E19" s="3">
        <v>0.34245700000000001</v>
      </c>
      <c r="F19" s="3">
        <v>0.84144300000000005</v>
      </c>
      <c r="G19" s="3">
        <v>1.6062449999999999</v>
      </c>
      <c r="H19" s="3">
        <v>2.7153890000000001</v>
      </c>
      <c r="I19" s="3">
        <v>4.0031819999999998</v>
      </c>
      <c r="J19" s="3">
        <v>5.4759719999999996</v>
      </c>
      <c r="K19" s="3">
        <v>8.8390459999999997</v>
      </c>
      <c r="L19" s="3">
        <v>16.460659</v>
      </c>
      <c r="M19" s="3">
        <v>23.362024000000002</v>
      </c>
      <c r="N19" s="3">
        <v>29.556557000000002</v>
      </c>
      <c r="O19" s="3">
        <v>35.246634999999998</v>
      </c>
      <c r="P19" s="3">
        <v>40.587189000000002</v>
      </c>
      <c r="Q19" s="3">
        <v>45.731414999999998</v>
      </c>
      <c r="R19" s="3">
        <v>50.651587999999997</v>
      </c>
      <c r="S19" s="3">
        <v>55.321846000000001</v>
      </c>
      <c r="T19" s="3">
        <v>59.967574999999997</v>
      </c>
      <c r="U19" s="3">
        <v>64.412398999999994</v>
      </c>
      <c r="V19" s="3">
        <v>68.590652000000006</v>
      </c>
      <c r="W19" s="3">
        <v>72.493010999999996</v>
      </c>
      <c r="X19" s="3">
        <v>76.023346000000004</v>
      </c>
      <c r="Y19" s="3">
        <v>79.451301999999998</v>
      </c>
      <c r="Z19" s="3">
        <v>82.625564999999995</v>
      </c>
      <c r="AA19" s="3">
        <v>85.413475000000005</v>
      </c>
      <c r="AB19" s="3">
        <v>87.988388</v>
      </c>
      <c r="AC19" s="3">
        <v>90.484604000000004</v>
      </c>
      <c r="AD19" s="3">
        <v>92.475037</v>
      </c>
      <c r="AE19" s="4">
        <v>1820.3786535885922</v>
      </c>
    </row>
    <row r="20" spans="1:31" x14ac:dyDescent="0.25">
      <c r="A20" s="3" t="s">
        <v>17</v>
      </c>
      <c r="B20" s="3" t="s">
        <v>23</v>
      </c>
      <c r="C20" s="3" t="s">
        <v>3</v>
      </c>
      <c r="D20" s="3">
        <v>0</v>
      </c>
      <c r="E20" s="3">
        <v>0</v>
      </c>
      <c r="F20" s="3">
        <v>7.9621999999999998E-2</v>
      </c>
      <c r="G20" s="3">
        <v>9.1961000000000001E-2</v>
      </c>
      <c r="H20" s="3">
        <v>5.1387000000000002E-2</v>
      </c>
      <c r="I20" s="3">
        <v>5.1387000000000002E-2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4" t="e">
        <v>#DIV/0!</v>
      </c>
    </row>
    <row r="21" spans="1:31" x14ac:dyDescent="0.25">
      <c r="A21" s="3" t="s">
        <v>24</v>
      </c>
      <c r="B21" s="3" t="s">
        <v>26</v>
      </c>
      <c r="C21" s="3" t="s">
        <v>25</v>
      </c>
      <c r="D21" s="3">
        <v>7.901986</v>
      </c>
      <c r="E21" s="3">
        <v>8.1394680000000008</v>
      </c>
      <c r="F21" s="3">
        <v>7.8010390000000003</v>
      </c>
      <c r="G21" s="3">
        <v>7.7466540000000004</v>
      </c>
      <c r="H21" s="3">
        <v>7.8039290000000001</v>
      </c>
      <c r="I21" s="3">
        <v>7.8275079999999999</v>
      </c>
      <c r="J21" s="3">
        <v>7.8747449999999999</v>
      </c>
      <c r="K21" s="3">
        <v>7.9302640000000002</v>
      </c>
      <c r="L21" s="3">
        <v>8.1418610000000005</v>
      </c>
      <c r="M21" s="3">
        <v>8.2245310000000007</v>
      </c>
      <c r="N21" s="3">
        <v>8.2968309999999992</v>
      </c>
      <c r="O21" s="3">
        <v>8.3790859999999991</v>
      </c>
      <c r="P21" s="3">
        <v>8.3690149999999992</v>
      </c>
      <c r="Q21" s="3">
        <v>8.3084690000000005</v>
      </c>
      <c r="R21" s="3">
        <v>8.2606699999999993</v>
      </c>
      <c r="S21" s="3">
        <v>8.2131460000000001</v>
      </c>
      <c r="T21" s="3">
        <v>8.2392889999999994</v>
      </c>
      <c r="U21" s="3">
        <v>8.3078920000000007</v>
      </c>
      <c r="V21" s="3">
        <v>8.3340060000000005</v>
      </c>
      <c r="W21" s="3">
        <v>8.3347119999999997</v>
      </c>
      <c r="X21" s="3">
        <v>8.2617349999999998</v>
      </c>
      <c r="Y21" s="3">
        <v>8.2158719999999992</v>
      </c>
      <c r="Z21" s="3">
        <v>8.2709419999999998</v>
      </c>
      <c r="AA21" s="3">
        <v>8.2576479999999997</v>
      </c>
      <c r="AB21" s="3">
        <v>8.2052049999999994</v>
      </c>
      <c r="AC21" s="3">
        <v>8.1430319999999998</v>
      </c>
      <c r="AD21" s="3">
        <v>8.0760900000000007</v>
      </c>
      <c r="AE21" s="4">
        <f>(AD21-D21)/D21</f>
        <v>2.2032942098353592E-2</v>
      </c>
    </row>
    <row r="22" spans="1:31" x14ac:dyDescent="0.25">
      <c r="A22" s="3" t="s">
        <v>27</v>
      </c>
      <c r="B22" s="3" t="s">
        <v>28</v>
      </c>
      <c r="C22" s="3" t="s">
        <v>25</v>
      </c>
      <c r="D22" s="3">
        <v>10.365508</v>
      </c>
      <c r="E22" s="3">
        <v>10.602989000000001</v>
      </c>
      <c r="F22" s="3">
        <v>10.264562</v>
      </c>
      <c r="G22" s="3">
        <v>10.210176000000001</v>
      </c>
      <c r="H22" s="3">
        <v>10.26745</v>
      </c>
      <c r="I22" s="3">
        <v>10.291029999999999</v>
      </c>
      <c r="J22" s="3">
        <v>10.338267</v>
      </c>
      <c r="K22" s="3">
        <v>10.393786</v>
      </c>
      <c r="L22" s="3">
        <v>10.605383</v>
      </c>
      <c r="M22" s="3">
        <v>10.688053</v>
      </c>
      <c r="N22" s="3">
        <v>10.760353</v>
      </c>
      <c r="O22" s="3">
        <v>10.842608</v>
      </c>
      <c r="P22" s="3">
        <v>10.832535999999999</v>
      </c>
      <c r="Q22" s="3">
        <v>10.771991</v>
      </c>
      <c r="R22" s="3">
        <v>10.724192</v>
      </c>
      <c r="S22" s="3">
        <v>10.676667999999999</v>
      </c>
      <c r="T22" s="3">
        <v>10.702811000000001</v>
      </c>
      <c r="U22" s="3">
        <v>10.771414</v>
      </c>
      <c r="V22" s="3">
        <v>10.797527000000001</v>
      </c>
      <c r="W22" s="3">
        <v>10.798234000000001</v>
      </c>
      <c r="X22" s="3">
        <v>10.725256999999999</v>
      </c>
      <c r="Y22" s="3">
        <v>10.679392999999999</v>
      </c>
      <c r="Z22" s="3">
        <v>10.734463999999999</v>
      </c>
      <c r="AA22" s="3">
        <v>10.721169</v>
      </c>
      <c r="AB22" s="3">
        <v>10.668727000000001</v>
      </c>
      <c r="AC22" s="3">
        <v>10.606553999999999</v>
      </c>
      <c r="AD22" s="3">
        <v>10.539611000000001</v>
      </c>
      <c r="AE22" s="4" cm="1">
        <f t="array" ref="AE22:AE24">(AD22:AD24-D22:D24)/D22:D24</f>
        <v>1.6796378913604675E-2</v>
      </c>
    </row>
    <row r="23" spans="1:31" x14ac:dyDescent="0.25">
      <c r="A23" s="3" t="s">
        <v>27</v>
      </c>
      <c r="B23" s="3" t="s">
        <v>22</v>
      </c>
      <c r="C23" s="3" t="s">
        <v>25</v>
      </c>
      <c r="D23" s="3">
        <v>60.455573999999999</v>
      </c>
      <c r="E23" s="3">
        <v>60.693676000000004</v>
      </c>
      <c r="F23" s="3">
        <v>60.356178</v>
      </c>
      <c r="G23" s="3">
        <v>60.301788000000002</v>
      </c>
      <c r="H23" s="3">
        <v>60.359070000000003</v>
      </c>
      <c r="I23" s="3">
        <v>60.382648000000003</v>
      </c>
      <c r="J23" s="3">
        <v>60.429886000000003</v>
      </c>
      <c r="K23" s="3">
        <v>60.485405</v>
      </c>
      <c r="L23" s="3">
        <v>60.696995000000001</v>
      </c>
      <c r="M23" s="3">
        <v>60.779662999999999</v>
      </c>
      <c r="N23" s="3">
        <v>60.851967000000002</v>
      </c>
      <c r="O23" s="3">
        <v>60.934218999999999</v>
      </c>
      <c r="P23" s="3">
        <v>60.924140999999999</v>
      </c>
      <c r="Q23" s="3">
        <v>60.863598000000003</v>
      </c>
      <c r="R23" s="3">
        <v>60.815800000000003</v>
      </c>
      <c r="S23" s="3">
        <v>60.768276</v>
      </c>
      <c r="T23" s="3">
        <v>60.794426000000001</v>
      </c>
      <c r="U23" s="3">
        <v>60.863022000000001</v>
      </c>
      <c r="V23" s="3">
        <v>60.889144999999999</v>
      </c>
      <c r="W23" s="3">
        <v>60.889842999999999</v>
      </c>
      <c r="X23" s="3">
        <v>60.816867999999999</v>
      </c>
      <c r="Y23" s="3">
        <v>60.771003999999998</v>
      </c>
      <c r="Z23" s="3">
        <v>60.826073000000001</v>
      </c>
      <c r="AA23" s="3">
        <v>60.812786000000003</v>
      </c>
      <c r="AB23" s="3">
        <v>60.760337999999997</v>
      </c>
      <c r="AC23" s="3">
        <v>60.698166000000001</v>
      </c>
      <c r="AD23" s="3">
        <v>60.631222000000001</v>
      </c>
      <c r="AE23" s="4">
        <v>2.9054062078709645E-3</v>
      </c>
    </row>
    <row r="24" spans="1:31" x14ac:dyDescent="0.25">
      <c r="A24" s="3" t="s">
        <v>27</v>
      </c>
      <c r="B24" s="3" t="s">
        <v>23</v>
      </c>
      <c r="C24" s="3" t="s">
        <v>25</v>
      </c>
      <c r="D24" s="3">
        <v>10.365508</v>
      </c>
      <c r="E24" s="3">
        <v>10.602989000000001</v>
      </c>
      <c r="F24" s="3">
        <v>10.264562</v>
      </c>
      <c r="G24" s="3">
        <v>10.210176000000001</v>
      </c>
      <c r="H24" s="3">
        <v>10.26745</v>
      </c>
      <c r="I24" s="3">
        <v>10.291029999999999</v>
      </c>
      <c r="J24" s="3">
        <v>10.338267</v>
      </c>
      <c r="K24" s="3">
        <v>10.393786</v>
      </c>
      <c r="L24" s="3">
        <v>10.605383</v>
      </c>
      <c r="M24" s="3">
        <v>10.688053</v>
      </c>
      <c r="N24" s="3">
        <v>10.760353</v>
      </c>
      <c r="O24" s="3">
        <v>10.842608</v>
      </c>
      <c r="P24" s="3">
        <v>10.832535999999999</v>
      </c>
      <c r="Q24" s="3">
        <v>10.771991</v>
      </c>
      <c r="R24" s="3">
        <v>10.724192</v>
      </c>
      <c r="S24" s="3">
        <v>10.676667999999999</v>
      </c>
      <c r="T24" s="3">
        <v>10.702811000000001</v>
      </c>
      <c r="U24" s="3">
        <v>10.771414</v>
      </c>
      <c r="V24" s="3">
        <v>10.797527000000001</v>
      </c>
      <c r="W24" s="3">
        <v>10.798234000000001</v>
      </c>
      <c r="X24" s="3">
        <v>10.725256999999999</v>
      </c>
      <c r="Y24" s="3">
        <v>10.679392999999999</v>
      </c>
      <c r="Z24" s="3">
        <v>10.734463999999999</v>
      </c>
      <c r="AA24" s="3">
        <v>10.721169</v>
      </c>
      <c r="AB24" s="3">
        <v>10.668727000000001</v>
      </c>
      <c r="AC24" s="3">
        <v>10.606553999999999</v>
      </c>
      <c r="AD24" s="3">
        <v>10.539611000000001</v>
      </c>
      <c r="AE24" s="4">
        <v>1.6796378913604675E-2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E24"/>
  <sheetViews>
    <sheetView tabSelected="1" zoomScale="70" zoomScaleNormal="70" workbookViewId="0">
      <selection activeCell="A42" sqref="A42"/>
    </sheetView>
  </sheetViews>
  <sheetFormatPr defaultColWidth="8.7109375" defaultRowHeight="15" x14ac:dyDescent="0.25"/>
  <cols>
    <col min="1" max="1" width="65.7109375" style="2" bestFit="1" customWidth="1"/>
    <col min="2" max="2" width="54.85546875" style="2" bestFit="1" customWidth="1"/>
    <col min="3" max="3" width="15" style="2" bestFit="1" customWidth="1"/>
    <col min="4" max="30" width="13.5703125" style="2" bestFit="1" customWidth="1"/>
    <col min="31" max="31" width="20.7109375" style="2" bestFit="1" customWidth="1"/>
    <col min="32" max="16384" width="8.7109375" style="2"/>
  </cols>
  <sheetData>
    <row r="1" spans="1:31" s="1" customFormat="1" ht="15.75" thickBot="1" x14ac:dyDescent="0.3">
      <c r="A1" s="6" t="s">
        <v>39</v>
      </c>
      <c r="B1" s="6" t="s">
        <v>40</v>
      </c>
      <c r="C1" s="6" t="s">
        <v>0</v>
      </c>
      <c r="D1" s="6">
        <v>2024</v>
      </c>
      <c r="E1" s="6">
        <v>2025</v>
      </c>
      <c r="F1" s="6">
        <v>2026</v>
      </c>
      <c r="G1" s="6">
        <v>2027</v>
      </c>
      <c r="H1" s="6">
        <v>2028</v>
      </c>
      <c r="I1" s="6">
        <v>2029</v>
      </c>
      <c r="J1" s="6">
        <v>2030</v>
      </c>
      <c r="K1" s="6">
        <v>2031</v>
      </c>
      <c r="L1" s="6">
        <v>2032</v>
      </c>
      <c r="M1" s="6">
        <v>2033</v>
      </c>
      <c r="N1" s="6">
        <v>2034</v>
      </c>
      <c r="O1" s="6">
        <v>2035</v>
      </c>
      <c r="P1" s="6">
        <v>2036</v>
      </c>
      <c r="Q1" s="6">
        <v>2037</v>
      </c>
      <c r="R1" s="6">
        <v>2038</v>
      </c>
      <c r="S1" s="6">
        <v>2039</v>
      </c>
      <c r="T1" s="6">
        <v>2040</v>
      </c>
      <c r="U1" s="6">
        <v>2041</v>
      </c>
      <c r="V1" s="6">
        <v>2042</v>
      </c>
      <c r="W1" s="6">
        <v>2043</v>
      </c>
      <c r="X1" s="6">
        <v>2044</v>
      </c>
      <c r="Y1" s="6">
        <v>2045</v>
      </c>
      <c r="Z1" s="6">
        <v>2046</v>
      </c>
      <c r="AA1" s="6">
        <v>2047</v>
      </c>
      <c r="AB1" s="6">
        <v>2048</v>
      </c>
      <c r="AC1" s="6">
        <v>2049</v>
      </c>
      <c r="AD1" s="6">
        <v>2050</v>
      </c>
      <c r="AE1" s="6" t="s">
        <v>1</v>
      </c>
    </row>
    <row r="2" spans="1:31" ht="15.75" thickTop="1" x14ac:dyDescent="0.25">
      <c r="A2" s="3" t="s">
        <v>38</v>
      </c>
      <c r="B2" s="3" t="s">
        <v>2</v>
      </c>
      <c r="C2" s="3" t="s">
        <v>3</v>
      </c>
      <c r="D2" s="3">
        <v>91.718208000000004</v>
      </c>
      <c r="E2" s="3">
        <v>108.412621</v>
      </c>
      <c r="F2" s="3">
        <v>108.412621</v>
      </c>
      <c r="G2" s="3">
        <v>108.412621</v>
      </c>
      <c r="H2" s="3">
        <v>108.412621</v>
      </c>
      <c r="I2" s="3">
        <v>108.412621</v>
      </c>
      <c r="J2" s="3">
        <v>108.412621</v>
      </c>
      <c r="K2" s="3">
        <v>108.412621</v>
      </c>
      <c r="L2" s="3">
        <v>107.54293800000001</v>
      </c>
      <c r="M2" s="3">
        <v>106.61116</v>
      </c>
      <c r="N2" s="3">
        <v>105.693855</v>
      </c>
      <c r="O2" s="3">
        <v>104.888847</v>
      </c>
      <c r="P2" s="3">
        <v>112.683556</v>
      </c>
      <c r="Q2" s="3">
        <v>120.57691199999999</v>
      </c>
      <c r="R2" s="3">
        <v>134.316193</v>
      </c>
      <c r="S2" s="3">
        <v>142.29354900000001</v>
      </c>
      <c r="T2" s="3">
        <v>149.992096</v>
      </c>
      <c r="U2" s="3">
        <v>157.42121900000001</v>
      </c>
      <c r="V2" s="3">
        <v>164.874527</v>
      </c>
      <c r="W2" s="3">
        <v>171.893158</v>
      </c>
      <c r="X2" s="3">
        <v>178.550613</v>
      </c>
      <c r="Y2" s="3">
        <v>185.05748</v>
      </c>
      <c r="Z2" s="3">
        <v>190.925949</v>
      </c>
      <c r="AA2" s="3">
        <v>196.19755599999999</v>
      </c>
      <c r="AB2" s="3">
        <v>254.41920500000001</v>
      </c>
      <c r="AC2" s="3">
        <v>258.84420799999998</v>
      </c>
      <c r="AD2" s="3">
        <v>262.69467200000003</v>
      </c>
      <c r="AE2" s="4" cm="1">
        <f t="array" ref="AE2:AE6">(AD2:AD6-D2:D6)/D2:D6</f>
        <v>1.8641496353701112</v>
      </c>
    </row>
    <row r="3" spans="1:31" x14ac:dyDescent="0.25">
      <c r="A3" s="3" t="s">
        <v>38</v>
      </c>
      <c r="B3" s="3" t="s">
        <v>4</v>
      </c>
      <c r="C3" s="3" t="s">
        <v>3</v>
      </c>
      <c r="D3" s="3">
        <v>13.463258</v>
      </c>
      <c r="E3" s="3">
        <v>1.708963</v>
      </c>
      <c r="F3" s="3">
        <v>7.9675570000000002</v>
      </c>
      <c r="G3" s="3">
        <v>10.798041</v>
      </c>
      <c r="H3" s="3">
        <v>11.817553</v>
      </c>
      <c r="I3" s="3">
        <v>14.487928</v>
      </c>
      <c r="J3" s="3">
        <v>18.184380000000001</v>
      </c>
      <c r="K3" s="3">
        <v>23.961221999999999</v>
      </c>
      <c r="L3" s="3">
        <v>35.786476</v>
      </c>
      <c r="M3" s="3">
        <v>46.035938000000002</v>
      </c>
      <c r="N3" s="3">
        <v>56.126441999999997</v>
      </c>
      <c r="O3" s="3">
        <v>64.981468000000007</v>
      </c>
      <c r="P3" s="3">
        <v>64.981468000000007</v>
      </c>
      <c r="Q3" s="3">
        <v>64.981468000000007</v>
      </c>
      <c r="R3" s="3">
        <v>59.102825000000003</v>
      </c>
      <c r="S3" s="3">
        <v>58.377612999999997</v>
      </c>
      <c r="T3" s="3">
        <v>57.677742000000002</v>
      </c>
      <c r="U3" s="3">
        <v>57.002369000000002</v>
      </c>
      <c r="V3" s="3">
        <v>56.324795000000002</v>
      </c>
      <c r="W3" s="3">
        <v>55.686737000000001</v>
      </c>
      <c r="X3" s="3">
        <v>55.081511999999996</v>
      </c>
      <c r="Y3" s="3">
        <v>54.489983000000002</v>
      </c>
      <c r="Z3" s="3">
        <v>53.956482000000001</v>
      </c>
      <c r="AA3" s="3">
        <v>53.477249</v>
      </c>
      <c r="AB3" s="3">
        <v>0</v>
      </c>
      <c r="AC3" s="3">
        <v>0</v>
      </c>
      <c r="AD3" s="3">
        <v>0</v>
      </c>
      <c r="AE3" s="4">
        <v>-1</v>
      </c>
    </row>
    <row r="4" spans="1:31" x14ac:dyDescent="0.25">
      <c r="A4" s="3" t="s">
        <v>38</v>
      </c>
      <c r="B4" s="3" t="s">
        <v>6</v>
      </c>
      <c r="C4" s="3" t="s">
        <v>3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4" t="e">
        <v>#DIV/0!</v>
      </c>
    </row>
    <row r="5" spans="1:31" x14ac:dyDescent="0.25">
      <c r="A5" s="3" t="s">
        <v>38</v>
      </c>
      <c r="B5" s="3" t="s">
        <v>7</v>
      </c>
      <c r="C5" s="3" t="s">
        <v>3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4" t="e">
        <v>#DIV/0!</v>
      </c>
    </row>
    <row r="6" spans="1:31" x14ac:dyDescent="0.25">
      <c r="A6" s="3" t="s">
        <v>38</v>
      </c>
      <c r="B6" s="5" t="s">
        <v>8</v>
      </c>
      <c r="C6" s="3" t="s">
        <v>3</v>
      </c>
      <c r="D6" s="3">
        <v>105.181473</v>
      </c>
      <c r="E6" s="3">
        <v>110.121582</v>
      </c>
      <c r="F6" s="3">
        <v>116.38018</v>
      </c>
      <c r="G6" s="3">
        <v>119.210663</v>
      </c>
      <c r="H6" s="3">
        <v>120.23017900000001</v>
      </c>
      <c r="I6" s="3">
        <v>122.90055099999999</v>
      </c>
      <c r="J6" s="3">
        <v>126.59699999999999</v>
      </c>
      <c r="K6" s="3">
        <v>132.37384</v>
      </c>
      <c r="L6" s="3">
        <v>143.329407</v>
      </c>
      <c r="M6" s="3">
        <v>152.64709500000001</v>
      </c>
      <c r="N6" s="3">
        <v>161.82029700000001</v>
      </c>
      <c r="O6" s="3">
        <v>169.870316</v>
      </c>
      <c r="P6" s="3">
        <v>177.66502399999999</v>
      </c>
      <c r="Q6" s="3">
        <v>185.55838</v>
      </c>
      <c r="R6" s="3">
        <v>193.41902200000001</v>
      </c>
      <c r="S6" s="3">
        <v>200.67115799999999</v>
      </c>
      <c r="T6" s="3">
        <v>207.66984600000001</v>
      </c>
      <c r="U6" s="3">
        <v>214.423599</v>
      </c>
      <c r="V6" s="3">
        <v>221.19932600000001</v>
      </c>
      <c r="W6" s="3">
        <v>227.57989499999999</v>
      </c>
      <c r="X6" s="3">
        <v>233.632126</v>
      </c>
      <c r="Y6" s="3">
        <v>239.54745500000001</v>
      </c>
      <c r="Z6" s="3">
        <v>244.882431</v>
      </c>
      <c r="AA6" s="3">
        <v>249.67480499999999</v>
      </c>
      <c r="AB6" s="3">
        <v>254.41920500000001</v>
      </c>
      <c r="AC6" s="3">
        <v>258.84420799999998</v>
      </c>
      <c r="AD6" s="3">
        <v>262.69467200000003</v>
      </c>
      <c r="AE6" s="4">
        <v>1.497537489325711</v>
      </c>
    </row>
    <row r="7" spans="1:31" x14ac:dyDescent="0.25">
      <c r="A7" s="3" t="s">
        <v>9</v>
      </c>
      <c r="B7" s="3" t="s">
        <v>10</v>
      </c>
      <c r="C7" s="3" t="s">
        <v>3</v>
      </c>
      <c r="D7" s="3">
        <v>145.67120399999999</v>
      </c>
      <c r="E7" s="3">
        <v>151.35952800000001</v>
      </c>
      <c r="F7" s="3">
        <v>160.53559899999999</v>
      </c>
      <c r="G7" s="3">
        <v>164.68553199999999</v>
      </c>
      <c r="H7" s="3">
        <v>166.18029799999999</v>
      </c>
      <c r="I7" s="3">
        <v>170.09549000000001</v>
      </c>
      <c r="J7" s="3">
        <v>175.51506000000001</v>
      </c>
      <c r="K7" s="3">
        <v>183.984802</v>
      </c>
      <c r="L7" s="3">
        <v>200.12837200000001</v>
      </c>
      <c r="M7" s="3">
        <v>213.876328</v>
      </c>
      <c r="N7" s="3">
        <v>227.41108700000001</v>
      </c>
      <c r="O7" s="3">
        <v>239.288635</v>
      </c>
      <c r="P7" s="3">
        <v>249.991028</v>
      </c>
      <c r="Q7" s="3">
        <v>260.82882699999999</v>
      </c>
      <c r="R7" s="3">
        <v>271.07431000000003</v>
      </c>
      <c r="S7" s="3">
        <v>280.96417200000002</v>
      </c>
      <c r="T7" s="3">
        <v>290.50839200000001</v>
      </c>
      <c r="U7" s="3">
        <v>299.71862800000002</v>
      </c>
      <c r="V7" s="3">
        <v>308.95880099999999</v>
      </c>
      <c r="W7" s="3">
        <v>317.66012599999999</v>
      </c>
      <c r="X7" s="3">
        <v>325.91369600000002</v>
      </c>
      <c r="Y7" s="3">
        <v>333.98052999999999</v>
      </c>
      <c r="Z7" s="3">
        <v>341.25592</v>
      </c>
      <c r="AA7" s="3">
        <v>347.791382</v>
      </c>
      <c r="AB7" s="3">
        <v>349.32553100000001</v>
      </c>
      <c r="AC7" s="3">
        <v>355.401184</v>
      </c>
      <c r="AD7" s="3">
        <v>360.688019</v>
      </c>
      <c r="AE7" s="4" cm="1">
        <f t="array" ref="AE7:AE9">(AD7:AD9-D7:D9)/D7:D9</f>
        <v>1.4760419979778572</v>
      </c>
    </row>
    <row r="8" spans="1:31" x14ac:dyDescent="0.25">
      <c r="A8" s="3" t="s">
        <v>9</v>
      </c>
      <c r="B8" s="3" t="s">
        <v>11</v>
      </c>
      <c r="C8" s="3" t="s">
        <v>3</v>
      </c>
      <c r="D8" s="3">
        <v>0.82024900000000001</v>
      </c>
      <c r="E8" s="3">
        <v>0.42684899999999998</v>
      </c>
      <c r="F8" s="3">
        <v>0.66596</v>
      </c>
      <c r="G8" s="3">
        <v>0.77410000000000001</v>
      </c>
      <c r="H8" s="3">
        <v>0.81305000000000005</v>
      </c>
      <c r="I8" s="3">
        <v>0.91507300000000003</v>
      </c>
      <c r="J8" s="3">
        <v>1.056297</v>
      </c>
      <c r="K8" s="3">
        <v>1.277002</v>
      </c>
      <c r="L8" s="3">
        <v>1.725889</v>
      </c>
      <c r="M8" s="3">
        <v>2.1143649999999998</v>
      </c>
      <c r="N8" s="3">
        <v>2.4968159999999999</v>
      </c>
      <c r="O8" s="3">
        <v>2.8324400000000001</v>
      </c>
      <c r="P8" s="3">
        <v>2.8584350000000001</v>
      </c>
      <c r="Q8" s="3">
        <v>2.8847589999999999</v>
      </c>
      <c r="R8" s="3">
        <v>2.7059850000000001</v>
      </c>
      <c r="S8" s="3">
        <v>2.7048830000000001</v>
      </c>
      <c r="T8" s="3">
        <v>2.7038190000000002</v>
      </c>
      <c r="U8" s="3">
        <v>2.7027920000000001</v>
      </c>
      <c r="V8" s="3">
        <v>2.701762</v>
      </c>
      <c r="W8" s="3">
        <v>2.700793</v>
      </c>
      <c r="X8" s="3">
        <v>2.699872</v>
      </c>
      <c r="Y8" s="3">
        <v>2.6989730000000001</v>
      </c>
      <c r="Z8" s="3">
        <v>2.6981619999999999</v>
      </c>
      <c r="AA8" s="3">
        <v>2.6974339999999999</v>
      </c>
      <c r="AB8" s="3">
        <v>0.84849200000000002</v>
      </c>
      <c r="AC8" s="3">
        <v>0.86324999999999996</v>
      </c>
      <c r="AD8" s="3">
        <v>0.87609099999999995</v>
      </c>
      <c r="AE8" s="4">
        <v>6.8079327131151571E-2</v>
      </c>
    </row>
    <row r="9" spans="1:31" x14ac:dyDescent="0.25">
      <c r="A9" s="3" t="s">
        <v>9</v>
      </c>
      <c r="B9" s="3" t="s">
        <v>12</v>
      </c>
      <c r="C9" s="3" t="s">
        <v>3</v>
      </c>
      <c r="D9" s="3">
        <v>146.491455</v>
      </c>
      <c r="E9" s="3">
        <v>151.78637699999999</v>
      </c>
      <c r="F9" s="3">
        <v>161.20155299999999</v>
      </c>
      <c r="G9" s="3">
        <v>165.45962499999999</v>
      </c>
      <c r="H9" s="3">
        <v>166.993347</v>
      </c>
      <c r="I9" s="3">
        <v>171.010559</v>
      </c>
      <c r="J9" s="3">
        <v>176.57135</v>
      </c>
      <c r="K9" s="3">
        <v>185.26181</v>
      </c>
      <c r="L9" s="3">
        <v>201.854263</v>
      </c>
      <c r="M9" s="3">
        <v>215.990692</v>
      </c>
      <c r="N9" s="3">
        <v>229.90789799999999</v>
      </c>
      <c r="O9" s="3">
        <v>242.12107800000001</v>
      </c>
      <c r="P9" s="3">
        <v>252.849457</v>
      </c>
      <c r="Q9" s="3">
        <v>263.713593</v>
      </c>
      <c r="R9" s="3">
        <v>273.780304</v>
      </c>
      <c r="S9" s="3">
        <v>283.66906699999998</v>
      </c>
      <c r="T9" s="3">
        <v>293.212219</v>
      </c>
      <c r="U9" s="3">
        <v>302.42141700000002</v>
      </c>
      <c r="V9" s="3">
        <v>311.66055299999999</v>
      </c>
      <c r="W9" s="3">
        <v>320.36093099999999</v>
      </c>
      <c r="X9" s="3">
        <v>328.61355600000002</v>
      </c>
      <c r="Y9" s="3">
        <v>336.67950400000001</v>
      </c>
      <c r="Z9" s="3">
        <v>343.954071</v>
      </c>
      <c r="AA9" s="3">
        <v>350.488831</v>
      </c>
      <c r="AB9" s="3">
        <v>350.17401100000001</v>
      </c>
      <c r="AC9" s="3">
        <v>356.26443499999999</v>
      </c>
      <c r="AD9" s="3">
        <v>361.56411700000001</v>
      </c>
      <c r="AE9" s="4">
        <v>1.4681584123797529</v>
      </c>
    </row>
    <row r="10" spans="1:31" x14ac:dyDescent="0.25">
      <c r="A10" s="3" t="s">
        <v>36</v>
      </c>
      <c r="B10" s="3" t="s">
        <v>10</v>
      </c>
      <c r="C10" s="3" t="s">
        <v>3</v>
      </c>
      <c r="D10" s="3">
        <v>145.67120399999999</v>
      </c>
      <c r="E10" s="3">
        <v>151.35952800000001</v>
      </c>
      <c r="F10" s="3">
        <v>160.53559899999999</v>
      </c>
      <c r="G10" s="3">
        <v>164.68553199999999</v>
      </c>
      <c r="H10" s="3">
        <v>166.18029799999999</v>
      </c>
      <c r="I10" s="3">
        <v>170.09549000000001</v>
      </c>
      <c r="J10" s="3">
        <v>175.51506000000001</v>
      </c>
      <c r="K10" s="3">
        <v>183.984802</v>
      </c>
      <c r="L10" s="3">
        <v>200.12837200000001</v>
      </c>
      <c r="M10" s="3">
        <v>213.876328</v>
      </c>
      <c r="N10" s="3">
        <v>227.41108700000001</v>
      </c>
      <c r="O10" s="3">
        <v>239.288635</v>
      </c>
      <c r="P10" s="3">
        <v>249.991028</v>
      </c>
      <c r="Q10" s="3">
        <v>260.82882699999999</v>
      </c>
      <c r="R10" s="3">
        <v>271.07431000000003</v>
      </c>
      <c r="S10" s="3">
        <v>280.96417200000002</v>
      </c>
      <c r="T10" s="3">
        <v>290.50839200000001</v>
      </c>
      <c r="U10" s="3">
        <v>299.71862800000002</v>
      </c>
      <c r="V10" s="3">
        <v>308.95880099999999</v>
      </c>
      <c r="W10" s="3">
        <v>317.66012599999999</v>
      </c>
      <c r="X10" s="3">
        <v>325.91369600000002</v>
      </c>
      <c r="Y10" s="3">
        <v>333.98052999999999</v>
      </c>
      <c r="Z10" s="3">
        <v>341.25592</v>
      </c>
      <c r="AA10" s="3">
        <v>347.791382</v>
      </c>
      <c r="AB10" s="3">
        <v>349.32553100000001</v>
      </c>
      <c r="AC10" s="3">
        <v>355.401184</v>
      </c>
      <c r="AD10" s="3">
        <v>360.688019</v>
      </c>
      <c r="AE10" s="4" cm="1">
        <f t="array" ref="AE10:AE14">(AD10:AD14-D10:D14)/D10:D14</f>
        <v>1.4760419979778572</v>
      </c>
    </row>
    <row r="11" spans="1:31" x14ac:dyDescent="0.25">
      <c r="A11" s="3" t="s">
        <v>36</v>
      </c>
      <c r="B11" s="3" t="s">
        <v>13</v>
      </c>
      <c r="C11" s="3" t="s">
        <v>3</v>
      </c>
      <c r="D11" s="3">
        <v>124.313416</v>
      </c>
      <c r="E11" s="3">
        <v>129.183167</v>
      </c>
      <c r="F11" s="3">
        <v>137.00708</v>
      </c>
      <c r="G11" s="3">
        <v>140.54548600000001</v>
      </c>
      <c r="H11" s="3">
        <v>141.81997699999999</v>
      </c>
      <c r="I11" s="3">
        <v>145.15823399999999</v>
      </c>
      <c r="J11" s="3">
        <v>149.77919</v>
      </c>
      <c r="K11" s="3">
        <v>157.000854</v>
      </c>
      <c r="L11" s="3">
        <v>170.76452599999999</v>
      </c>
      <c r="M11" s="3">
        <v>182.48551900000001</v>
      </c>
      <c r="N11" s="3">
        <v>194.024734</v>
      </c>
      <c r="O11" s="3">
        <v>204.151093</v>
      </c>
      <c r="P11" s="3">
        <v>213.285583</v>
      </c>
      <c r="Q11" s="3">
        <v>222.53564499999999</v>
      </c>
      <c r="R11" s="3">
        <v>231.28753699999999</v>
      </c>
      <c r="S11" s="3">
        <v>239.72946200000001</v>
      </c>
      <c r="T11" s="3">
        <v>247.876328</v>
      </c>
      <c r="U11" s="3">
        <v>255.738113</v>
      </c>
      <c r="V11" s="3">
        <v>263.62545799999998</v>
      </c>
      <c r="W11" s="3">
        <v>271.05282599999998</v>
      </c>
      <c r="X11" s="3">
        <v>278.09799199999998</v>
      </c>
      <c r="Y11" s="3">
        <v>284.98379499999999</v>
      </c>
      <c r="Z11" s="3">
        <v>291.19400000000002</v>
      </c>
      <c r="AA11" s="3">
        <v>296.77261399999998</v>
      </c>
      <c r="AB11" s="3">
        <v>298.14926100000002</v>
      </c>
      <c r="AC11" s="3">
        <v>303.33480800000001</v>
      </c>
      <c r="AD11" s="3">
        <v>307.84713699999998</v>
      </c>
      <c r="AE11" s="4">
        <v>1.4763790337802314</v>
      </c>
    </row>
    <row r="12" spans="1:31" x14ac:dyDescent="0.25">
      <c r="A12" s="3" t="s">
        <v>36</v>
      </c>
      <c r="B12" s="3" t="s">
        <v>14</v>
      </c>
      <c r="C12" s="3" t="s">
        <v>3</v>
      </c>
      <c r="D12" s="3">
        <v>21.357797999999999</v>
      </c>
      <c r="E12" s="3">
        <v>22.176359000000001</v>
      </c>
      <c r="F12" s="3">
        <v>23.528525999999999</v>
      </c>
      <c r="G12" s="3">
        <v>24.140051</v>
      </c>
      <c r="H12" s="3">
        <v>24.360315</v>
      </c>
      <c r="I12" s="3">
        <v>24.937248</v>
      </c>
      <c r="J12" s="3">
        <v>25.735865</v>
      </c>
      <c r="K12" s="3">
        <v>26.983948000000002</v>
      </c>
      <c r="L12" s="3">
        <v>29.363852000000001</v>
      </c>
      <c r="M12" s="3">
        <v>31.390816000000001</v>
      </c>
      <c r="N12" s="3">
        <v>33.386344999999999</v>
      </c>
      <c r="O12" s="3">
        <v>35.137543000000001</v>
      </c>
      <c r="P12" s="3">
        <v>36.705444</v>
      </c>
      <c r="Q12" s="3">
        <v>38.293185999999999</v>
      </c>
      <c r="R12" s="3">
        <v>39.786757999999999</v>
      </c>
      <c r="S12" s="3">
        <v>41.234718000000001</v>
      </c>
      <c r="T12" s="3">
        <v>42.632069000000001</v>
      </c>
      <c r="U12" s="3">
        <v>43.980522000000001</v>
      </c>
      <c r="V12" s="3">
        <v>45.333359000000002</v>
      </c>
      <c r="W12" s="3">
        <v>46.607303999999999</v>
      </c>
      <c r="X12" s="3">
        <v>47.815688999999999</v>
      </c>
      <c r="Y12" s="3">
        <v>48.996741999999998</v>
      </c>
      <c r="Z12" s="3">
        <v>50.061915999999997</v>
      </c>
      <c r="AA12" s="3">
        <v>51.018760999999998</v>
      </c>
      <c r="AB12" s="3">
        <v>51.176285</v>
      </c>
      <c r="AC12" s="3">
        <v>52.066372000000001</v>
      </c>
      <c r="AD12" s="3">
        <v>52.840893000000001</v>
      </c>
      <c r="AE12" s="4">
        <v>1.4740796312428839</v>
      </c>
    </row>
    <row r="13" spans="1:31" x14ac:dyDescent="0.25">
      <c r="A13" s="3" t="s">
        <v>36</v>
      </c>
      <c r="B13" s="3" t="s">
        <v>15</v>
      </c>
      <c r="C13" s="3" t="s">
        <v>3</v>
      </c>
      <c r="D13" s="3">
        <v>0.82024900000000001</v>
      </c>
      <c r="E13" s="3">
        <v>0.42684899999999998</v>
      </c>
      <c r="F13" s="3">
        <v>0.66596</v>
      </c>
      <c r="G13" s="3">
        <v>0.77410000000000001</v>
      </c>
      <c r="H13" s="3">
        <v>0.81305000000000005</v>
      </c>
      <c r="I13" s="3">
        <v>0.91507300000000003</v>
      </c>
      <c r="J13" s="3">
        <v>1.056297</v>
      </c>
      <c r="K13" s="3">
        <v>1.277002</v>
      </c>
      <c r="L13" s="3">
        <v>1.725889</v>
      </c>
      <c r="M13" s="3">
        <v>2.1143649999999998</v>
      </c>
      <c r="N13" s="3">
        <v>2.4968159999999999</v>
      </c>
      <c r="O13" s="3">
        <v>2.8324400000000001</v>
      </c>
      <c r="P13" s="3">
        <v>2.8584350000000001</v>
      </c>
      <c r="Q13" s="3">
        <v>2.8847589999999999</v>
      </c>
      <c r="R13" s="3">
        <v>2.7059850000000001</v>
      </c>
      <c r="S13" s="3">
        <v>2.7048830000000001</v>
      </c>
      <c r="T13" s="3">
        <v>2.7038190000000002</v>
      </c>
      <c r="U13" s="3">
        <v>2.7027920000000001</v>
      </c>
      <c r="V13" s="3">
        <v>2.701762</v>
      </c>
      <c r="W13" s="3">
        <v>2.700793</v>
      </c>
      <c r="X13" s="3">
        <v>2.699872</v>
      </c>
      <c r="Y13" s="3">
        <v>2.6989730000000001</v>
      </c>
      <c r="Z13" s="3">
        <v>2.6981619999999999</v>
      </c>
      <c r="AA13" s="3">
        <v>2.6974339999999999</v>
      </c>
      <c r="AB13" s="3">
        <v>0.84849200000000002</v>
      </c>
      <c r="AC13" s="3">
        <v>0.86324999999999996</v>
      </c>
      <c r="AD13" s="3">
        <v>0.87609099999999995</v>
      </c>
      <c r="AE13" s="4">
        <v>6.8079327131151571E-2</v>
      </c>
    </row>
    <row r="14" spans="1:31" x14ac:dyDescent="0.25">
      <c r="A14" s="3" t="s">
        <v>36</v>
      </c>
      <c r="B14" s="3" t="s">
        <v>16</v>
      </c>
      <c r="C14" s="3" t="s">
        <v>3</v>
      </c>
      <c r="D14" s="3">
        <v>146.491455</v>
      </c>
      <c r="E14" s="3">
        <v>151.78637699999999</v>
      </c>
      <c r="F14" s="3">
        <v>161.20155299999999</v>
      </c>
      <c r="G14" s="3">
        <v>165.45962499999999</v>
      </c>
      <c r="H14" s="3">
        <v>166.993347</v>
      </c>
      <c r="I14" s="3">
        <v>171.010559</v>
      </c>
      <c r="J14" s="3">
        <v>176.57135</v>
      </c>
      <c r="K14" s="3">
        <v>185.26181</v>
      </c>
      <c r="L14" s="3">
        <v>201.854263</v>
      </c>
      <c r="M14" s="3">
        <v>215.990692</v>
      </c>
      <c r="N14" s="3">
        <v>229.90789799999999</v>
      </c>
      <c r="O14" s="3">
        <v>242.12107800000001</v>
      </c>
      <c r="P14" s="3">
        <v>252.849457</v>
      </c>
      <c r="Q14" s="3">
        <v>263.713593</v>
      </c>
      <c r="R14" s="3">
        <v>273.780304</v>
      </c>
      <c r="S14" s="3">
        <v>283.66906699999998</v>
      </c>
      <c r="T14" s="3">
        <v>293.212219</v>
      </c>
      <c r="U14" s="3">
        <v>302.42141700000002</v>
      </c>
      <c r="V14" s="3">
        <v>311.66055299999999</v>
      </c>
      <c r="W14" s="3">
        <v>320.36093099999999</v>
      </c>
      <c r="X14" s="3">
        <v>328.61355600000002</v>
      </c>
      <c r="Y14" s="3">
        <v>336.67950400000001</v>
      </c>
      <c r="Z14" s="3">
        <v>343.954071</v>
      </c>
      <c r="AA14" s="3">
        <v>350.488831</v>
      </c>
      <c r="AB14" s="3">
        <v>350.17401100000001</v>
      </c>
      <c r="AC14" s="3">
        <v>356.26443499999999</v>
      </c>
      <c r="AD14" s="3">
        <v>361.56411700000001</v>
      </c>
      <c r="AE14" s="4">
        <v>1.4681584123797529</v>
      </c>
    </row>
    <row r="15" spans="1:31" x14ac:dyDescent="0.25">
      <c r="A15" s="3" t="s">
        <v>37</v>
      </c>
      <c r="B15" s="3" t="s">
        <v>15</v>
      </c>
      <c r="C15" s="3" t="s">
        <v>3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4" t="e">
        <f>(AD15-D15)/D15</f>
        <v>#DIV/0!</v>
      </c>
    </row>
    <row r="16" spans="1:31" x14ac:dyDescent="0.25">
      <c r="A16" s="3" t="s">
        <v>17</v>
      </c>
      <c r="B16" s="3" t="s">
        <v>18</v>
      </c>
      <c r="C16" s="3" t="s">
        <v>3</v>
      </c>
      <c r="D16" s="3">
        <v>105.12305499999999</v>
      </c>
      <c r="E16" s="3">
        <v>109.738213</v>
      </c>
      <c r="F16" s="3">
        <v>115.380341</v>
      </c>
      <c r="G16" s="3">
        <v>117.334808</v>
      </c>
      <c r="H16" s="3">
        <v>117.05371100000001</v>
      </c>
      <c r="I16" s="3">
        <v>118.173134</v>
      </c>
      <c r="J16" s="3">
        <v>120.04863</v>
      </c>
      <c r="K16" s="3">
        <v>121.75408899999999</v>
      </c>
      <c r="L16" s="3">
        <v>123.36232800000001</v>
      </c>
      <c r="M16" s="3">
        <v>124.31842</v>
      </c>
      <c r="N16" s="3">
        <v>125.822945</v>
      </c>
      <c r="O16" s="3">
        <v>127.022018</v>
      </c>
      <c r="P16" s="3">
        <v>128.06637599999999</v>
      </c>
      <c r="Q16" s="3">
        <v>129.47247300000001</v>
      </c>
      <c r="R16" s="3">
        <v>131.05358899999999</v>
      </c>
      <c r="S16" s="3">
        <v>132.272751</v>
      </c>
      <c r="T16" s="3">
        <v>133.28251599999999</v>
      </c>
      <c r="U16" s="3">
        <v>134.301727</v>
      </c>
      <c r="V16" s="3">
        <v>135.6241</v>
      </c>
      <c r="W16" s="3">
        <v>136.70223999999999</v>
      </c>
      <c r="X16" s="3">
        <v>138.06660500000001</v>
      </c>
      <c r="Y16" s="3">
        <v>139.467896</v>
      </c>
      <c r="Z16" s="3">
        <v>140.31199599999999</v>
      </c>
      <c r="AA16" s="3">
        <v>141.32963599999999</v>
      </c>
      <c r="AB16" s="3">
        <v>142.34591699999999</v>
      </c>
      <c r="AC16" s="3">
        <v>143.45938100000001</v>
      </c>
      <c r="AD16" s="3">
        <v>144.22830200000001</v>
      </c>
      <c r="AE16" s="4" cm="1">
        <f t="array" ref="AE16:AE20">(AD16:AD20-D16:D20)/D16:D20</f>
        <v>0.37199496342643412</v>
      </c>
    </row>
    <row r="17" spans="1:31" x14ac:dyDescent="0.25">
      <c r="A17" s="3" t="s">
        <v>17</v>
      </c>
      <c r="B17" s="3" t="s">
        <v>19</v>
      </c>
      <c r="C17" s="3" t="s">
        <v>3</v>
      </c>
      <c r="D17" s="3">
        <v>16.818604000000001</v>
      </c>
      <c r="E17" s="3">
        <v>16.818604000000001</v>
      </c>
      <c r="F17" s="3">
        <v>16.818604000000001</v>
      </c>
      <c r="G17" s="3">
        <v>16.818604000000001</v>
      </c>
      <c r="H17" s="3">
        <v>16.818604000000001</v>
      </c>
      <c r="I17" s="3">
        <v>16.818604000000001</v>
      </c>
      <c r="J17" s="3">
        <v>16.818604000000001</v>
      </c>
      <c r="K17" s="3">
        <v>16.818604000000001</v>
      </c>
      <c r="L17" s="3">
        <v>16.818604000000001</v>
      </c>
      <c r="M17" s="3">
        <v>16.818604000000001</v>
      </c>
      <c r="N17" s="3">
        <v>16.818604000000001</v>
      </c>
      <c r="O17" s="3">
        <v>16.818604000000001</v>
      </c>
      <c r="P17" s="3">
        <v>16.818604000000001</v>
      </c>
      <c r="Q17" s="3">
        <v>16.818604000000001</v>
      </c>
      <c r="R17" s="3">
        <v>16.818604000000001</v>
      </c>
      <c r="S17" s="3">
        <v>16.818604000000001</v>
      </c>
      <c r="T17" s="3">
        <v>16.818604000000001</v>
      </c>
      <c r="U17" s="3">
        <v>16.818604000000001</v>
      </c>
      <c r="V17" s="3">
        <v>16.818604000000001</v>
      </c>
      <c r="W17" s="3">
        <v>16.818604000000001</v>
      </c>
      <c r="X17" s="3">
        <v>16.818604000000001</v>
      </c>
      <c r="Y17" s="3">
        <v>16.818604000000001</v>
      </c>
      <c r="Z17" s="3">
        <v>16.818604000000001</v>
      </c>
      <c r="AA17" s="3">
        <v>16.818604000000001</v>
      </c>
      <c r="AB17" s="3">
        <v>16.818604000000001</v>
      </c>
      <c r="AC17" s="3">
        <v>16.818604000000001</v>
      </c>
      <c r="AD17" s="3">
        <v>16.818604000000001</v>
      </c>
      <c r="AE17" s="4">
        <v>0</v>
      </c>
    </row>
    <row r="18" spans="1:31" x14ac:dyDescent="0.25">
      <c r="A18" s="3" t="s">
        <v>17</v>
      </c>
      <c r="B18" s="3" t="s">
        <v>21</v>
      </c>
      <c r="C18" s="3" t="s">
        <v>3</v>
      </c>
      <c r="D18" s="3">
        <v>88.304451</v>
      </c>
      <c r="E18" s="3">
        <v>92.919608999999994</v>
      </c>
      <c r="F18" s="3">
        <v>98.561736999999994</v>
      </c>
      <c r="G18" s="3">
        <v>100.516205</v>
      </c>
      <c r="H18" s="3">
        <v>100.235107</v>
      </c>
      <c r="I18" s="3">
        <v>101.35453</v>
      </c>
      <c r="J18" s="3">
        <v>103.230026</v>
      </c>
      <c r="K18" s="3">
        <v>104.935486</v>
      </c>
      <c r="L18" s="3">
        <v>106.543724</v>
      </c>
      <c r="M18" s="3">
        <v>107.49981699999999</v>
      </c>
      <c r="N18" s="3">
        <v>109.004341</v>
      </c>
      <c r="O18" s="3">
        <v>110.20341500000001</v>
      </c>
      <c r="P18" s="3">
        <v>111.247772</v>
      </c>
      <c r="Q18" s="3">
        <v>112.65387</v>
      </c>
      <c r="R18" s="3">
        <v>114.23498499999999</v>
      </c>
      <c r="S18" s="3">
        <v>115.45414700000001</v>
      </c>
      <c r="T18" s="3">
        <v>116.46391300000001</v>
      </c>
      <c r="U18" s="3">
        <v>117.483124</v>
      </c>
      <c r="V18" s="3">
        <v>118.80549600000001</v>
      </c>
      <c r="W18" s="3">
        <v>119.883636</v>
      </c>
      <c r="X18" s="3">
        <v>121.248001</v>
      </c>
      <c r="Y18" s="3">
        <v>122.649292</v>
      </c>
      <c r="Z18" s="3">
        <v>123.493393</v>
      </c>
      <c r="AA18" s="3">
        <v>124.511032</v>
      </c>
      <c r="AB18" s="3">
        <v>125.52731300000001</v>
      </c>
      <c r="AC18" s="3">
        <v>126.640778</v>
      </c>
      <c r="AD18" s="3">
        <v>127.40969800000001</v>
      </c>
      <c r="AE18" s="4">
        <v>0.44284570661109718</v>
      </c>
    </row>
    <row r="19" spans="1:31" x14ac:dyDescent="0.25">
      <c r="A19" s="3" t="s">
        <v>17</v>
      </c>
      <c r="B19" s="3" t="s">
        <v>22</v>
      </c>
      <c r="C19" s="3" t="s">
        <v>3</v>
      </c>
      <c r="D19" s="3">
        <v>5.8428000000000001E-2</v>
      </c>
      <c r="E19" s="3">
        <v>0.39400000000000002</v>
      </c>
      <c r="F19" s="3">
        <v>0.977495</v>
      </c>
      <c r="G19" s="3">
        <v>1.876247</v>
      </c>
      <c r="H19" s="3">
        <v>3.1894330000000002</v>
      </c>
      <c r="I19" s="3">
        <v>4.7222099999999996</v>
      </c>
      <c r="J19" s="3">
        <v>6.5008689999999998</v>
      </c>
      <c r="K19" s="3">
        <v>10.546037999999999</v>
      </c>
      <c r="L19" s="3">
        <v>19.893646</v>
      </c>
      <c r="M19" s="3">
        <v>28.26717</v>
      </c>
      <c r="N19" s="3">
        <v>35.837981999999997</v>
      </c>
      <c r="O19" s="3">
        <v>42.85812</v>
      </c>
      <c r="P19" s="3">
        <v>49.545647000000002</v>
      </c>
      <c r="Q19" s="3">
        <v>55.936939000000002</v>
      </c>
      <c r="R19" s="3">
        <v>62.153441999999998</v>
      </c>
      <c r="S19" s="3">
        <v>68.142548000000005</v>
      </c>
      <c r="T19" s="3">
        <v>74.097733000000005</v>
      </c>
      <c r="U19" s="3">
        <v>79.877716000000007</v>
      </c>
      <c r="V19" s="3">
        <v>85.388367000000002</v>
      </c>
      <c r="W19" s="3">
        <v>90.594543000000002</v>
      </c>
      <c r="X19" s="3">
        <v>95.393683999999993</v>
      </c>
      <c r="Y19" s="3">
        <v>100.010338</v>
      </c>
      <c r="Z19" s="3">
        <v>104.36412799999999</v>
      </c>
      <c r="AA19" s="3">
        <v>108.233437</v>
      </c>
      <c r="AB19" s="3">
        <v>111.808556</v>
      </c>
      <c r="AC19" s="3">
        <v>115.287239</v>
      </c>
      <c r="AD19" s="3">
        <v>118.26773799999999</v>
      </c>
      <c r="AE19" s="4">
        <v>2023.1620113644142</v>
      </c>
    </row>
    <row r="20" spans="1:31" x14ac:dyDescent="0.25">
      <c r="A20" s="3" t="s">
        <v>17</v>
      </c>
      <c r="B20" s="3" t="s">
        <v>23</v>
      </c>
      <c r="C20" s="3" t="s">
        <v>3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4" t="e">
        <v>#DIV/0!</v>
      </c>
    </row>
    <row r="21" spans="1:31" x14ac:dyDescent="0.25">
      <c r="A21" s="3" t="s">
        <v>24</v>
      </c>
      <c r="B21" s="3" t="s">
        <v>26</v>
      </c>
      <c r="C21" s="3" t="s">
        <v>25</v>
      </c>
      <c r="D21" s="3">
        <v>7.0185110000000002</v>
      </c>
      <c r="E21" s="3">
        <v>8.1598839999999999</v>
      </c>
      <c r="F21" s="3">
        <v>7.9269109999999996</v>
      </c>
      <c r="G21" s="3">
        <v>8.4264539999999997</v>
      </c>
      <c r="H21" s="3">
        <v>8.8878939999999993</v>
      </c>
      <c r="I21" s="3">
        <v>8.6225629999999995</v>
      </c>
      <c r="J21" s="3">
        <v>8.7797649999999994</v>
      </c>
      <c r="K21" s="3">
        <v>8.7925789999999999</v>
      </c>
      <c r="L21" s="3">
        <v>8.070843</v>
      </c>
      <c r="M21" s="3">
        <v>8.23597</v>
      </c>
      <c r="N21" s="3">
        <v>8.3671349999999993</v>
      </c>
      <c r="O21" s="3">
        <v>8.4512520000000002</v>
      </c>
      <c r="P21" s="3">
        <v>8.4324049999999993</v>
      </c>
      <c r="Q21" s="3">
        <v>8.3507540000000002</v>
      </c>
      <c r="R21" s="3">
        <v>9.7805219999999995</v>
      </c>
      <c r="S21" s="3">
        <v>9.7979160000000007</v>
      </c>
      <c r="T21" s="3">
        <v>9.8888020000000001</v>
      </c>
      <c r="U21" s="3">
        <v>10.056177999999999</v>
      </c>
      <c r="V21" s="3">
        <v>9.9535789999999995</v>
      </c>
      <c r="W21" s="3">
        <v>9.8613099999999996</v>
      </c>
      <c r="X21" s="3">
        <v>9.5497779999999999</v>
      </c>
      <c r="Y21" s="3">
        <v>9.4951939999999997</v>
      </c>
      <c r="Z21" s="3">
        <v>9.4490119999999997</v>
      </c>
      <c r="AA21" s="3">
        <v>9.8625439999999998</v>
      </c>
      <c r="AB21" s="3">
        <v>8.0764469999999999</v>
      </c>
      <c r="AC21" s="3">
        <v>8.0231239999999993</v>
      </c>
      <c r="AD21" s="3">
        <v>7.9818280000000001</v>
      </c>
      <c r="AE21" s="4">
        <f>(AD21-D21)/D21</f>
        <v>0.13725375653040936</v>
      </c>
    </row>
    <row r="22" spans="1:31" x14ac:dyDescent="0.25">
      <c r="A22" s="3" t="s">
        <v>27</v>
      </c>
      <c r="B22" s="3" t="s">
        <v>28</v>
      </c>
      <c r="C22" s="3" t="s">
        <v>25</v>
      </c>
      <c r="D22" s="3">
        <v>9.4820329999999995</v>
      </c>
      <c r="E22" s="3">
        <v>10.623405999999999</v>
      </c>
      <c r="F22" s="3">
        <v>10.390433</v>
      </c>
      <c r="G22" s="3">
        <v>10.889976000000001</v>
      </c>
      <c r="H22" s="3">
        <v>11.351416</v>
      </c>
      <c r="I22" s="3">
        <v>11.086085000000001</v>
      </c>
      <c r="J22" s="3">
        <v>11.243285999999999</v>
      </c>
      <c r="K22" s="3">
        <v>11.256100999999999</v>
      </c>
      <c r="L22" s="3">
        <v>10.534364999999999</v>
      </c>
      <c r="M22" s="3">
        <v>10.699491</v>
      </c>
      <c r="N22" s="3">
        <v>10.830655999999999</v>
      </c>
      <c r="O22" s="3">
        <v>10.914774</v>
      </c>
      <c r="P22" s="3">
        <v>10.895925999999999</v>
      </c>
      <c r="Q22" s="3">
        <v>10.814275</v>
      </c>
      <c r="R22" s="3">
        <v>12.244044000000001</v>
      </c>
      <c r="S22" s="3">
        <v>12.261437000000001</v>
      </c>
      <c r="T22" s="3">
        <v>12.352323</v>
      </c>
      <c r="U22" s="3">
        <v>12.519698999999999</v>
      </c>
      <c r="V22" s="3">
        <v>12.417101000000001</v>
      </c>
      <c r="W22" s="3">
        <v>12.324832000000001</v>
      </c>
      <c r="X22" s="3">
        <v>12.013301</v>
      </c>
      <c r="Y22" s="3">
        <v>11.958714000000001</v>
      </c>
      <c r="Z22" s="3">
        <v>11.912534000000001</v>
      </c>
      <c r="AA22" s="3">
        <v>12.326066000000001</v>
      </c>
      <c r="AB22" s="3">
        <v>10.539968</v>
      </c>
      <c r="AC22" s="3">
        <v>10.486646</v>
      </c>
      <c r="AD22" s="3">
        <v>10.445349999999999</v>
      </c>
      <c r="AE22" s="4" cm="1">
        <f t="array" ref="AE22:AE24">(AD22:AD24-D22:D24)/D22:D24</f>
        <v>0.10159393033118531</v>
      </c>
    </row>
    <row r="23" spans="1:31" x14ac:dyDescent="0.25">
      <c r="A23" s="3" t="s">
        <v>27</v>
      </c>
      <c r="B23" s="3" t="s">
        <v>22</v>
      </c>
      <c r="C23" s="3" t="s">
        <v>25</v>
      </c>
      <c r="D23" s="3">
        <v>59.572955999999998</v>
      </c>
      <c r="E23" s="3">
        <v>60.711243000000003</v>
      </c>
      <c r="F23" s="3">
        <v>60.482062999999997</v>
      </c>
      <c r="G23" s="3">
        <v>60.981644000000003</v>
      </c>
      <c r="H23" s="3">
        <v>61.443092</v>
      </c>
      <c r="I23" s="3">
        <v>61.177757</v>
      </c>
      <c r="J23" s="3">
        <v>61.334881000000003</v>
      </c>
      <c r="K23" s="3">
        <v>61.347683000000004</v>
      </c>
      <c r="L23" s="3">
        <v>60.625979999999998</v>
      </c>
      <c r="M23" s="3">
        <v>60.791111000000001</v>
      </c>
      <c r="N23" s="3">
        <v>60.922268000000003</v>
      </c>
      <c r="O23" s="3">
        <v>61.006390000000003</v>
      </c>
      <c r="P23" s="3">
        <v>60.987541</v>
      </c>
      <c r="Q23" s="3">
        <v>60.905887999999997</v>
      </c>
      <c r="R23" s="3">
        <v>62.335709000000001</v>
      </c>
      <c r="S23" s="3">
        <v>62.353043</v>
      </c>
      <c r="T23" s="3">
        <v>62.443939</v>
      </c>
      <c r="U23" s="3">
        <v>62.611319999999999</v>
      </c>
      <c r="V23" s="3">
        <v>62.508709000000003</v>
      </c>
      <c r="W23" s="3">
        <v>62.416451000000002</v>
      </c>
      <c r="X23" s="3">
        <v>62.104927000000004</v>
      </c>
      <c r="Y23" s="3">
        <v>62.050322999999999</v>
      </c>
      <c r="Z23" s="3">
        <v>62.004162000000001</v>
      </c>
      <c r="AA23" s="3">
        <v>62.41769</v>
      </c>
      <c r="AB23" s="3">
        <v>60.631583999999997</v>
      </c>
      <c r="AC23" s="3">
        <v>60.578259000000003</v>
      </c>
      <c r="AD23" s="3">
        <v>60.536963999999998</v>
      </c>
      <c r="AE23" s="4">
        <v>1.6181973578749387E-2</v>
      </c>
    </row>
    <row r="24" spans="1:31" x14ac:dyDescent="0.25">
      <c r="A24" s="3" t="s">
        <v>27</v>
      </c>
      <c r="B24" s="3" t="s">
        <v>23</v>
      </c>
      <c r="C24" s="3" t="s">
        <v>25</v>
      </c>
      <c r="D24" s="3">
        <v>9.4820329999999995</v>
      </c>
      <c r="E24" s="3">
        <v>10.623405999999999</v>
      </c>
      <c r="F24" s="3">
        <v>10.390433</v>
      </c>
      <c r="G24" s="3">
        <v>10.889976000000001</v>
      </c>
      <c r="H24" s="3">
        <v>11.351416</v>
      </c>
      <c r="I24" s="3">
        <v>11.086085000000001</v>
      </c>
      <c r="J24" s="3">
        <v>11.243285999999999</v>
      </c>
      <c r="K24" s="3">
        <v>11.256100999999999</v>
      </c>
      <c r="L24" s="3">
        <v>10.534364999999999</v>
      </c>
      <c r="M24" s="3">
        <v>10.699491</v>
      </c>
      <c r="N24" s="3">
        <v>10.830655999999999</v>
      </c>
      <c r="O24" s="3">
        <v>10.914774</v>
      </c>
      <c r="P24" s="3">
        <v>10.895925999999999</v>
      </c>
      <c r="Q24" s="3">
        <v>10.814275</v>
      </c>
      <c r="R24" s="3">
        <v>12.244044000000001</v>
      </c>
      <c r="S24" s="3">
        <v>12.261437000000001</v>
      </c>
      <c r="T24" s="3">
        <v>12.352323</v>
      </c>
      <c r="U24" s="3">
        <v>12.519698999999999</v>
      </c>
      <c r="V24" s="3">
        <v>12.417101000000001</v>
      </c>
      <c r="W24" s="3">
        <v>12.324832000000001</v>
      </c>
      <c r="X24" s="3">
        <v>12.013301</v>
      </c>
      <c r="Y24" s="3">
        <v>11.958714000000001</v>
      </c>
      <c r="Z24" s="3">
        <v>11.912534000000001</v>
      </c>
      <c r="AA24" s="3">
        <v>12.326066000000001</v>
      </c>
      <c r="AB24" s="3">
        <v>10.539968</v>
      </c>
      <c r="AC24" s="3">
        <v>10.486646</v>
      </c>
      <c r="AD24" s="3">
        <v>10.445349999999999</v>
      </c>
      <c r="AE24" s="4">
        <v>0.10159393033118531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E24"/>
  <sheetViews>
    <sheetView tabSelected="1" zoomScale="70" zoomScaleNormal="70" workbookViewId="0">
      <selection activeCell="A42" sqref="A42"/>
    </sheetView>
  </sheetViews>
  <sheetFormatPr defaultColWidth="8.7109375" defaultRowHeight="15" x14ac:dyDescent="0.25"/>
  <cols>
    <col min="1" max="1" width="65.7109375" style="2" bestFit="1" customWidth="1"/>
    <col min="2" max="2" width="54.85546875" style="2" bestFit="1" customWidth="1"/>
    <col min="3" max="3" width="15" style="2" bestFit="1" customWidth="1"/>
    <col min="4" max="30" width="13.5703125" style="2" bestFit="1" customWidth="1"/>
    <col min="31" max="31" width="20.7109375" style="2" bestFit="1" customWidth="1"/>
    <col min="32" max="16384" width="8.7109375" style="2"/>
  </cols>
  <sheetData>
    <row r="1" spans="1:31" s="1" customFormat="1" ht="15.75" thickBot="1" x14ac:dyDescent="0.3">
      <c r="A1" s="6" t="s">
        <v>39</v>
      </c>
      <c r="B1" s="6" t="s">
        <v>40</v>
      </c>
      <c r="C1" s="6" t="s">
        <v>0</v>
      </c>
      <c r="D1" s="6">
        <v>2024</v>
      </c>
      <c r="E1" s="6">
        <v>2025</v>
      </c>
      <c r="F1" s="6">
        <v>2026</v>
      </c>
      <c r="G1" s="6">
        <v>2027</v>
      </c>
      <c r="H1" s="6">
        <v>2028</v>
      </c>
      <c r="I1" s="6">
        <v>2029</v>
      </c>
      <c r="J1" s="6">
        <v>2030</v>
      </c>
      <c r="K1" s="6">
        <v>2031</v>
      </c>
      <c r="L1" s="6">
        <v>2032</v>
      </c>
      <c r="M1" s="6">
        <v>2033</v>
      </c>
      <c r="N1" s="6">
        <v>2034</v>
      </c>
      <c r="O1" s="6">
        <v>2035</v>
      </c>
      <c r="P1" s="6">
        <v>2036</v>
      </c>
      <c r="Q1" s="6">
        <v>2037</v>
      </c>
      <c r="R1" s="6">
        <v>2038</v>
      </c>
      <c r="S1" s="6">
        <v>2039</v>
      </c>
      <c r="T1" s="6">
        <v>2040</v>
      </c>
      <c r="U1" s="6">
        <v>2041</v>
      </c>
      <c r="V1" s="6">
        <v>2042</v>
      </c>
      <c r="W1" s="6">
        <v>2043</v>
      </c>
      <c r="X1" s="6">
        <v>2044</v>
      </c>
      <c r="Y1" s="6">
        <v>2045</v>
      </c>
      <c r="Z1" s="6">
        <v>2046</v>
      </c>
      <c r="AA1" s="6">
        <v>2047</v>
      </c>
      <c r="AB1" s="6">
        <v>2048</v>
      </c>
      <c r="AC1" s="6">
        <v>2049</v>
      </c>
      <c r="AD1" s="6">
        <v>2050</v>
      </c>
      <c r="AE1" s="6" t="s">
        <v>1</v>
      </c>
    </row>
    <row r="2" spans="1:31" ht="15.75" thickTop="1" x14ac:dyDescent="0.25">
      <c r="A2" s="3" t="s">
        <v>38</v>
      </c>
      <c r="B2" s="3" t="s">
        <v>2</v>
      </c>
      <c r="C2" s="3" t="s">
        <v>3</v>
      </c>
      <c r="D2" s="3">
        <v>242.41189600000001</v>
      </c>
      <c r="E2" s="3">
        <v>228.18725599999999</v>
      </c>
      <c r="F2" s="3">
        <v>236.67288199999999</v>
      </c>
      <c r="G2" s="3">
        <v>239.25704999999999</v>
      </c>
      <c r="H2" s="3">
        <v>238.19487000000001</v>
      </c>
      <c r="I2" s="3">
        <v>240.10405</v>
      </c>
      <c r="J2" s="3">
        <v>244.85176100000001</v>
      </c>
      <c r="K2" s="3">
        <v>251.94596899999999</v>
      </c>
      <c r="L2" s="3">
        <v>255.55119300000001</v>
      </c>
      <c r="M2" s="3">
        <v>254.468109</v>
      </c>
      <c r="N2" s="3">
        <v>253.43019100000001</v>
      </c>
      <c r="O2" s="3">
        <v>252.49556000000001</v>
      </c>
      <c r="P2" s="3">
        <v>272.48968500000001</v>
      </c>
      <c r="Q2" s="3">
        <v>293.86520400000001</v>
      </c>
      <c r="R2" s="3">
        <v>297.68319700000001</v>
      </c>
      <c r="S2" s="3">
        <v>301.12100199999998</v>
      </c>
      <c r="T2" s="3">
        <v>303.43777499999999</v>
      </c>
      <c r="U2" s="3">
        <v>306.95452899999998</v>
      </c>
      <c r="V2" s="3">
        <v>312.784851</v>
      </c>
      <c r="W2" s="3">
        <v>330.88992300000001</v>
      </c>
      <c r="X2" s="3">
        <v>340.46292099999999</v>
      </c>
      <c r="Y2" s="3">
        <v>353.28015099999999</v>
      </c>
      <c r="Z2" s="3">
        <v>362.22717299999999</v>
      </c>
      <c r="AA2" s="3">
        <v>371.82070900000002</v>
      </c>
      <c r="AB2" s="3">
        <v>373.41641199999998</v>
      </c>
      <c r="AC2" s="3">
        <v>374.41909800000002</v>
      </c>
      <c r="AD2" s="3">
        <v>376.27200299999998</v>
      </c>
      <c r="AE2" s="4" cm="1">
        <f t="array" ref="AE2:AE6">(AD2:AD6-D2:D6)/D2:D6</f>
        <v>0.55220106442300987</v>
      </c>
    </row>
    <row r="3" spans="1:31" x14ac:dyDescent="0.25">
      <c r="A3" s="3" t="s">
        <v>38</v>
      </c>
      <c r="B3" s="3" t="s">
        <v>4</v>
      </c>
      <c r="C3" s="3" t="s">
        <v>3</v>
      </c>
      <c r="D3" s="3">
        <v>28.961781999999999</v>
      </c>
      <c r="E3" s="3">
        <v>47.190277000000002</v>
      </c>
      <c r="F3" s="3">
        <v>43.151339999999998</v>
      </c>
      <c r="G3" s="3">
        <v>43.151339999999998</v>
      </c>
      <c r="H3" s="3">
        <v>43.151339999999998</v>
      </c>
      <c r="I3" s="3">
        <v>43.151339999999998</v>
      </c>
      <c r="J3" s="3">
        <v>43.151339999999998</v>
      </c>
      <c r="K3" s="3">
        <v>43.151339999999998</v>
      </c>
      <c r="L3" s="3">
        <v>50.018008999999999</v>
      </c>
      <c r="M3" s="3">
        <v>60.377212999999998</v>
      </c>
      <c r="N3" s="3">
        <v>68.180458000000002</v>
      </c>
      <c r="O3" s="3">
        <v>76.320426999999995</v>
      </c>
      <c r="P3" s="3">
        <v>64.860885999999994</v>
      </c>
      <c r="Q3" s="3">
        <v>47.970393999999999</v>
      </c>
      <c r="R3" s="3">
        <v>47.028815999999999</v>
      </c>
      <c r="S3" s="3">
        <v>46.187880999999997</v>
      </c>
      <c r="T3" s="3">
        <v>45.284790000000001</v>
      </c>
      <c r="U3" s="3">
        <v>44.386668999999998</v>
      </c>
      <c r="V3" s="3">
        <v>43.552349</v>
      </c>
      <c r="W3" s="3">
        <v>33.169086</v>
      </c>
      <c r="X3" s="3">
        <v>26.302416000000001</v>
      </c>
      <c r="Y3" s="3">
        <v>15.943213</v>
      </c>
      <c r="Z3" s="3">
        <v>8.1399690000000007</v>
      </c>
      <c r="AA3" s="3">
        <v>0</v>
      </c>
      <c r="AB3" s="3">
        <v>0</v>
      </c>
      <c r="AC3" s="3">
        <v>0</v>
      </c>
      <c r="AD3" s="3">
        <v>0</v>
      </c>
      <c r="AE3" s="4">
        <v>-1</v>
      </c>
    </row>
    <row r="4" spans="1:31" x14ac:dyDescent="0.25">
      <c r="A4" s="3" t="s">
        <v>38</v>
      </c>
      <c r="B4" s="3" t="s">
        <v>6</v>
      </c>
      <c r="C4" s="3" t="s">
        <v>3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4" t="e">
        <v>#DIV/0!</v>
      </c>
    </row>
    <row r="5" spans="1:31" x14ac:dyDescent="0.25">
      <c r="A5" s="3" t="s">
        <v>38</v>
      </c>
      <c r="B5" s="3" t="s">
        <v>7</v>
      </c>
      <c r="C5" s="3" t="s">
        <v>3</v>
      </c>
      <c r="D5" s="3">
        <v>187.996689</v>
      </c>
      <c r="E5" s="3">
        <v>191.60708600000001</v>
      </c>
      <c r="F5" s="3">
        <v>194.02516199999999</v>
      </c>
      <c r="G5" s="3">
        <v>193.70332300000001</v>
      </c>
      <c r="H5" s="3">
        <v>194.11972</v>
      </c>
      <c r="I5" s="3">
        <v>194.283401</v>
      </c>
      <c r="J5" s="3">
        <v>194.140244</v>
      </c>
      <c r="K5" s="3">
        <v>194.24456799999999</v>
      </c>
      <c r="L5" s="3">
        <v>197.22036700000001</v>
      </c>
      <c r="M5" s="3">
        <v>198.894226</v>
      </c>
      <c r="N5" s="3">
        <v>202.354614</v>
      </c>
      <c r="O5" s="3">
        <v>205.08102400000001</v>
      </c>
      <c r="P5" s="3">
        <v>206.26338200000001</v>
      </c>
      <c r="Q5" s="3">
        <v>210.79298399999999</v>
      </c>
      <c r="R5" s="3">
        <v>216.90817300000001</v>
      </c>
      <c r="S5" s="3">
        <v>222.551559</v>
      </c>
      <c r="T5" s="3">
        <v>230.14956699999999</v>
      </c>
      <c r="U5" s="3">
        <v>232.92910800000001</v>
      </c>
      <c r="V5" s="3">
        <v>236.977722</v>
      </c>
      <c r="W5" s="3">
        <v>240.58111600000001</v>
      </c>
      <c r="X5" s="3">
        <v>245.43812600000001</v>
      </c>
      <c r="Y5" s="3">
        <v>251.056488</v>
      </c>
      <c r="Z5" s="3">
        <v>252.033737</v>
      </c>
      <c r="AA5" s="3">
        <v>257.38998400000003</v>
      </c>
      <c r="AB5" s="3">
        <v>261.18313599999999</v>
      </c>
      <c r="AC5" s="3">
        <v>266.202789</v>
      </c>
      <c r="AD5" s="3">
        <v>269.21646099999998</v>
      </c>
      <c r="AE5" s="4">
        <v>0.43202767257246738</v>
      </c>
    </row>
    <row r="6" spans="1:31" x14ac:dyDescent="0.25">
      <c r="A6" s="3" t="s">
        <v>38</v>
      </c>
      <c r="B6" s="5" t="s">
        <v>8</v>
      </c>
      <c r="C6" s="3" t="s">
        <v>3</v>
      </c>
      <c r="D6" s="3">
        <v>459.370361</v>
      </c>
      <c r="E6" s="3">
        <v>466.98461900000001</v>
      </c>
      <c r="F6" s="3">
        <v>473.84936499999998</v>
      </c>
      <c r="G6" s="3">
        <v>476.11175500000002</v>
      </c>
      <c r="H6" s="3">
        <v>475.465912</v>
      </c>
      <c r="I6" s="3">
        <v>477.53881799999999</v>
      </c>
      <c r="J6" s="3">
        <v>482.14331099999998</v>
      </c>
      <c r="K6" s="3">
        <v>489.341858</v>
      </c>
      <c r="L6" s="3">
        <v>502.78961199999998</v>
      </c>
      <c r="M6" s="3">
        <v>513.73956299999998</v>
      </c>
      <c r="N6" s="3">
        <v>523.96520999999996</v>
      </c>
      <c r="O6" s="3">
        <v>533.896973</v>
      </c>
      <c r="P6" s="3">
        <v>543.61395300000004</v>
      </c>
      <c r="Q6" s="3">
        <v>552.628601</v>
      </c>
      <c r="R6" s="3">
        <v>561.62017800000001</v>
      </c>
      <c r="S6" s="3">
        <v>569.86041299999999</v>
      </c>
      <c r="T6" s="3">
        <v>578.87213099999997</v>
      </c>
      <c r="U6" s="3">
        <v>584.27032499999996</v>
      </c>
      <c r="V6" s="3">
        <v>593.31494099999998</v>
      </c>
      <c r="W6" s="3">
        <v>604.64013699999998</v>
      </c>
      <c r="X6" s="3">
        <v>612.20343000000003</v>
      </c>
      <c r="Y6" s="3">
        <v>620.27990699999998</v>
      </c>
      <c r="Z6" s="3">
        <v>622.40087900000003</v>
      </c>
      <c r="AA6" s="3">
        <v>629.21069299999999</v>
      </c>
      <c r="AB6" s="3">
        <v>634.59954800000003</v>
      </c>
      <c r="AC6" s="3">
        <v>640.62188700000002</v>
      </c>
      <c r="AD6" s="3">
        <v>645.48846400000002</v>
      </c>
      <c r="AE6" s="4">
        <v>0.40515914565067035</v>
      </c>
    </row>
    <row r="7" spans="1:31" x14ac:dyDescent="0.25">
      <c r="A7" s="3" t="s">
        <v>9</v>
      </c>
      <c r="B7" s="3" t="s">
        <v>10</v>
      </c>
      <c r="C7" s="3" t="s">
        <v>3</v>
      </c>
      <c r="D7" s="3">
        <v>375.301605</v>
      </c>
      <c r="E7" s="3">
        <v>382.49655200000001</v>
      </c>
      <c r="F7" s="3">
        <v>388.22586100000001</v>
      </c>
      <c r="G7" s="3">
        <v>391.77401700000001</v>
      </c>
      <c r="H7" s="3">
        <v>390.31561299999998</v>
      </c>
      <c r="I7" s="3">
        <v>392.936981</v>
      </c>
      <c r="J7" s="3">
        <v>399.45571899999999</v>
      </c>
      <c r="K7" s="3">
        <v>409.19628899999998</v>
      </c>
      <c r="L7" s="3">
        <v>424.21398900000003</v>
      </c>
      <c r="M7" s="3">
        <v>437.9151</v>
      </c>
      <c r="N7" s="3">
        <v>447.93075599999997</v>
      </c>
      <c r="O7" s="3">
        <v>458.58193999999997</v>
      </c>
      <c r="P7" s="3">
        <v>469.23306300000002</v>
      </c>
      <c r="Q7" s="3">
        <v>473.81817599999999</v>
      </c>
      <c r="R7" s="3">
        <v>477.67993200000001</v>
      </c>
      <c r="S7" s="3">
        <v>481.16717499999999</v>
      </c>
      <c r="T7" s="3">
        <v>483.02413899999999</v>
      </c>
      <c r="U7" s="3">
        <v>486.53598</v>
      </c>
      <c r="V7" s="3">
        <v>493.317902</v>
      </c>
      <c r="W7" s="3">
        <v>502.95327800000001</v>
      </c>
      <c r="X7" s="3">
        <v>506.02966300000003</v>
      </c>
      <c r="Y7" s="3">
        <v>508.43994099999998</v>
      </c>
      <c r="Z7" s="3">
        <v>509.28369099999998</v>
      </c>
      <c r="AA7" s="3">
        <v>510.52142300000003</v>
      </c>
      <c r="AB7" s="3">
        <v>512.712402</v>
      </c>
      <c r="AC7" s="3">
        <v>514.089111</v>
      </c>
      <c r="AD7" s="3">
        <v>516.63324</v>
      </c>
      <c r="AE7" s="4" cm="1">
        <f t="array" ref="AE7:AE9">(AD7:AD9-D7:D9)/D7:D9</f>
        <v>0.37658148304481676</v>
      </c>
    </row>
    <row r="8" spans="1:31" x14ac:dyDescent="0.25">
      <c r="A8" s="3" t="s">
        <v>9</v>
      </c>
      <c r="B8" s="3" t="s">
        <v>11</v>
      </c>
      <c r="C8" s="3" t="s">
        <v>3</v>
      </c>
      <c r="D8" s="3">
        <v>1.9149400000000001</v>
      </c>
      <c r="E8" s="3">
        <v>2.5639249999999998</v>
      </c>
      <c r="F8" s="3">
        <v>2.437916</v>
      </c>
      <c r="G8" s="3">
        <v>2.4465340000000002</v>
      </c>
      <c r="H8" s="3">
        <v>2.4429919999999998</v>
      </c>
      <c r="I8" s="3">
        <v>2.4493589999999998</v>
      </c>
      <c r="J8" s="3">
        <v>2.4651930000000002</v>
      </c>
      <c r="K8" s="3">
        <v>2.4888520000000001</v>
      </c>
      <c r="L8" s="3">
        <v>2.7632180000000002</v>
      </c>
      <c r="M8" s="3">
        <v>3.1553819999999999</v>
      </c>
      <c r="N8" s="3">
        <v>3.4500459999999999</v>
      </c>
      <c r="O8" s="3">
        <v>3.7579180000000001</v>
      </c>
      <c r="P8" s="3">
        <v>3.3867850000000002</v>
      </c>
      <c r="Q8" s="3">
        <v>2.8127659999999999</v>
      </c>
      <c r="R8" s="3">
        <v>2.789526</v>
      </c>
      <c r="S8" s="3">
        <v>2.7688630000000001</v>
      </c>
      <c r="T8" s="3">
        <v>2.7420870000000002</v>
      </c>
      <c r="U8" s="3">
        <v>2.7195019999999999</v>
      </c>
      <c r="V8" s="3">
        <v>2.707071</v>
      </c>
      <c r="W8" s="3">
        <v>2.3707569999999998</v>
      </c>
      <c r="X8" s="3">
        <v>2.1403400000000001</v>
      </c>
      <c r="Y8" s="3">
        <v>1.78731</v>
      </c>
      <c r="Z8" s="3">
        <v>1.519023</v>
      </c>
      <c r="AA8" s="3">
        <v>1.2400279999999999</v>
      </c>
      <c r="AB8" s="3">
        <v>1.24535</v>
      </c>
      <c r="AC8" s="3">
        <v>1.248694</v>
      </c>
      <c r="AD8" s="3">
        <v>1.2548729999999999</v>
      </c>
      <c r="AE8" s="4">
        <v>-0.34469330631769152</v>
      </c>
    </row>
    <row r="9" spans="1:31" x14ac:dyDescent="0.25">
      <c r="A9" s="3" t="s">
        <v>9</v>
      </c>
      <c r="B9" s="3" t="s">
        <v>12</v>
      </c>
      <c r="C9" s="3" t="s">
        <v>3</v>
      </c>
      <c r="D9" s="3">
        <v>377.21655299999998</v>
      </c>
      <c r="E9" s="3">
        <v>385.06048600000003</v>
      </c>
      <c r="F9" s="3">
        <v>390.66378800000001</v>
      </c>
      <c r="G9" s="3">
        <v>394.220551</v>
      </c>
      <c r="H9" s="3">
        <v>392.75860599999999</v>
      </c>
      <c r="I9" s="3">
        <v>395.38635299999999</v>
      </c>
      <c r="J9" s="3">
        <v>401.92089800000002</v>
      </c>
      <c r="K9" s="3">
        <v>411.68515000000002</v>
      </c>
      <c r="L9" s="3">
        <v>426.97720299999997</v>
      </c>
      <c r="M9" s="3">
        <v>441.07049599999999</v>
      </c>
      <c r="N9" s="3">
        <v>451.38079800000003</v>
      </c>
      <c r="O9" s="3">
        <v>462.33984400000003</v>
      </c>
      <c r="P9" s="3">
        <v>472.619843</v>
      </c>
      <c r="Q9" s="3">
        <v>476.63095099999998</v>
      </c>
      <c r="R9" s="3">
        <v>480.46945199999999</v>
      </c>
      <c r="S9" s="3">
        <v>483.936035</v>
      </c>
      <c r="T9" s="3">
        <v>485.76623499999999</v>
      </c>
      <c r="U9" s="3">
        <v>489.255493</v>
      </c>
      <c r="V9" s="3">
        <v>496.02496300000001</v>
      </c>
      <c r="W9" s="3">
        <v>505.32403599999998</v>
      </c>
      <c r="X9" s="3">
        <v>508.17001299999998</v>
      </c>
      <c r="Y9" s="3">
        <v>510.22726399999999</v>
      </c>
      <c r="Z9" s="3">
        <v>510.80270400000001</v>
      </c>
      <c r="AA9" s="3">
        <v>511.76144399999998</v>
      </c>
      <c r="AB9" s="3">
        <v>513.957764</v>
      </c>
      <c r="AC9" s="3">
        <v>515.33783000000005</v>
      </c>
      <c r="AD9" s="3">
        <v>517.88812299999995</v>
      </c>
      <c r="AE9" s="4">
        <v>0.3729199285695185</v>
      </c>
    </row>
    <row r="10" spans="1:31" x14ac:dyDescent="0.25">
      <c r="A10" s="3" t="s">
        <v>36</v>
      </c>
      <c r="B10" s="3" t="s">
        <v>10</v>
      </c>
      <c r="C10" s="3" t="s">
        <v>3</v>
      </c>
      <c r="D10" s="3">
        <v>375.301605</v>
      </c>
      <c r="E10" s="3">
        <v>382.49655200000001</v>
      </c>
      <c r="F10" s="3">
        <v>388.22586100000001</v>
      </c>
      <c r="G10" s="3">
        <v>391.77401700000001</v>
      </c>
      <c r="H10" s="3">
        <v>390.31561299999998</v>
      </c>
      <c r="I10" s="3">
        <v>392.936981</v>
      </c>
      <c r="J10" s="3">
        <v>399.45571899999999</v>
      </c>
      <c r="K10" s="3">
        <v>409.19628899999998</v>
      </c>
      <c r="L10" s="3">
        <v>424.21398900000003</v>
      </c>
      <c r="M10" s="3">
        <v>437.9151</v>
      </c>
      <c r="N10" s="3">
        <v>447.93075599999997</v>
      </c>
      <c r="O10" s="3">
        <v>458.58193999999997</v>
      </c>
      <c r="P10" s="3">
        <v>469.23306300000002</v>
      </c>
      <c r="Q10" s="3">
        <v>473.81817599999999</v>
      </c>
      <c r="R10" s="3">
        <v>477.67993200000001</v>
      </c>
      <c r="S10" s="3">
        <v>481.16717499999999</v>
      </c>
      <c r="T10" s="3">
        <v>483.02413899999999</v>
      </c>
      <c r="U10" s="3">
        <v>486.53598</v>
      </c>
      <c r="V10" s="3">
        <v>493.317902</v>
      </c>
      <c r="W10" s="3">
        <v>502.95327800000001</v>
      </c>
      <c r="X10" s="3">
        <v>506.02966300000003</v>
      </c>
      <c r="Y10" s="3">
        <v>508.43994099999998</v>
      </c>
      <c r="Z10" s="3">
        <v>509.28369099999998</v>
      </c>
      <c r="AA10" s="3">
        <v>510.52142300000003</v>
      </c>
      <c r="AB10" s="3">
        <v>512.712402</v>
      </c>
      <c r="AC10" s="3">
        <v>514.089111</v>
      </c>
      <c r="AD10" s="3">
        <v>516.63324</v>
      </c>
      <c r="AE10" s="4" cm="1">
        <f t="array" ref="AE10:AE14">(AD10:AD14-D10:D14)/D10:D14</f>
        <v>0.37658148304481676</v>
      </c>
    </row>
    <row r="11" spans="1:31" x14ac:dyDescent="0.25">
      <c r="A11" s="3" t="s">
        <v>36</v>
      </c>
      <c r="B11" s="3" t="s">
        <v>13</v>
      </c>
      <c r="C11" s="3" t="s">
        <v>3</v>
      </c>
      <c r="D11" s="3">
        <v>320.28341699999999</v>
      </c>
      <c r="E11" s="3">
        <v>326.40136699999999</v>
      </c>
      <c r="F11" s="3">
        <v>331.29641700000002</v>
      </c>
      <c r="G11" s="3">
        <v>334.32476800000001</v>
      </c>
      <c r="H11" s="3">
        <v>333.080017</v>
      </c>
      <c r="I11" s="3">
        <v>335.31735200000003</v>
      </c>
      <c r="J11" s="3">
        <v>340.88110399999999</v>
      </c>
      <c r="K11" s="3">
        <v>349.19467200000003</v>
      </c>
      <c r="L11" s="3">
        <v>362.00366200000002</v>
      </c>
      <c r="M11" s="3">
        <v>373.68450899999999</v>
      </c>
      <c r="N11" s="3">
        <v>382.22305299999999</v>
      </c>
      <c r="O11" s="3">
        <v>391.30361900000003</v>
      </c>
      <c r="P11" s="3">
        <v>400.40875199999999</v>
      </c>
      <c r="Q11" s="3">
        <v>404.34338400000001</v>
      </c>
      <c r="R11" s="3">
        <v>407.64056399999998</v>
      </c>
      <c r="S11" s="3">
        <v>410.61798099999999</v>
      </c>
      <c r="T11" s="3">
        <v>412.20404100000002</v>
      </c>
      <c r="U11" s="3">
        <v>415.20254499999999</v>
      </c>
      <c r="V11" s="3">
        <v>420.99194299999999</v>
      </c>
      <c r="W11" s="3">
        <v>429.22879</v>
      </c>
      <c r="X11" s="3">
        <v>431.86312900000001</v>
      </c>
      <c r="Y11" s="3">
        <v>433.93331899999998</v>
      </c>
      <c r="Z11" s="3">
        <v>434.66326900000001</v>
      </c>
      <c r="AA11" s="3">
        <v>435.729919</v>
      </c>
      <c r="AB11" s="3">
        <v>437.59991500000001</v>
      </c>
      <c r="AC11" s="3">
        <v>438.774902</v>
      </c>
      <c r="AD11" s="3">
        <v>440.94632000000001</v>
      </c>
      <c r="AE11" s="4">
        <v>0.37673790335514007</v>
      </c>
    </row>
    <row r="12" spans="1:31" x14ac:dyDescent="0.25">
      <c r="A12" s="3" t="s">
        <v>36</v>
      </c>
      <c r="B12" s="3" t="s">
        <v>14</v>
      </c>
      <c r="C12" s="3" t="s">
        <v>3</v>
      </c>
      <c r="D12" s="3">
        <v>55.018196000000003</v>
      </c>
      <c r="E12" s="3">
        <v>56.095177</v>
      </c>
      <c r="F12" s="3">
        <v>56.929442999999999</v>
      </c>
      <c r="G12" s="3">
        <v>57.449249000000002</v>
      </c>
      <c r="H12" s="3">
        <v>57.235588</v>
      </c>
      <c r="I12" s="3">
        <v>57.619621000000002</v>
      </c>
      <c r="J12" s="3">
        <v>58.574618999999998</v>
      </c>
      <c r="K12" s="3">
        <v>60.001613999999996</v>
      </c>
      <c r="L12" s="3">
        <v>62.210346000000001</v>
      </c>
      <c r="M12" s="3">
        <v>64.230582999999996</v>
      </c>
      <c r="N12" s="3">
        <v>65.707687000000007</v>
      </c>
      <c r="O12" s="3">
        <v>67.278328000000002</v>
      </c>
      <c r="P12" s="3">
        <v>68.824309999999997</v>
      </c>
      <c r="Q12" s="3">
        <v>69.474800000000002</v>
      </c>
      <c r="R12" s="3">
        <v>70.039360000000002</v>
      </c>
      <c r="S12" s="3">
        <v>70.549187000000003</v>
      </c>
      <c r="T12" s="3">
        <v>70.820098999999999</v>
      </c>
      <c r="U12" s="3">
        <v>71.333457999999993</v>
      </c>
      <c r="V12" s="3">
        <v>72.325958</v>
      </c>
      <c r="W12" s="3">
        <v>73.724486999999996</v>
      </c>
      <c r="X12" s="3">
        <v>74.166550000000001</v>
      </c>
      <c r="Y12" s="3">
        <v>74.506630000000001</v>
      </c>
      <c r="Z12" s="3">
        <v>74.620437999999993</v>
      </c>
      <c r="AA12" s="3">
        <v>74.791527000000002</v>
      </c>
      <c r="AB12" s="3">
        <v>75.112510999999998</v>
      </c>
      <c r="AC12" s="3">
        <v>75.314194000000001</v>
      </c>
      <c r="AD12" s="3">
        <v>75.686913000000004</v>
      </c>
      <c r="AE12" s="4">
        <v>0.37567056906046137</v>
      </c>
    </row>
    <row r="13" spans="1:31" x14ac:dyDescent="0.25">
      <c r="A13" s="3" t="s">
        <v>36</v>
      </c>
      <c r="B13" s="3" t="s">
        <v>15</v>
      </c>
      <c r="C13" s="3" t="s">
        <v>3</v>
      </c>
      <c r="D13" s="3">
        <v>1.9149400000000001</v>
      </c>
      <c r="E13" s="3">
        <v>2.5639249999999998</v>
      </c>
      <c r="F13" s="3">
        <v>2.437916</v>
      </c>
      <c r="G13" s="3">
        <v>2.4465340000000002</v>
      </c>
      <c r="H13" s="3">
        <v>2.4429919999999998</v>
      </c>
      <c r="I13" s="3">
        <v>2.4493589999999998</v>
      </c>
      <c r="J13" s="3">
        <v>2.4651930000000002</v>
      </c>
      <c r="K13" s="3">
        <v>2.4888520000000001</v>
      </c>
      <c r="L13" s="3">
        <v>2.7632180000000002</v>
      </c>
      <c r="M13" s="3">
        <v>3.1553819999999999</v>
      </c>
      <c r="N13" s="3">
        <v>3.4500459999999999</v>
      </c>
      <c r="O13" s="3">
        <v>3.7579180000000001</v>
      </c>
      <c r="P13" s="3">
        <v>3.3867850000000002</v>
      </c>
      <c r="Q13" s="3">
        <v>2.8127659999999999</v>
      </c>
      <c r="R13" s="3">
        <v>2.789526</v>
      </c>
      <c r="S13" s="3">
        <v>2.7688630000000001</v>
      </c>
      <c r="T13" s="3">
        <v>2.7420870000000002</v>
      </c>
      <c r="U13" s="3">
        <v>2.7195019999999999</v>
      </c>
      <c r="V13" s="3">
        <v>2.707071</v>
      </c>
      <c r="W13" s="3">
        <v>2.3707569999999998</v>
      </c>
      <c r="X13" s="3">
        <v>2.1403400000000001</v>
      </c>
      <c r="Y13" s="3">
        <v>1.78731</v>
      </c>
      <c r="Z13" s="3">
        <v>1.519023</v>
      </c>
      <c r="AA13" s="3">
        <v>1.2400279999999999</v>
      </c>
      <c r="AB13" s="3">
        <v>1.24535</v>
      </c>
      <c r="AC13" s="3">
        <v>1.248694</v>
      </c>
      <c r="AD13" s="3">
        <v>1.2548729999999999</v>
      </c>
      <c r="AE13" s="4">
        <v>-0.34469330631769152</v>
      </c>
    </row>
    <row r="14" spans="1:31" x14ac:dyDescent="0.25">
      <c r="A14" s="3" t="s">
        <v>36</v>
      </c>
      <c r="B14" s="3" t="s">
        <v>16</v>
      </c>
      <c r="C14" s="3" t="s">
        <v>3</v>
      </c>
      <c r="D14" s="3">
        <v>377.21655299999998</v>
      </c>
      <c r="E14" s="3">
        <v>385.06048600000003</v>
      </c>
      <c r="F14" s="3">
        <v>390.66378800000001</v>
      </c>
      <c r="G14" s="3">
        <v>394.220551</v>
      </c>
      <c r="H14" s="3">
        <v>392.75860599999999</v>
      </c>
      <c r="I14" s="3">
        <v>395.38635299999999</v>
      </c>
      <c r="J14" s="3">
        <v>401.92089800000002</v>
      </c>
      <c r="K14" s="3">
        <v>411.68515000000002</v>
      </c>
      <c r="L14" s="3">
        <v>426.97720299999997</v>
      </c>
      <c r="M14" s="3">
        <v>441.07049599999999</v>
      </c>
      <c r="N14" s="3">
        <v>451.38079800000003</v>
      </c>
      <c r="O14" s="3">
        <v>462.33984400000003</v>
      </c>
      <c r="P14" s="3">
        <v>472.619843</v>
      </c>
      <c r="Q14" s="3">
        <v>476.63095099999998</v>
      </c>
      <c r="R14" s="3">
        <v>480.46945199999999</v>
      </c>
      <c r="S14" s="3">
        <v>483.936035</v>
      </c>
      <c r="T14" s="3">
        <v>485.76623499999999</v>
      </c>
      <c r="U14" s="3">
        <v>489.255493</v>
      </c>
      <c r="V14" s="3">
        <v>496.02496300000001</v>
      </c>
      <c r="W14" s="3">
        <v>505.32403599999998</v>
      </c>
      <c r="X14" s="3">
        <v>508.17001299999998</v>
      </c>
      <c r="Y14" s="3">
        <v>510.22726399999999</v>
      </c>
      <c r="Z14" s="3">
        <v>510.80270400000001</v>
      </c>
      <c r="AA14" s="3">
        <v>511.76144399999998</v>
      </c>
      <c r="AB14" s="3">
        <v>513.957764</v>
      </c>
      <c r="AC14" s="3">
        <v>515.33783000000005</v>
      </c>
      <c r="AD14" s="3">
        <v>517.88812299999995</v>
      </c>
      <c r="AE14" s="4">
        <v>0.3729199285695185</v>
      </c>
    </row>
    <row r="15" spans="1:31" x14ac:dyDescent="0.25">
      <c r="A15" s="3" t="s">
        <v>37</v>
      </c>
      <c r="B15" s="3" t="s">
        <v>15</v>
      </c>
      <c r="C15" s="3" t="s">
        <v>3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4" t="e">
        <f>(AD15-D15)/D15</f>
        <v>#DIV/0!</v>
      </c>
    </row>
    <row r="16" spans="1:31" x14ac:dyDescent="0.25">
      <c r="A16" s="3" t="s">
        <v>17</v>
      </c>
      <c r="B16" s="3" t="s">
        <v>18</v>
      </c>
      <c r="C16" s="3" t="s">
        <v>3</v>
      </c>
      <c r="D16" s="3">
        <v>459.30084199999999</v>
      </c>
      <c r="E16" s="3">
        <v>466.52722199999999</v>
      </c>
      <c r="F16" s="3">
        <v>472.73635899999999</v>
      </c>
      <c r="G16" s="3">
        <v>473.818085</v>
      </c>
      <c r="H16" s="3">
        <v>471.638306</v>
      </c>
      <c r="I16" s="3">
        <v>471.85882600000002</v>
      </c>
      <c r="J16" s="3">
        <v>474.260132</v>
      </c>
      <c r="K16" s="3">
        <v>476.86142000000001</v>
      </c>
      <c r="L16" s="3">
        <v>479.16290300000003</v>
      </c>
      <c r="M16" s="3">
        <v>480.15920999999997</v>
      </c>
      <c r="N16" s="3">
        <v>481.567902</v>
      </c>
      <c r="O16" s="3">
        <v>483.10552999999999</v>
      </c>
      <c r="P16" s="3">
        <v>485.33605999999997</v>
      </c>
      <c r="Q16" s="3">
        <v>487.35864299999997</v>
      </c>
      <c r="R16" s="3">
        <v>489.67285199999998</v>
      </c>
      <c r="S16" s="3">
        <v>491.45837399999999</v>
      </c>
      <c r="T16" s="3">
        <v>493.84942599999999</v>
      </c>
      <c r="U16" s="3">
        <v>496.51709</v>
      </c>
      <c r="V16" s="3">
        <v>499.00122099999999</v>
      </c>
      <c r="W16" s="3">
        <v>501.09023999999999</v>
      </c>
      <c r="X16" s="3">
        <v>503.450897</v>
      </c>
      <c r="Y16" s="3">
        <v>506.10092200000003</v>
      </c>
      <c r="Z16" s="3">
        <v>507.85443099999998</v>
      </c>
      <c r="AA16" s="3">
        <v>509.95153800000003</v>
      </c>
      <c r="AB16" s="3">
        <v>512.15502900000001</v>
      </c>
      <c r="AC16" s="3">
        <v>514.30175799999995</v>
      </c>
      <c r="AD16" s="3">
        <v>516.090149</v>
      </c>
      <c r="AE16" s="4" cm="1">
        <f t="array" ref="AE16:AE20">(AD16:AD20-D16:D20)/D16:D20</f>
        <v>0.12364294119887551</v>
      </c>
    </row>
    <row r="17" spans="1:31" x14ac:dyDescent="0.25">
      <c r="A17" s="3" t="s">
        <v>17</v>
      </c>
      <c r="B17" s="3" t="s">
        <v>19</v>
      </c>
      <c r="C17" s="3" t="s">
        <v>3</v>
      </c>
      <c r="D17" s="3">
        <v>293.40902699999998</v>
      </c>
      <c r="E17" s="3">
        <v>293.40902699999998</v>
      </c>
      <c r="F17" s="3">
        <v>293.40902699999998</v>
      </c>
      <c r="G17" s="3">
        <v>293.40902699999998</v>
      </c>
      <c r="H17" s="3">
        <v>293.40902699999998</v>
      </c>
      <c r="I17" s="3">
        <v>293.40902699999998</v>
      </c>
      <c r="J17" s="3">
        <v>293.40902699999998</v>
      </c>
      <c r="K17" s="3">
        <v>293.40902699999998</v>
      </c>
      <c r="L17" s="3">
        <v>293.40902699999998</v>
      </c>
      <c r="M17" s="3">
        <v>293.40902699999998</v>
      </c>
      <c r="N17" s="3">
        <v>293.40902699999998</v>
      </c>
      <c r="O17" s="3">
        <v>293.40902699999998</v>
      </c>
      <c r="P17" s="3">
        <v>293.40902699999998</v>
      </c>
      <c r="Q17" s="3">
        <v>293.40902699999998</v>
      </c>
      <c r="R17" s="3">
        <v>293.40902699999998</v>
      </c>
      <c r="S17" s="3">
        <v>293.40902699999998</v>
      </c>
      <c r="T17" s="3">
        <v>293.40902699999998</v>
      </c>
      <c r="U17" s="3">
        <v>293.40902699999998</v>
      </c>
      <c r="V17" s="3">
        <v>293.40902699999998</v>
      </c>
      <c r="W17" s="3">
        <v>293.40902699999998</v>
      </c>
      <c r="X17" s="3">
        <v>293.40902699999998</v>
      </c>
      <c r="Y17" s="3">
        <v>293.40902699999998</v>
      </c>
      <c r="Z17" s="3">
        <v>293.40902699999998</v>
      </c>
      <c r="AA17" s="3">
        <v>293.40902699999998</v>
      </c>
      <c r="AB17" s="3">
        <v>293.40902699999998</v>
      </c>
      <c r="AC17" s="3">
        <v>293.40902699999998</v>
      </c>
      <c r="AD17" s="3">
        <v>293.40902699999998</v>
      </c>
      <c r="AE17" s="4">
        <v>0</v>
      </c>
    </row>
    <row r="18" spans="1:31" x14ac:dyDescent="0.25">
      <c r="A18" s="3" t="s">
        <v>17</v>
      </c>
      <c r="B18" s="3" t="s">
        <v>21</v>
      </c>
      <c r="C18" s="3" t="s">
        <v>3</v>
      </c>
      <c r="D18" s="3">
        <v>165.89181500000001</v>
      </c>
      <c r="E18" s="3">
        <v>173.11819499999999</v>
      </c>
      <c r="F18" s="3">
        <v>179.32733200000001</v>
      </c>
      <c r="G18" s="3">
        <v>180.40905799999999</v>
      </c>
      <c r="H18" s="3">
        <v>178.22927899999999</v>
      </c>
      <c r="I18" s="3">
        <v>178.44979900000001</v>
      </c>
      <c r="J18" s="3">
        <v>180.85110499999999</v>
      </c>
      <c r="K18" s="3">
        <v>183.452393</v>
      </c>
      <c r="L18" s="3">
        <v>185.75387599999999</v>
      </c>
      <c r="M18" s="3">
        <v>186.75018299999999</v>
      </c>
      <c r="N18" s="3">
        <v>188.15887499999999</v>
      </c>
      <c r="O18" s="3">
        <v>189.69650300000001</v>
      </c>
      <c r="P18" s="3">
        <v>191.927032</v>
      </c>
      <c r="Q18" s="3">
        <v>193.94961499999999</v>
      </c>
      <c r="R18" s="3">
        <v>196.263824</v>
      </c>
      <c r="S18" s="3">
        <v>198.04934700000001</v>
      </c>
      <c r="T18" s="3">
        <v>200.44039900000001</v>
      </c>
      <c r="U18" s="3">
        <v>203.10806299999999</v>
      </c>
      <c r="V18" s="3">
        <v>205.59219400000001</v>
      </c>
      <c r="W18" s="3">
        <v>207.68121300000001</v>
      </c>
      <c r="X18" s="3">
        <v>210.04186999999999</v>
      </c>
      <c r="Y18" s="3">
        <v>212.69189499999999</v>
      </c>
      <c r="Z18" s="3">
        <v>214.445404</v>
      </c>
      <c r="AA18" s="3">
        <v>216.54251099999999</v>
      </c>
      <c r="AB18" s="3">
        <v>218.746002</v>
      </c>
      <c r="AC18" s="3">
        <v>220.892731</v>
      </c>
      <c r="AD18" s="3">
        <v>222.68112199999999</v>
      </c>
      <c r="AE18" s="4">
        <v>0.34232735955055998</v>
      </c>
    </row>
    <row r="19" spans="1:31" x14ac:dyDescent="0.25">
      <c r="A19" s="3" t="s">
        <v>17</v>
      </c>
      <c r="B19" s="3" t="s">
        <v>22</v>
      </c>
      <c r="C19" s="3" t="s">
        <v>3</v>
      </c>
      <c r="D19" s="3">
        <v>6.9544999999999996E-2</v>
      </c>
      <c r="E19" s="3">
        <v>0.476074</v>
      </c>
      <c r="F19" s="3">
        <v>1.1869350000000001</v>
      </c>
      <c r="G19" s="3">
        <v>2.2746430000000002</v>
      </c>
      <c r="H19" s="3">
        <v>3.850533</v>
      </c>
      <c r="I19" s="3">
        <v>5.6831339999999999</v>
      </c>
      <c r="J19" s="3">
        <v>7.7917149999999999</v>
      </c>
      <c r="K19" s="3">
        <v>12.582754</v>
      </c>
      <c r="L19" s="3">
        <v>23.699276000000001</v>
      </c>
      <c r="M19" s="3">
        <v>33.579020999999997</v>
      </c>
      <c r="N19" s="3">
        <v>42.423018999999996</v>
      </c>
      <c r="O19" s="3">
        <v>50.487591000000002</v>
      </c>
      <c r="P19" s="3">
        <v>58.026871</v>
      </c>
      <c r="Q19" s="3">
        <v>65.239418000000001</v>
      </c>
      <c r="R19" s="3">
        <v>72.205253999999996</v>
      </c>
      <c r="S19" s="3">
        <v>78.792968999999999</v>
      </c>
      <c r="T19" s="3">
        <v>85.376862000000003</v>
      </c>
      <c r="U19" s="3">
        <v>91.765243999999996</v>
      </c>
      <c r="V19" s="3">
        <v>97.790710000000004</v>
      </c>
      <c r="W19" s="3">
        <v>103.46494300000001</v>
      </c>
      <c r="X19" s="3">
        <v>108.650131</v>
      </c>
      <c r="Y19" s="3">
        <v>113.73144499999999</v>
      </c>
      <c r="Z19" s="3">
        <v>118.464012</v>
      </c>
      <c r="AA19" s="3">
        <v>122.657967</v>
      </c>
      <c r="AB19" s="3">
        <v>126.519791</v>
      </c>
      <c r="AC19" s="3">
        <v>130.30264299999999</v>
      </c>
      <c r="AD19" s="3">
        <v>133.469345</v>
      </c>
      <c r="AE19" s="4">
        <v>1918.1795959450717</v>
      </c>
    </row>
    <row r="20" spans="1:31" x14ac:dyDescent="0.25">
      <c r="A20" s="3" t="s">
        <v>17</v>
      </c>
      <c r="B20" s="3" t="s">
        <v>23</v>
      </c>
      <c r="C20" s="3" t="s">
        <v>3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4" t="e">
        <v>#DIV/0!</v>
      </c>
    </row>
    <row r="21" spans="1:31" x14ac:dyDescent="0.25">
      <c r="A21" s="3" t="s">
        <v>24</v>
      </c>
      <c r="B21" s="3" t="s">
        <v>26</v>
      </c>
      <c r="C21" s="3" t="s">
        <v>25</v>
      </c>
      <c r="D21" s="3">
        <v>6.3752930000000001</v>
      </c>
      <c r="E21" s="3">
        <v>6.7905990000000003</v>
      </c>
      <c r="F21" s="3">
        <v>6.4224839999999999</v>
      </c>
      <c r="G21" s="3">
        <v>6.3160749999999997</v>
      </c>
      <c r="H21" s="3">
        <v>6.4606110000000001</v>
      </c>
      <c r="I21" s="3">
        <v>6.5414960000000004</v>
      </c>
      <c r="J21" s="3">
        <v>6.6583129999999997</v>
      </c>
      <c r="K21" s="3">
        <v>6.7719069999999997</v>
      </c>
      <c r="L21" s="3">
        <v>7.0731760000000001</v>
      </c>
      <c r="M21" s="3">
        <v>7.1939729999999997</v>
      </c>
      <c r="N21" s="3">
        <v>7.2507250000000001</v>
      </c>
      <c r="O21" s="3">
        <v>7.3082839999999996</v>
      </c>
      <c r="P21" s="3">
        <v>7.3045549999999997</v>
      </c>
      <c r="Q21" s="3">
        <v>8.1144189999999998</v>
      </c>
      <c r="R21" s="3">
        <v>8.3356359999999992</v>
      </c>
      <c r="S21" s="3">
        <v>8.0688099999999991</v>
      </c>
      <c r="T21" s="3">
        <v>8.297542</v>
      </c>
      <c r="U21" s="3">
        <v>8.1980090000000008</v>
      </c>
      <c r="V21" s="3">
        <v>8.2375290000000003</v>
      </c>
      <c r="W21" s="3">
        <v>7.3279199999999998</v>
      </c>
      <c r="X21" s="3">
        <v>7.2603910000000003</v>
      </c>
      <c r="Y21" s="3">
        <v>7.2164000000000001</v>
      </c>
      <c r="Z21" s="3">
        <v>7.2146939999999997</v>
      </c>
      <c r="AA21" s="3">
        <v>7.2070800000000004</v>
      </c>
      <c r="AB21" s="3">
        <v>7.1695099999999998</v>
      </c>
      <c r="AC21" s="3">
        <v>7.1167059999999998</v>
      </c>
      <c r="AD21" s="3">
        <v>7.0683259999999999</v>
      </c>
      <c r="AE21" s="4">
        <f>(AD21-D21)/D21</f>
        <v>0.10870606260763227</v>
      </c>
    </row>
    <row r="22" spans="1:31" x14ac:dyDescent="0.25">
      <c r="A22" s="3" t="s">
        <v>27</v>
      </c>
      <c r="B22" s="3" t="s">
        <v>28</v>
      </c>
      <c r="C22" s="3" t="s">
        <v>25</v>
      </c>
      <c r="D22" s="3">
        <v>8.8388159999999996</v>
      </c>
      <c r="E22" s="3">
        <v>9.2541200000000003</v>
      </c>
      <c r="F22" s="3">
        <v>8.8860050000000008</v>
      </c>
      <c r="G22" s="3">
        <v>8.7795970000000008</v>
      </c>
      <c r="H22" s="3">
        <v>8.9241320000000002</v>
      </c>
      <c r="I22" s="3">
        <v>9.0050179999999997</v>
      </c>
      <c r="J22" s="3">
        <v>9.1218350000000008</v>
      </c>
      <c r="K22" s="3">
        <v>9.2354289999999999</v>
      </c>
      <c r="L22" s="3">
        <v>9.5366979999999995</v>
      </c>
      <c r="M22" s="3">
        <v>9.6574950000000008</v>
      </c>
      <c r="N22" s="3">
        <v>9.7142470000000003</v>
      </c>
      <c r="O22" s="3">
        <v>9.7718059999999998</v>
      </c>
      <c r="P22" s="3">
        <v>9.7680769999999999</v>
      </c>
      <c r="Q22" s="3">
        <v>10.577940999999999</v>
      </c>
      <c r="R22" s="3">
        <v>10.799158</v>
      </c>
      <c r="S22" s="3">
        <v>10.532332</v>
      </c>
      <c r="T22" s="3">
        <v>10.761063999999999</v>
      </c>
      <c r="U22" s="3">
        <v>10.661530000000001</v>
      </c>
      <c r="V22" s="3">
        <v>10.701051</v>
      </c>
      <c r="W22" s="3">
        <v>9.791442</v>
      </c>
      <c r="X22" s="3">
        <v>9.7239129999999996</v>
      </c>
      <c r="Y22" s="3">
        <v>9.6799210000000002</v>
      </c>
      <c r="Z22" s="3">
        <v>9.6782160000000008</v>
      </c>
      <c r="AA22" s="3">
        <v>9.6706020000000006</v>
      </c>
      <c r="AB22" s="3">
        <v>9.633032</v>
      </c>
      <c r="AC22" s="3">
        <v>9.580228</v>
      </c>
      <c r="AD22" s="3">
        <v>9.5318489999999994</v>
      </c>
      <c r="AE22" s="4" cm="1">
        <f t="array" ref="AE22:AE24">(AD22:AD24-D22:D24)/D22:D24</f>
        <v>7.8407899881613077E-2</v>
      </c>
    </row>
    <row r="23" spans="1:31" x14ac:dyDescent="0.25">
      <c r="A23" s="3" t="s">
        <v>27</v>
      </c>
      <c r="B23" s="3" t="s">
        <v>22</v>
      </c>
      <c r="C23" s="3" t="s">
        <v>25</v>
      </c>
      <c r="D23" s="3">
        <v>58.929783</v>
      </c>
      <c r="E23" s="3">
        <v>59.344749</v>
      </c>
      <c r="F23" s="3">
        <v>58.977592000000001</v>
      </c>
      <c r="G23" s="3">
        <v>58.871192999999998</v>
      </c>
      <c r="H23" s="3">
        <v>59.015728000000003</v>
      </c>
      <c r="I23" s="3">
        <v>59.096611000000003</v>
      </c>
      <c r="J23" s="3">
        <v>59.213436000000002</v>
      </c>
      <c r="K23" s="3">
        <v>59.327025999999996</v>
      </c>
      <c r="L23" s="3">
        <v>59.628295999999999</v>
      </c>
      <c r="M23" s="3">
        <v>59.749088</v>
      </c>
      <c r="N23" s="3">
        <v>59.805847</v>
      </c>
      <c r="O23" s="3">
        <v>59.863399999999999</v>
      </c>
      <c r="P23" s="3">
        <v>59.859661000000003</v>
      </c>
      <c r="Q23" s="3">
        <v>60.669364999999999</v>
      </c>
      <c r="R23" s="3">
        <v>60.890579000000002</v>
      </c>
      <c r="S23" s="3">
        <v>60.623711</v>
      </c>
      <c r="T23" s="3">
        <v>60.852550999999998</v>
      </c>
      <c r="U23" s="3">
        <v>60.752952999999998</v>
      </c>
      <c r="V23" s="3">
        <v>60.792450000000002</v>
      </c>
      <c r="W23" s="3">
        <v>59.883045000000003</v>
      </c>
      <c r="X23" s="3">
        <v>59.815514</v>
      </c>
      <c r="Y23" s="3">
        <v>59.771523000000002</v>
      </c>
      <c r="Z23" s="3">
        <v>59.769813999999997</v>
      </c>
      <c r="AA23" s="3">
        <v>59.762211000000001</v>
      </c>
      <c r="AB23" s="3">
        <v>59.724640000000001</v>
      </c>
      <c r="AC23" s="3">
        <v>59.671836999999996</v>
      </c>
      <c r="AD23" s="3">
        <v>59.623451000000003</v>
      </c>
      <c r="AE23" s="4">
        <v>1.1771093743888423E-2</v>
      </c>
    </row>
    <row r="24" spans="1:31" x14ac:dyDescent="0.25">
      <c r="A24" s="3" t="s">
        <v>27</v>
      </c>
      <c r="B24" s="3" t="s">
        <v>23</v>
      </c>
      <c r="C24" s="3" t="s">
        <v>25</v>
      </c>
      <c r="D24" s="3">
        <v>8.8388159999999996</v>
      </c>
      <c r="E24" s="3">
        <v>9.2541200000000003</v>
      </c>
      <c r="F24" s="3">
        <v>8.8860050000000008</v>
      </c>
      <c r="G24" s="3">
        <v>8.7795970000000008</v>
      </c>
      <c r="H24" s="3">
        <v>8.9241320000000002</v>
      </c>
      <c r="I24" s="3">
        <v>9.0050179999999997</v>
      </c>
      <c r="J24" s="3">
        <v>9.1218350000000008</v>
      </c>
      <c r="K24" s="3">
        <v>9.2354289999999999</v>
      </c>
      <c r="L24" s="3">
        <v>9.5366979999999995</v>
      </c>
      <c r="M24" s="3">
        <v>9.6574950000000008</v>
      </c>
      <c r="N24" s="3">
        <v>9.7142470000000003</v>
      </c>
      <c r="O24" s="3">
        <v>9.7718059999999998</v>
      </c>
      <c r="P24" s="3">
        <v>9.7680769999999999</v>
      </c>
      <c r="Q24" s="3">
        <v>10.577940999999999</v>
      </c>
      <c r="R24" s="3">
        <v>10.799158</v>
      </c>
      <c r="S24" s="3">
        <v>10.532332</v>
      </c>
      <c r="T24" s="3">
        <v>10.761063999999999</v>
      </c>
      <c r="U24" s="3">
        <v>10.661530000000001</v>
      </c>
      <c r="V24" s="3">
        <v>10.701051</v>
      </c>
      <c r="W24" s="3">
        <v>9.791442</v>
      </c>
      <c r="X24" s="3">
        <v>9.7239129999999996</v>
      </c>
      <c r="Y24" s="3">
        <v>9.6799210000000002</v>
      </c>
      <c r="Z24" s="3">
        <v>9.6782160000000008</v>
      </c>
      <c r="AA24" s="3">
        <v>9.6706020000000006</v>
      </c>
      <c r="AB24" s="3">
        <v>9.633032</v>
      </c>
      <c r="AC24" s="3">
        <v>9.580228</v>
      </c>
      <c r="AD24" s="3">
        <v>9.5318489999999994</v>
      </c>
      <c r="AE24" s="4">
        <v>7.8407899881613077E-2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East North Central</vt:lpstr>
      <vt:lpstr>East South Central</vt:lpstr>
      <vt:lpstr>Middle Atlantic</vt:lpstr>
      <vt:lpstr>Mountain</vt:lpstr>
      <vt:lpstr>New England</vt:lpstr>
      <vt:lpstr>Pacific</vt:lpstr>
      <vt:lpstr>South Atlantic</vt:lpstr>
      <vt:lpstr>West North Central</vt:lpstr>
      <vt:lpstr>West South Central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Aboud Beroual</cp:lastModifiedBy>
  <dcterms:created xsi:type="dcterms:W3CDTF">2025-07-02T16:34:45Z</dcterms:created>
  <dcterms:modified xsi:type="dcterms:W3CDTF">2025-07-07T23:11:21Z</dcterms:modified>
</cp:coreProperties>
</file>