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boud\Desktop\hydrogen-dashboard\data\"/>
    </mc:Choice>
  </mc:AlternateContent>
  <xr:revisionPtr revIDLastSave="0" documentId="13_ncr:1_{42EC9749-EE6B-4A1F-952E-8B7736C5B567}" xr6:coauthVersionLast="47" xr6:coauthVersionMax="47" xr10:uidLastSave="{00000000-0000-0000-0000-000000000000}"/>
  <bookViews>
    <workbookView xWindow="-110" yWindow="-110" windowWidth="25820" windowHeight="15500" tabRatio="560" xr2:uid="{00000000-000D-0000-FFFF-FFFF00000000}"/>
  </bookViews>
  <sheets>
    <sheet name="East North Central" sheetId="1" r:id="rId1"/>
    <sheet name="East South Central" sheetId="2" r:id="rId2"/>
    <sheet name="Middle Atlantic" sheetId="3" r:id="rId3"/>
    <sheet name="Mountain" sheetId="4" r:id="rId4"/>
    <sheet name="New England" sheetId="5" r:id="rId5"/>
    <sheet name="Pacific" sheetId="6" r:id="rId6"/>
    <sheet name="South Atlantic" sheetId="7" r:id="rId7"/>
    <sheet name="West North Central" sheetId="8" r:id="rId8"/>
    <sheet name="West South Centra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" i="2" l="1" a="1"/>
  <c r="AE22" i="2" s="1"/>
  <c r="AE21" i="2"/>
  <c r="AE16" i="2" a="1"/>
  <c r="AE16" i="2" s="1"/>
  <c r="AE15" i="2"/>
  <c r="AE10" i="2" a="1"/>
  <c r="AE10" i="2" s="1"/>
  <c r="AE7" i="2" a="1"/>
  <c r="AE7" i="2" s="1"/>
  <c r="AE2" i="2" a="1"/>
  <c r="AE2" i="2" s="1"/>
  <c r="AE22" i="3" a="1"/>
  <c r="AE22" i="3" s="1"/>
  <c r="AE21" i="3"/>
  <c r="AE16" i="3" a="1"/>
  <c r="AE16" i="3" s="1"/>
  <c r="AE15" i="3"/>
  <c r="AE10" i="3" a="1"/>
  <c r="AE10" i="3" s="1"/>
  <c r="AE7" i="3" a="1"/>
  <c r="AE7" i="3" s="1"/>
  <c r="AE2" i="3" a="1"/>
  <c r="AE2" i="3" s="1"/>
  <c r="AE22" i="4" a="1"/>
  <c r="AE22" i="4" s="1"/>
  <c r="AE21" i="4"/>
  <c r="AE16" i="4" a="1"/>
  <c r="AE16" i="4" s="1"/>
  <c r="AE15" i="4"/>
  <c r="AE10" i="4" a="1"/>
  <c r="AE10" i="4" s="1"/>
  <c r="AE7" i="4" a="1"/>
  <c r="AE7" i="4" s="1"/>
  <c r="AE2" i="4" a="1"/>
  <c r="AE2" i="4" s="1"/>
  <c r="AE22" i="5" a="1"/>
  <c r="AE22" i="5" s="1"/>
  <c r="AE21" i="5"/>
  <c r="AE16" i="5" a="1"/>
  <c r="AE16" i="5" s="1"/>
  <c r="AE15" i="5"/>
  <c r="AE10" i="5" a="1"/>
  <c r="AE10" i="5" s="1"/>
  <c r="AE7" i="5" a="1"/>
  <c r="AE7" i="5" s="1"/>
  <c r="AE2" i="5" a="1"/>
  <c r="AE2" i="5" s="1"/>
  <c r="AE22" i="6" a="1"/>
  <c r="AE22" i="6" s="1"/>
  <c r="AE21" i="6"/>
  <c r="AE16" i="6" a="1"/>
  <c r="AE16" i="6" s="1"/>
  <c r="AE15" i="6"/>
  <c r="AE10" i="6" a="1"/>
  <c r="AE10" i="6" s="1"/>
  <c r="AE7" i="6" a="1"/>
  <c r="AE7" i="6" s="1"/>
  <c r="AE2" i="6" a="1"/>
  <c r="AE2" i="6" s="1"/>
  <c r="AE22" i="7" a="1"/>
  <c r="AE22" i="7" s="1"/>
  <c r="AE21" i="7"/>
  <c r="AE16" i="7" a="1"/>
  <c r="AE16" i="7" s="1"/>
  <c r="AE15" i="7"/>
  <c r="AE10" i="7" a="1"/>
  <c r="AE10" i="7" s="1"/>
  <c r="AE7" i="7" a="1"/>
  <c r="AE7" i="7" s="1"/>
  <c r="AE2" i="7" a="1"/>
  <c r="AE2" i="7" s="1"/>
  <c r="AE22" i="8" a="1"/>
  <c r="AE22" i="8" s="1"/>
  <c r="AE21" i="8"/>
  <c r="AE16" i="8" a="1"/>
  <c r="AE16" i="8" s="1"/>
  <c r="AE15" i="8"/>
  <c r="AE10" i="8" a="1"/>
  <c r="AE10" i="8" s="1"/>
  <c r="AE7" i="8" a="1"/>
  <c r="AE7" i="8" s="1"/>
  <c r="AE2" i="8" a="1"/>
  <c r="AE2" i="8" s="1"/>
  <c r="AE22" i="9" a="1"/>
  <c r="AE22" i="9" s="1"/>
  <c r="AE21" i="9"/>
  <c r="AE16" i="9" a="1"/>
  <c r="AE16" i="9" s="1"/>
  <c r="AE15" i="9"/>
  <c r="AE10" i="9" a="1"/>
  <c r="AE10" i="9" s="1"/>
  <c r="AE7" i="9" a="1"/>
  <c r="AE7" i="9" s="1"/>
  <c r="AE2" i="9" a="1"/>
  <c r="AE2" i="9" s="1"/>
  <c r="AE22" i="1" a="1"/>
  <c r="AE22" i="1" s="1"/>
  <c r="AE21" i="1"/>
  <c r="AE16" i="1" a="1"/>
  <c r="AE16" i="1" s="1"/>
  <c r="AE15" i="1"/>
  <c r="AE10" i="1" a="1"/>
  <c r="AE10" i="1" s="1"/>
  <c r="AE7" i="1" a="1"/>
  <c r="AE7" i="1" s="1"/>
  <c r="AE2" i="1" a="1"/>
  <c r="A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<sst xmlns="http://schemas.openxmlformats.org/spreadsheetml/2006/main" count="665" uniqueCount="33">
  <si>
    <t>units</t>
  </si>
  <si>
    <t>Growth (2024-2050)</t>
  </si>
  <si>
    <t>Steam Methane Reforming</t>
  </si>
  <si>
    <t>TBtu</t>
  </si>
  <si>
    <t>Steam Methane Reforming with CCS</t>
  </si>
  <si>
    <t>Electrolysis</t>
  </si>
  <si>
    <t>Byproduct Hydrogen Supply to Market</t>
  </si>
  <si>
    <t>Total Hydrogen Supply</t>
  </si>
  <si>
    <t>Total Consumption by Fuel</t>
  </si>
  <si>
    <t>Natural Gas</t>
  </si>
  <si>
    <t>Purchased electricity</t>
  </si>
  <si>
    <t>Total Energy Consumed in H2 Production</t>
  </si>
  <si>
    <t>Feedstock</t>
  </si>
  <si>
    <t>Heat and Power</t>
  </si>
  <si>
    <t>Purchased Electricity</t>
  </si>
  <si>
    <t>Total-Steam Methane Reforming (with and without CCS)</t>
  </si>
  <si>
    <t>Consumption (H2) by Sector</t>
  </si>
  <si>
    <t>Industrial Feedstock</t>
  </si>
  <si>
    <t>Refinery</t>
  </si>
  <si>
    <t>Bulk Chemicals and Other Industrial</t>
  </si>
  <si>
    <t>Transportation</t>
  </si>
  <si>
    <t>Electric Power</t>
  </si>
  <si>
    <t>Prices</t>
  </si>
  <si>
    <t>2024 $/MMBtu</t>
  </si>
  <si>
    <t>H2 Average Market Spot Price ($/MMBtu)</t>
  </si>
  <si>
    <t>Delivered End-Use Prices ($/MMBtu)</t>
  </si>
  <si>
    <t>Industrial</t>
  </si>
  <si>
    <t>H2 Production By Technology (Tbtu)</t>
  </si>
  <si>
    <t>Energy Consumption by SMR (w &amp; w/o CCS) by fuel type</t>
  </si>
  <si>
    <t>Energy Consumption by electrolysis by fuel type</t>
  </si>
  <si>
    <t>S</t>
  </si>
  <si>
    <t>Category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</si>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</sst>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NumberFormat="1" applyBorder="1"/>
    <xf numFmtId="0" fontId="0" fillId="0" borderId="0" xfId="0" applyNumberFormat="1" applyBorder="1"/>
    <xf numFmtId="0" fontId="0" fillId="0" borderId="1" xfId="0" applyNumberFormat="1" applyFont="1" applyBorder="1"/>
    <xf numFmtId="0" fontId="0" fillId="0" borderId="0" xfId="0" applyNumberFormat="1" applyFont="1" applyBorder="1"/>
    <xf numFmtId="0" fontId="1" fillId="0" borderId="0" xfId="1" applyNumberFormat="1" applyFont="1" applyBorder="1"/>
    <xf numFmtId="0" fontId="2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6"/>
  <sheetViews>
    <sheetView tabSelected="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68.777557000000002</v>
      </c>
      <c r="E2" s="4">
        <v>66.882828000000003</v>
      </c>
      <c r="F2" s="4">
        <v>44.968952000000002</v>
      </c>
      <c r="G2" s="4">
        <v>47.605311999999998</v>
      </c>
      <c r="H2" s="4">
        <v>43.679248999999999</v>
      </c>
      <c r="I2" s="4">
        <v>42.708523</v>
      </c>
      <c r="J2" s="4">
        <v>44.336486999999998</v>
      </c>
      <c r="K2" s="4">
        <v>54.559345</v>
      </c>
      <c r="L2" s="4">
        <v>65.785315999999995</v>
      </c>
      <c r="M2" s="4">
        <v>75.260185000000007</v>
      </c>
      <c r="N2" s="4">
        <v>81.397414999999995</v>
      </c>
      <c r="O2" s="4">
        <v>89.311690999999996</v>
      </c>
      <c r="P2" s="4">
        <v>96.326499999999996</v>
      </c>
      <c r="Q2" s="4">
        <v>103.072739</v>
      </c>
      <c r="R2" s="4">
        <v>130.97276299999999</v>
      </c>
      <c r="S2" s="4">
        <v>142.23071300000001</v>
      </c>
      <c r="T2" s="4">
        <v>148.45889299999999</v>
      </c>
      <c r="U2" s="4">
        <v>152.948196</v>
      </c>
      <c r="V2" s="4">
        <v>157.04306</v>
      </c>
      <c r="W2" s="4">
        <v>160.78041099999999</v>
      </c>
      <c r="X2" s="4">
        <v>164.14979600000001</v>
      </c>
      <c r="Y2" s="4">
        <v>165.52621500000001</v>
      </c>
      <c r="Z2" s="4">
        <v>166.892685</v>
      </c>
      <c r="AA2" s="4">
        <v>168.34484900000001</v>
      </c>
      <c r="AB2" s="4">
        <v>170.44459499999999</v>
      </c>
      <c r="AC2" s="4">
        <v>171.70167499999999</v>
      </c>
      <c r="AD2" s="4">
        <v>174.22984299999999</v>
      </c>
      <c r="AE2" s="5" cm="1">
        <f t="array" ref="AE2:AE6">(AD2:AD6-D2:D6)/D2:D6</f>
        <v>1.5332368667878096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22.214290999999999</v>
      </c>
      <c r="G3" s="4">
        <v>22.214290999999999</v>
      </c>
      <c r="H3" s="4">
        <v>22.214290999999999</v>
      </c>
      <c r="I3" s="4">
        <v>22.214290999999999</v>
      </c>
      <c r="J3" s="4">
        <v>22.214290999999999</v>
      </c>
      <c r="K3" s="4">
        <v>22.214290999999999</v>
      </c>
      <c r="L3" s="4">
        <v>22.214290999999999</v>
      </c>
      <c r="M3" s="4">
        <v>22.214290999999999</v>
      </c>
      <c r="N3" s="4">
        <v>22.214290999999999</v>
      </c>
      <c r="O3" s="4">
        <v>22.214290999999999</v>
      </c>
      <c r="P3" s="4">
        <v>22.214290999999999</v>
      </c>
      <c r="Q3" s="4">
        <v>22.214290999999999</v>
      </c>
      <c r="R3" s="4">
        <v>3.2170100000000001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</v>
      </c>
      <c r="H4" s="4">
        <v>5.3295250000000003</v>
      </c>
      <c r="I4" s="4">
        <v>8.4786149999999996</v>
      </c>
      <c r="J4" s="4">
        <v>9.4751250000000002</v>
      </c>
      <c r="K4" s="4">
        <v>4.0488569999999999</v>
      </c>
      <c r="L4" s="4">
        <v>2.8091409999999999</v>
      </c>
      <c r="M4" s="4">
        <v>2.696199</v>
      </c>
      <c r="N4" s="4">
        <v>5.8880220000000003</v>
      </c>
      <c r="O4" s="4">
        <v>6.2464219999999999</v>
      </c>
      <c r="P4" s="4">
        <v>6.514856</v>
      </c>
      <c r="Q4" s="4">
        <v>6.7324539999999997</v>
      </c>
      <c r="R4" s="4">
        <v>4.3940700000000001</v>
      </c>
      <c r="S4" s="4">
        <v>2.1233010000000001</v>
      </c>
      <c r="T4" s="4">
        <v>0.57663200000000003</v>
      </c>
      <c r="U4" s="4">
        <v>0.237037</v>
      </c>
      <c r="V4" s="4">
        <v>0.28107599999999999</v>
      </c>
      <c r="W4" s="4">
        <v>0.22218199999999999</v>
      </c>
      <c r="X4" s="4">
        <v>0.170075</v>
      </c>
      <c r="Y4" s="4">
        <v>0.12598999999999999</v>
      </c>
      <c r="Z4" s="4">
        <v>5.6175999999999997E-2</v>
      </c>
      <c r="AA4" s="4">
        <v>5.5543000000000002E-2</v>
      </c>
      <c r="AB4" s="4">
        <v>4.5711000000000002E-2</v>
      </c>
      <c r="AC4" s="4">
        <v>0.96557400000000004</v>
      </c>
      <c r="AD4" s="4">
        <v>0.88390299999999999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60.016621000000001</v>
      </c>
      <c r="E5" s="4">
        <v>59.496746000000002</v>
      </c>
      <c r="F5" s="4">
        <v>59.380088999999998</v>
      </c>
      <c r="G5" s="4">
        <v>59.540694999999999</v>
      </c>
      <c r="H5" s="4">
        <v>59.703086999999996</v>
      </c>
      <c r="I5" s="4">
        <v>59.891826999999999</v>
      </c>
      <c r="J5" s="4">
        <v>60.039397999999998</v>
      </c>
      <c r="K5" s="4">
        <v>60.143520000000002</v>
      </c>
      <c r="L5" s="4">
        <v>60.232287999999997</v>
      </c>
      <c r="M5" s="4">
        <v>60.266682000000003</v>
      </c>
      <c r="N5" s="4">
        <v>60.242232999999999</v>
      </c>
      <c r="O5" s="4">
        <v>60.231040999999998</v>
      </c>
      <c r="P5" s="4">
        <v>60.225135999999999</v>
      </c>
      <c r="Q5" s="4">
        <v>60.205379000000001</v>
      </c>
      <c r="R5" s="4">
        <v>60.152576000000003</v>
      </c>
      <c r="S5" s="4">
        <v>60.054004999999997</v>
      </c>
      <c r="T5" s="4">
        <v>59.977328999999997</v>
      </c>
      <c r="U5" s="4">
        <v>59.882103000000001</v>
      </c>
      <c r="V5" s="4">
        <v>59.770172000000002</v>
      </c>
      <c r="W5" s="4">
        <v>59.733189000000003</v>
      </c>
      <c r="X5" s="4">
        <v>59.883834999999998</v>
      </c>
      <c r="Y5" s="4">
        <v>61.265732</v>
      </c>
      <c r="Z5" s="4">
        <v>62.48386</v>
      </c>
      <c r="AA5" s="4">
        <v>63.069363000000003</v>
      </c>
      <c r="AB5" s="4">
        <v>63.216492000000002</v>
      </c>
      <c r="AC5" s="4">
        <v>63.272297000000002</v>
      </c>
      <c r="AD5" s="4">
        <v>63.115845</v>
      </c>
      <c r="AE5" s="5">
        <v>5.1639428351022955E-2</v>
      </c>
    </row>
    <row r="6" spans="1:31" x14ac:dyDescent="0.25">
      <c r="A6" s="4" t="s">
        <v>27</v>
      </c>
      <c r="B6" s="4" t="s">
        <v>7</v>
      </c>
      <c r="C6" s="4" t="s">
        <v>3</v>
      </c>
      <c r="D6" s="4">
        <v>128.794174</v>
      </c>
      <c r="E6" s="4">
        <v>126.379578</v>
      </c>
      <c r="F6" s="4">
        <v>126.563332</v>
      </c>
      <c r="G6" s="4">
        <v>129.36030600000001</v>
      </c>
      <c r="H6" s="4">
        <v>130.92614699999999</v>
      </c>
      <c r="I6" s="4">
        <v>133.29324299999999</v>
      </c>
      <c r="J6" s="4">
        <v>136.065292</v>
      </c>
      <c r="K6" s="4">
        <v>140.966003</v>
      </c>
      <c r="L6" s="4">
        <v>151.041031</v>
      </c>
      <c r="M6" s="4">
        <v>160.43734699999999</v>
      </c>
      <c r="N6" s="4">
        <v>169.74194299999999</v>
      </c>
      <c r="O6" s="4">
        <v>178.00344799999999</v>
      </c>
      <c r="P6" s="4">
        <v>185.280777</v>
      </c>
      <c r="Q6" s="4">
        <v>192.22486900000001</v>
      </c>
      <c r="R6" s="4">
        <v>198.73642000000001</v>
      </c>
      <c r="S6" s="4">
        <v>204.40803500000001</v>
      </c>
      <c r="T6" s="4">
        <v>209.01286300000001</v>
      </c>
      <c r="U6" s="4">
        <v>213.067352</v>
      </c>
      <c r="V6" s="4">
        <v>217.09429900000001</v>
      </c>
      <c r="W6" s="4">
        <v>220.735794</v>
      </c>
      <c r="X6" s="4">
        <v>224.20370500000001</v>
      </c>
      <c r="Y6" s="4">
        <v>226.91793799999999</v>
      </c>
      <c r="Z6" s="4">
        <v>229.43272400000001</v>
      </c>
      <c r="AA6" s="4">
        <v>231.46975699999999</v>
      </c>
      <c r="AB6" s="4">
        <v>233.70680200000001</v>
      </c>
      <c r="AC6" s="4">
        <v>235.93954500000001</v>
      </c>
      <c r="AD6" s="4">
        <v>238.22958399999999</v>
      </c>
      <c r="AE6" s="5">
        <v>0.84969223840823727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94.433730999999995</v>
      </c>
      <c r="E7" s="4">
        <v>91.832213999999993</v>
      </c>
      <c r="F7" s="4">
        <v>94.313384999999997</v>
      </c>
      <c r="G7" s="4">
        <v>97.933197000000007</v>
      </c>
      <c r="H7" s="4">
        <v>92.542770000000004</v>
      </c>
      <c r="I7" s="4">
        <v>91.209518000000003</v>
      </c>
      <c r="J7" s="4">
        <v>93.443648999999994</v>
      </c>
      <c r="K7" s="4">
        <v>107.478455</v>
      </c>
      <c r="L7" s="4">
        <v>122.88967100000001</v>
      </c>
      <c r="M7" s="4">
        <v>135.900665</v>
      </c>
      <c r="N7" s="4">
        <v>144.33068800000001</v>
      </c>
      <c r="O7" s="4">
        <v>155.197372</v>
      </c>
      <c r="P7" s="4">
        <v>164.82896400000001</v>
      </c>
      <c r="Q7" s="4">
        <v>174.09170499999999</v>
      </c>
      <c r="R7" s="4">
        <v>184.54608200000001</v>
      </c>
      <c r="S7" s="4">
        <v>195.287216</v>
      </c>
      <c r="T7" s="4">
        <v>203.838425</v>
      </c>
      <c r="U7" s="4">
        <v>210.00209000000001</v>
      </c>
      <c r="V7" s="4">
        <v>215.62501499999999</v>
      </c>
      <c r="W7" s="4">
        <v>220.75654599999999</v>
      </c>
      <c r="X7" s="4">
        <v>225.38279700000001</v>
      </c>
      <c r="Y7" s="4">
        <v>227.272659</v>
      </c>
      <c r="Z7" s="4">
        <v>229.14887999999999</v>
      </c>
      <c r="AA7" s="4">
        <v>231.14274599999999</v>
      </c>
      <c r="AB7" s="4">
        <v>234.02574200000001</v>
      </c>
      <c r="AC7" s="4">
        <v>235.75176999999999</v>
      </c>
      <c r="AD7" s="4">
        <v>239.222961</v>
      </c>
      <c r="AE7" s="5" cm="1">
        <f t="array" ref="AE7:AE9">(AD7:AD9-D7:D9)/D7:D9</f>
        <v>1.5332363602153982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0.22937399999999999</v>
      </c>
      <c r="E8" s="4">
        <v>0.223055</v>
      </c>
      <c r="F8" s="4">
        <v>0.99867499999999998</v>
      </c>
      <c r="G8" s="4">
        <v>1.0074669999999999</v>
      </c>
      <c r="H8" s="4">
        <v>8.3505559999999992</v>
      </c>
      <c r="I8" s="4">
        <v>12.693911</v>
      </c>
      <c r="J8" s="4">
        <v>14.074794000000001</v>
      </c>
      <c r="K8" s="4">
        <v>6.6191740000000001</v>
      </c>
      <c r="L8" s="4">
        <v>4.9454700000000003</v>
      </c>
      <c r="M8" s="4">
        <v>4.8211779999999997</v>
      </c>
      <c r="N8" s="4">
        <v>9.247223</v>
      </c>
      <c r="O8" s="4">
        <v>9.7683049999999998</v>
      </c>
      <c r="P8" s="4">
        <v>10.162210999999999</v>
      </c>
      <c r="Q8" s="4">
        <v>10.485053000000001</v>
      </c>
      <c r="R8" s="4">
        <v>6.6247049999999996</v>
      </c>
      <c r="S8" s="4">
        <v>3.4050690000000001</v>
      </c>
      <c r="T8" s="4">
        <v>1.291021</v>
      </c>
      <c r="U8" s="4">
        <v>0.83726</v>
      </c>
      <c r="V8" s="4">
        <v>0.91170200000000001</v>
      </c>
      <c r="W8" s="4">
        <v>0.84287599999999996</v>
      </c>
      <c r="X8" s="4">
        <v>0.782192</v>
      </c>
      <c r="Y8" s="4">
        <v>0.72593300000000005</v>
      </c>
      <c r="Z8" s="4">
        <v>0.634127</v>
      </c>
      <c r="AA8" s="4">
        <v>0.63809800000000005</v>
      </c>
      <c r="AB8" s="4">
        <v>0.63152900000000001</v>
      </c>
      <c r="AC8" s="4">
        <v>1.9053800000000001</v>
      </c>
      <c r="AD8" s="4">
        <v>1.8010839999999999</v>
      </c>
      <c r="AE8" s="5">
        <v>6.8521715626008177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94.663109000000006</v>
      </c>
      <c r="E9" s="4">
        <v>92.055267000000001</v>
      </c>
      <c r="F9" s="4">
        <v>95.312056999999996</v>
      </c>
      <c r="G9" s="4">
        <v>98.940665999999993</v>
      </c>
      <c r="H9" s="4">
        <v>100.893326</v>
      </c>
      <c r="I9" s="4">
        <v>103.90342699999999</v>
      </c>
      <c r="J9" s="4">
        <v>107.51844</v>
      </c>
      <c r="K9" s="4">
        <v>114.09762600000001</v>
      </c>
      <c r="L9" s="4">
        <v>127.835144</v>
      </c>
      <c r="M9" s="4">
        <v>140.72184799999999</v>
      </c>
      <c r="N9" s="4">
        <v>153.577911</v>
      </c>
      <c r="O9" s="4">
        <v>164.96568300000001</v>
      </c>
      <c r="P9" s="4">
        <v>174.99118000000001</v>
      </c>
      <c r="Q9" s="4">
        <v>184.576752</v>
      </c>
      <c r="R9" s="4">
        <v>191.17079200000001</v>
      </c>
      <c r="S9" s="4">
        <v>198.69229100000001</v>
      </c>
      <c r="T9" s="4">
        <v>205.12943999999999</v>
      </c>
      <c r="U9" s="4">
        <v>210.83935500000001</v>
      </c>
      <c r="V9" s="4">
        <v>216.53671299999999</v>
      </c>
      <c r="W9" s="4">
        <v>221.59942599999999</v>
      </c>
      <c r="X9" s="4">
        <v>226.16499300000001</v>
      </c>
      <c r="Y9" s="4">
        <v>227.99859599999999</v>
      </c>
      <c r="Z9" s="4">
        <v>229.783005</v>
      </c>
      <c r="AA9" s="4">
        <v>231.78083799999999</v>
      </c>
      <c r="AB9" s="4">
        <v>234.65727200000001</v>
      </c>
      <c r="AC9" s="4">
        <v>237.65715</v>
      </c>
      <c r="AD9" s="4">
        <v>241.02404799999999</v>
      </c>
      <c r="AE9" s="5">
        <v>1.5461243619201221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94.433730999999995</v>
      </c>
      <c r="E10" s="4">
        <v>91.832213999999993</v>
      </c>
      <c r="F10" s="4">
        <v>94.313384999999997</v>
      </c>
      <c r="G10" s="4">
        <v>97.933197000000007</v>
      </c>
      <c r="H10" s="4">
        <v>92.542770000000004</v>
      </c>
      <c r="I10" s="4">
        <v>91.209518000000003</v>
      </c>
      <c r="J10" s="4">
        <v>93.443648999999994</v>
      </c>
      <c r="K10" s="4">
        <v>107.478455</v>
      </c>
      <c r="L10" s="4">
        <v>122.88967100000001</v>
      </c>
      <c r="M10" s="4">
        <v>135.900665</v>
      </c>
      <c r="N10" s="4">
        <v>144.33068800000001</v>
      </c>
      <c r="O10" s="4">
        <v>155.197372</v>
      </c>
      <c r="P10" s="4">
        <v>164.82896400000001</v>
      </c>
      <c r="Q10" s="4">
        <v>174.09170499999999</v>
      </c>
      <c r="R10" s="4">
        <v>184.54608200000001</v>
      </c>
      <c r="S10" s="4">
        <v>195.287216</v>
      </c>
      <c r="T10" s="4">
        <v>203.838425</v>
      </c>
      <c r="U10" s="4">
        <v>210.00209000000001</v>
      </c>
      <c r="V10" s="4">
        <v>215.62501499999999</v>
      </c>
      <c r="W10" s="4">
        <v>220.75654599999999</v>
      </c>
      <c r="X10" s="4">
        <v>225.38279700000001</v>
      </c>
      <c r="Y10" s="4">
        <v>227.272659</v>
      </c>
      <c r="Z10" s="4">
        <v>229.14887999999999</v>
      </c>
      <c r="AA10" s="4">
        <v>231.14274599999999</v>
      </c>
      <c r="AB10" s="4">
        <v>234.02574200000001</v>
      </c>
      <c r="AC10" s="4">
        <v>235.75176999999999</v>
      </c>
      <c r="AD10" s="4">
        <v>239.222961</v>
      </c>
      <c r="AE10" s="5" cm="1">
        <f t="array" ref="AE10:AE14">(AD10:AD14-D10:D14)/D10:D14</f>
        <v>1.5332363602153982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80.599159</v>
      </c>
      <c r="E11" s="4">
        <v>78.378769000000005</v>
      </c>
      <c r="F11" s="4">
        <v>80.468520999999996</v>
      </c>
      <c r="G11" s="4">
        <v>83.558029000000005</v>
      </c>
      <c r="H11" s="4">
        <v>78.957145999999995</v>
      </c>
      <c r="I11" s="4">
        <v>77.819571999999994</v>
      </c>
      <c r="J11" s="4">
        <v>79.727348000000006</v>
      </c>
      <c r="K11" s="4">
        <v>91.707335999999998</v>
      </c>
      <c r="L11" s="4">
        <v>104.862846</v>
      </c>
      <c r="M11" s="4">
        <v>115.966263</v>
      </c>
      <c r="N11" s="4">
        <v>123.158371</v>
      </c>
      <c r="O11" s="4">
        <v>132.43298300000001</v>
      </c>
      <c r="P11" s="4">
        <v>140.653503</v>
      </c>
      <c r="Q11" s="4">
        <v>148.55931100000001</v>
      </c>
      <c r="R11" s="4">
        <v>157.50621000000001</v>
      </c>
      <c r="S11" s="4">
        <v>166.67759699999999</v>
      </c>
      <c r="T11" s="4">
        <v>173.97628800000001</v>
      </c>
      <c r="U11" s="4">
        <v>179.23722799999999</v>
      </c>
      <c r="V11" s="4">
        <v>184.035889</v>
      </c>
      <c r="W11" s="4">
        <v>188.415649</v>
      </c>
      <c r="X11" s="4">
        <v>192.36415099999999</v>
      </c>
      <c r="Y11" s="4">
        <v>193.977158</v>
      </c>
      <c r="Z11" s="4">
        <v>195.578506</v>
      </c>
      <c r="AA11" s="4">
        <v>197.28027299999999</v>
      </c>
      <c r="AB11" s="4">
        <v>199.740906</v>
      </c>
      <c r="AC11" s="4">
        <v>201.214066</v>
      </c>
      <c r="AD11" s="4">
        <v>204.17678799999999</v>
      </c>
      <c r="AE11" s="5">
        <v>1.5332372016437539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13.834567</v>
      </c>
      <c r="E12" s="4">
        <v>13.453443999999999</v>
      </c>
      <c r="F12" s="4">
        <v>13.844863999999999</v>
      </c>
      <c r="G12" s="4">
        <v>14.375166999999999</v>
      </c>
      <c r="H12" s="4">
        <v>13.585442</v>
      </c>
      <c r="I12" s="4">
        <v>13.390180000000001</v>
      </c>
      <c r="J12" s="4">
        <v>13.717644</v>
      </c>
      <c r="K12" s="4">
        <v>15.773967000000001</v>
      </c>
      <c r="L12" s="4">
        <v>18.032063999999998</v>
      </c>
      <c r="M12" s="4">
        <v>19.937926999999998</v>
      </c>
      <c r="N12" s="4">
        <v>21.172428</v>
      </c>
      <c r="O12" s="4">
        <v>22.764381</v>
      </c>
      <c r="P12" s="4">
        <v>24.175407</v>
      </c>
      <c r="Q12" s="4">
        <v>25.532409999999999</v>
      </c>
      <c r="R12" s="4">
        <v>27.040133000000001</v>
      </c>
      <c r="S12" s="4">
        <v>28.609632000000001</v>
      </c>
      <c r="T12" s="4">
        <v>29.862427</v>
      </c>
      <c r="U12" s="4">
        <v>30.765447999999999</v>
      </c>
      <c r="V12" s="4">
        <v>31.589123000000001</v>
      </c>
      <c r="W12" s="4">
        <v>32.340893000000001</v>
      </c>
      <c r="X12" s="4">
        <v>33.018642</v>
      </c>
      <c r="Y12" s="4">
        <v>33.295506000000003</v>
      </c>
      <c r="Z12" s="4">
        <v>33.570374000000001</v>
      </c>
      <c r="AA12" s="4">
        <v>33.862473000000001</v>
      </c>
      <c r="AB12" s="4">
        <v>34.284835999999999</v>
      </c>
      <c r="AC12" s="4">
        <v>34.537697000000001</v>
      </c>
      <c r="AD12" s="4">
        <v>35.046238000000002</v>
      </c>
      <c r="AE12" s="5">
        <v>1.5332370720384674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0.22937399999999999</v>
      </c>
      <c r="E13" s="4">
        <v>0.223055</v>
      </c>
      <c r="F13" s="4">
        <v>0.99867499999999998</v>
      </c>
      <c r="G13" s="4">
        <v>1.0074669999999999</v>
      </c>
      <c r="H13" s="4">
        <v>0.99437399999999998</v>
      </c>
      <c r="I13" s="4">
        <v>0.99113600000000002</v>
      </c>
      <c r="J13" s="4">
        <v>0.99656500000000003</v>
      </c>
      <c r="K13" s="4">
        <v>1.030659</v>
      </c>
      <c r="L13" s="4">
        <v>1.068098</v>
      </c>
      <c r="M13" s="4">
        <v>1.0996969999999999</v>
      </c>
      <c r="N13" s="4">
        <v>1.1201639999999999</v>
      </c>
      <c r="O13" s="4">
        <v>1.1465590000000001</v>
      </c>
      <c r="P13" s="4">
        <v>1.169953</v>
      </c>
      <c r="Q13" s="4">
        <v>1.1924520000000001</v>
      </c>
      <c r="R13" s="4">
        <v>0.55970299999999995</v>
      </c>
      <c r="S13" s="4">
        <v>0.47434199999999999</v>
      </c>
      <c r="T13" s="4">
        <v>0.49511300000000003</v>
      </c>
      <c r="U13" s="4">
        <v>0.51008500000000001</v>
      </c>
      <c r="V13" s="4">
        <v>0.52374100000000001</v>
      </c>
      <c r="W13" s="4">
        <v>0.53620500000000004</v>
      </c>
      <c r="X13" s="4">
        <v>0.54744199999999998</v>
      </c>
      <c r="Y13" s="4">
        <v>0.552033</v>
      </c>
      <c r="Z13" s="4">
        <v>0.55659000000000003</v>
      </c>
      <c r="AA13" s="4">
        <v>0.56143299999999996</v>
      </c>
      <c r="AB13" s="4">
        <v>0.56843500000000002</v>
      </c>
      <c r="AC13" s="4">
        <v>0.57262800000000003</v>
      </c>
      <c r="AD13" s="4">
        <v>0.58105899999999999</v>
      </c>
      <c r="AE13" s="5">
        <v>1.53323829204705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94.663109000000006</v>
      </c>
      <c r="E14" s="4">
        <v>92.055267000000001</v>
      </c>
      <c r="F14" s="4">
        <v>95.312056999999996</v>
      </c>
      <c r="G14" s="4">
        <v>98.940665999999993</v>
      </c>
      <c r="H14" s="4">
        <v>93.537148000000002</v>
      </c>
      <c r="I14" s="4">
        <v>92.200653000000003</v>
      </c>
      <c r="J14" s="4">
        <v>94.440216000000007</v>
      </c>
      <c r="K14" s="4">
        <v>108.509117</v>
      </c>
      <c r="L14" s="4">
        <v>123.95777099999999</v>
      </c>
      <c r="M14" s="4">
        <v>137.00036600000001</v>
      </c>
      <c r="N14" s="4">
        <v>145.450851</v>
      </c>
      <c r="O14" s="4">
        <v>156.34393299999999</v>
      </c>
      <c r="P14" s="4">
        <v>165.99891700000001</v>
      </c>
      <c r="Q14" s="4">
        <v>175.284164</v>
      </c>
      <c r="R14" s="4">
        <v>185.10578899999999</v>
      </c>
      <c r="S14" s="4">
        <v>195.761551</v>
      </c>
      <c r="T14" s="4">
        <v>204.33354199999999</v>
      </c>
      <c r="U14" s="4">
        <v>210.51217700000001</v>
      </c>
      <c r="V14" s="4">
        <v>216.14875799999999</v>
      </c>
      <c r="W14" s="4">
        <v>221.292755</v>
      </c>
      <c r="X14" s="4">
        <v>225.93023700000001</v>
      </c>
      <c r="Y14" s="4">
        <v>227.824692</v>
      </c>
      <c r="Z14" s="4">
        <v>229.70547500000001</v>
      </c>
      <c r="AA14" s="4">
        <v>231.70417800000001</v>
      </c>
      <c r="AB14" s="4">
        <v>234.594177</v>
      </c>
      <c r="AC14" s="4">
        <v>236.32440199999999</v>
      </c>
      <c r="AD14" s="4">
        <v>239.80401599999999</v>
      </c>
      <c r="AE14" s="5">
        <v>1.5332362155990458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</v>
      </c>
      <c r="H15" s="4">
        <v>7.3561829999999997</v>
      </c>
      <c r="I15" s="4">
        <v>11.702774</v>
      </c>
      <c r="J15" s="4">
        <v>13.078227999999999</v>
      </c>
      <c r="K15" s="4">
        <v>5.5885150000000001</v>
      </c>
      <c r="L15" s="4">
        <v>3.877373</v>
      </c>
      <c r="M15" s="4">
        <v>3.721482</v>
      </c>
      <c r="N15" s="4">
        <v>8.1270589999999991</v>
      </c>
      <c r="O15" s="4">
        <v>8.6217469999999992</v>
      </c>
      <c r="P15" s="4">
        <v>8.9922579999999996</v>
      </c>
      <c r="Q15" s="4">
        <v>9.2926009999999994</v>
      </c>
      <c r="R15" s="4">
        <v>6.0650019999999998</v>
      </c>
      <c r="S15" s="4">
        <v>2.9307280000000002</v>
      </c>
      <c r="T15" s="4">
        <v>0.79590799999999995</v>
      </c>
      <c r="U15" s="4">
        <v>0.32717499999999999</v>
      </c>
      <c r="V15" s="4">
        <v>0.387961</v>
      </c>
      <c r="W15" s="4">
        <v>0.30667100000000003</v>
      </c>
      <c r="X15" s="4">
        <v>0.23474900000000001</v>
      </c>
      <c r="Y15" s="4">
        <v>0.1739</v>
      </c>
      <c r="Z15" s="4">
        <v>7.7537999999999996E-2</v>
      </c>
      <c r="AA15" s="4">
        <v>7.6664999999999997E-2</v>
      </c>
      <c r="AB15" s="4">
        <v>6.3093999999999997E-2</v>
      </c>
      <c r="AC15" s="4">
        <v>1.3327530000000001</v>
      </c>
      <c r="AD15" s="4">
        <v>1.220024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128.72511299999999</v>
      </c>
      <c r="E16" s="4">
        <v>125.939201</v>
      </c>
      <c r="F16" s="4">
        <v>125.731255</v>
      </c>
      <c r="G16" s="4">
        <v>127.794449</v>
      </c>
      <c r="H16" s="4">
        <v>128.14054899999999</v>
      </c>
      <c r="I16" s="4">
        <v>128.97151199999999</v>
      </c>
      <c r="J16" s="4">
        <v>130.05921900000001</v>
      </c>
      <c r="K16" s="4">
        <v>131.246353</v>
      </c>
      <c r="L16" s="4">
        <v>132.801849</v>
      </c>
      <c r="M16" s="4">
        <v>134.67138700000001</v>
      </c>
      <c r="N16" s="4">
        <v>136.602722</v>
      </c>
      <c r="O16" s="4">
        <v>138.12283300000001</v>
      </c>
      <c r="P16" s="4">
        <v>139.23654199999999</v>
      </c>
      <c r="Q16" s="4">
        <v>140.56303399999999</v>
      </c>
      <c r="R16" s="4">
        <v>142.057861</v>
      </c>
      <c r="S16" s="4">
        <v>143.15222199999999</v>
      </c>
      <c r="T16" s="4">
        <v>143.78561400000001</v>
      </c>
      <c r="U16" s="4">
        <v>144.40057400000001</v>
      </c>
      <c r="V16" s="4">
        <v>145.113708</v>
      </c>
      <c r="W16" s="4">
        <v>145.79251099999999</v>
      </c>
      <c r="X16" s="4">
        <v>146.62287900000001</v>
      </c>
      <c r="Y16" s="4">
        <v>147.08573899999999</v>
      </c>
      <c r="Z16" s="4">
        <v>147.623932</v>
      </c>
      <c r="AA16" s="4">
        <v>147.86852999999999</v>
      </c>
      <c r="AB16" s="4">
        <v>148.59355199999999</v>
      </c>
      <c r="AC16" s="4">
        <v>149.23814400000001</v>
      </c>
      <c r="AD16" s="4">
        <v>149.98438999999999</v>
      </c>
      <c r="AE16" s="5" cm="1">
        <f t="array" ref="AE16:AE20">(AD16:AD20-D16:D20)/D16:D20</f>
        <v>0.16515252155964313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62.953136000000001</v>
      </c>
      <c r="E17" s="4">
        <v>62.953136000000001</v>
      </c>
      <c r="F17" s="4">
        <v>62.953136000000001</v>
      </c>
      <c r="G17" s="4">
        <v>62.953136000000001</v>
      </c>
      <c r="H17" s="4">
        <v>62.953136000000001</v>
      </c>
      <c r="I17" s="4">
        <v>62.953136000000001</v>
      </c>
      <c r="J17" s="4">
        <v>62.953136000000001</v>
      </c>
      <c r="K17" s="4">
        <v>62.953136000000001</v>
      </c>
      <c r="L17" s="4">
        <v>62.953136000000001</v>
      </c>
      <c r="M17" s="4">
        <v>62.953136000000001</v>
      </c>
      <c r="N17" s="4">
        <v>62.953136000000001</v>
      </c>
      <c r="O17" s="4">
        <v>62.953136000000001</v>
      </c>
      <c r="P17" s="4">
        <v>62.953136000000001</v>
      </c>
      <c r="Q17" s="4">
        <v>62.953136000000001</v>
      </c>
      <c r="R17" s="4">
        <v>62.953136000000001</v>
      </c>
      <c r="S17" s="4">
        <v>62.953136000000001</v>
      </c>
      <c r="T17" s="4">
        <v>62.953136000000001</v>
      </c>
      <c r="U17" s="4">
        <v>62.953136000000001</v>
      </c>
      <c r="V17" s="4">
        <v>62.953136000000001</v>
      </c>
      <c r="W17" s="4">
        <v>62.953136000000001</v>
      </c>
      <c r="X17" s="4">
        <v>62.953136000000001</v>
      </c>
      <c r="Y17" s="4">
        <v>62.953136000000001</v>
      </c>
      <c r="Z17" s="4">
        <v>62.953136000000001</v>
      </c>
      <c r="AA17" s="4">
        <v>62.953136000000001</v>
      </c>
      <c r="AB17" s="4">
        <v>62.953136000000001</v>
      </c>
      <c r="AC17" s="4">
        <v>62.953136000000001</v>
      </c>
      <c r="AD17" s="4">
        <v>62.953136000000001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65.771973000000003</v>
      </c>
      <c r="E18" s="4">
        <v>62.986065000000004</v>
      </c>
      <c r="F18" s="4">
        <v>62.778117999999999</v>
      </c>
      <c r="G18" s="4">
        <v>64.841308999999995</v>
      </c>
      <c r="H18" s="4">
        <v>65.187408000000005</v>
      </c>
      <c r="I18" s="4">
        <v>66.018371999999999</v>
      </c>
      <c r="J18" s="4">
        <v>67.106078999999994</v>
      </c>
      <c r="K18" s="4">
        <v>68.293212999999994</v>
      </c>
      <c r="L18" s="4">
        <v>69.848708999999999</v>
      </c>
      <c r="M18" s="4">
        <v>71.718245999999994</v>
      </c>
      <c r="N18" s="4">
        <v>73.649581999999995</v>
      </c>
      <c r="O18" s="4">
        <v>75.169692999999995</v>
      </c>
      <c r="P18" s="4">
        <v>76.283400999999998</v>
      </c>
      <c r="Q18" s="4">
        <v>77.609893999999997</v>
      </c>
      <c r="R18" s="4">
        <v>79.104720999999998</v>
      </c>
      <c r="S18" s="4">
        <v>80.199081000000007</v>
      </c>
      <c r="T18" s="4">
        <v>80.832474000000005</v>
      </c>
      <c r="U18" s="4">
        <v>81.447433000000004</v>
      </c>
      <c r="V18" s="4">
        <v>82.160567999999998</v>
      </c>
      <c r="W18" s="4">
        <v>82.839371</v>
      </c>
      <c r="X18" s="4">
        <v>83.669739000000007</v>
      </c>
      <c r="Y18" s="4">
        <v>84.132598999999999</v>
      </c>
      <c r="Z18" s="4">
        <v>84.670792000000006</v>
      </c>
      <c r="AA18" s="4">
        <v>84.915390000000002</v>
      </c>
      <c r="AB18" s="4">
        <v>85.640411</v>
      </c>
      <c r="AC18" s="4">
        <v>86.285004000000001</v>
      </c>
      <c r="AD18" s="4">
        <v>87.03125</v>
      </c>
      <c r="AE18" s="5">
        <v>0.32322699214147027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6.9044999999999995E-2</v>
      </c>
      <c r="E19" s="4">
        <v>0.37176399999999998</v>
      </c>
      <c r="F19" s="4">
        <v>0.83156399999999997</v>
      </c>
      <c r="G19" s="4">
        <v>1.5686549999999999</v>
      </c>
      <c r="H19" s="4">
        <v>2.7706330000000001</v>
      </c>
      <c r="I19" s="4">
        <v>4.2783530000000001</v>
      </c>
      <c r="J19" s="4">
        <v>5.9626219999999996</v>
      </c>
      <c r="K19" s="4">
        <v>9.6939799999999998</v>
      </c>
      <c r="L19" s="4">
        <v>18.200586000000001</v>
      </c>
      <c r="M19" s="4">
        <v>25.689067999999999</v>
      </c>
      <c r="N19" s="4">
        <v>33.005386000000001</v>
      </c>
      <c r="O19" s="4">
        <v>39.715000000000003</v>
      </c>
      <c r="P19" s="4">
        <v>45.788307000000003</v>
      </c>
      <c r="Q19" s="4">
        <v>51.355452999999997</v>
      </c>
      <c r="R19" s="4">
        <v>56.355742999999997</v>
      </c>
      <c r="S19" s="4">
        <v>60.859549999999999</v>
      </c>
      <c r="T19" s="4">
        <v>64.799301</v>
      </c>
      <c r="U19" s="4">
        <v>68.231742999999994</v>
      </c>
      <c r="V19" s="4">
        <v>71.482307000000006</v>
      </c>
      <c r="W19" s="4">
        <v>74.373565999999997</v>
      </c>
      <c r="X19" s="4">
        <v>76.887962000000002</v>
      </c>
      <c r="Y19" s="4">
        <v>79.101471000000004</v>
      </c>
      <c r="Z19" s="4">
        <v>81.105125000000001</v>
      </c>
      <c r="AA19" s="4">
        <v>82.939284999999998</v>
      </c>
      <c r="AB19" s="4">
        <v>84.613968</v>
      </c>
      <c r="AC19" s="4">
        <v>86.237007000000006</v>
      </c>
      <c r="AD19" s="4">
        <v>87.826103000000003</v>
      </c>
      <c r="AE19" s="5">
        <v>1271.0124990947934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7.7964460000000004</v>
      </c>
      <c r="E21" s="4">
        <v>9.9450120000000002</v>
      </c>
      <c r="F21" s="4">
        <v>10.757621</v>
      </c>
      <c r="G21" s="4">
        <v>10.705771</v>
      </c>
      <c r="H21" s="4">
        <v>10.944101</v>
      </c>
      <c r="I21" s="4">
        <v>11.316967999999999</v>
      </c>
      <c r="J21" s="4">
        <v>12.432935000000001</v>
      </c>
      <c r="K21" s="4">
        <v>13.432847000000001</v>
      </c>
      <c r="L21" s="4">
        <v>14.43905</v>
      </c>
      <c r="M21" s="4">
        <v>14.999264</v>
      </c>
      <c r="N21" s="4">
        <v>15.353035999999999</v>
      </c>
      <c r="O21" s="4">
        <v>15.553921000000001</v>
      </c>
      <c r="P21" s="4">
        <v>15.81601</v>
      </c>
      <c r="Q21" s="4">
        <v>15.775525</v>
      </c>
      <c r="R21" s="4">
        <v>17.920002</v>
      </c>
      <c r="S21" s="4">
        <v>15.495055000000001</v>
      </c>
      <c r="T21" s="4">
        <v>15.522906000000001</v>
      </c>
      <c r="U21" s="4">
        <v>15.564234000000001</v>
      </c>
      <c r="V21" s="4">
        <v>15.532360000000001</v>
      </c>
      <c r="W21" s="4">
        <v>15.374810999999999</v>
      </c>
      <c r="X21" s="4">
        <v>15.287144</v>
      </c>
      <c r="Y21" s="4">
        <v>15.262297</v>
      </c>
      <c r="Z21" s="4">
        <v>15.370747</v>
      </c>
      <c r="AA21" s="4">
        <v>15.517077</v>
      </c>
      <c r="AB21" s="4">
        <v>15.721022</v>
      </c>
      <c r="AC21" s="4">
        <v>15.999276</v>
      </c>
      <c r="AD21" s="4">
        <v>16.318573000000001</v>
      </c>
      <c r="AE21" s="5">
        <f>(AD21-D21)/D21</f>
        <v>1.0930784359950676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10.259968000000001</v>
      </c>
      <c r="E22" s="4">
        <v>12.408533</v>
      </c>
      <c r="F22" s="4">
        <v>13.221144000000001</v>
      </c>
      <c r="G22" s="4">
        <v>13.169292</v>
      </c>
      <c r="H22" s="4">
        <v>13.407622999999999</v>
      </c>
      <c r="I22" s="4">
        <v>13.780488999999999</v>
      </c>
      <c r="J22" s="4">
        <v>14.896456000000001</v>
      </c>
      <c r="K22" s="4">
        <v>15.896369</v>
      </c>
      <c r="L22" s="4">
        <v>16.902570999999998</v>
      </c>
      <c r="M22" s="4">
        <v>17.462783999999999</v>
      </c>
      <c r="N22" s="4">
        <v>17.816557</v>
      </c>
      <c r="O22" s="4">
        <v>18.017443</v>
      </c>
      <c r="P22" s="4">
        <v>18.279530999999999</v>
      </c>
      <c r="Q22" s="4">
        <v>18.239045999999998</v>
      </c>
      <c r="R22" s="4">
        <v>20.383524000000001</v>
      </c>
      <c r="S22" s="4">
        <v>17.958577999999999</v>
      </c>
      <c r="T22" s="4">
        <v>17.986426999999999</v>
      </c>
      <c r="U22" s="4">
        <v>18.027756</v>
      </c>
      <c r="V22" s="4">
        <v>17.995882000000002</v>
      </c>
      <c r="W22" s="4">
        <v>17.838332999999999</v>
      </c>
      <c r="X22" s="4">
        <v>17.750664</v>
      </c>
      <c r="Y22" s="4">
        <v>17.725816999999999</v>
      </c>
      <c r="Z22" s="4">
        <v>17.834268999999999</v>
      </c>
      <c r="AA22" s="4">
        <v>17.980599999999999</v>
      </c>
      <c r="AB22" s="4">
        <v>18.184543999999999</v>
      </c>
      <c r="AC22" s="4">
        <v>18.462796999999998</v>
      </c>
      <c r="AD22" s="4">
        <v>18.782095000000002</v>
      </c>
      <c r="AE22" s="5" cm="1">
        <f t="array" ref="AE22:AE24">(AD22:AD24-D22:D24)/D22:D24</f>
        <v>0.83061925729203057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60.350006</v>
      </c>
      <c r="E23" s="4">
        <v>62.499287000000002</v>
      </c>
      <c r="F23" s="4">
        <v>63.312778000000002</v>
      </c>
      <c r="G23" s="4">
        <v>63.260921000000003</v>
      </c>
      <c r="H23" s="4">
        <v>63.499251999999998</v>
      </c>
      <c r="I23" s="4">
        <v>63.872127999999996</v>
      </c>
      <c r="J23" s="4">
        <v>64.988097999999994</v>
      </c>
      <c r="K23" s="4">
        <v>65.988006999999996</v>
      </c>
      <c r="L23" s="4">
        <v>66.994247000000001</v>
      </c>
      <c r="M23" s="4">
        <v>67.554428000000001</v>
      </c>
      <c r="N23" s="4">
        <v>67.908164999999997</v>
      </c>
      <c r="O23" s="4">
        <v>68.109054999999998</v>
      </c>
      <c r="P23" s="4">
        <v>68.371139999999997</v>
      </c>
      <c r="Q23" s="4">
        <v>68.330650000000006</v>
      </c>
      <c r="R23" s="4">
        <v>70.470268000000004</v>
      </c>
      <c r="S23" s="4">
        <v>68.050185999999997</v>
      </c>
      <c r="T23" s="4">
        <v>68.078025999999994</v>
      </c>
      <c r="U23" s="4">
        <v>68.119377</v>
      </c>
      <c r="V23" s="4">
        <v>68.087494000000007</v>
      </c>
      <c r="W23" s="4">
        <v>67.929946999999999</v>
      </c>
      <c r="X23" s="4">
        <v>67.842285000000004</v>
      </c>
      <c r="Y23" s="4">
        <v>67.817429000000004</v>
      </c>
      <c r="Z23" s="4">
        <v>67.925888</v>
      </c>
      <c r="AA23" s="4">
        <v>68.072220000000002</v>
      </c>
      <c r="AB23" s="4">
        <v>68.276176000000007</v>
      </c>
      <c r="AC23" s="4">
        <v>68.554419999999993</v>
      </c>
      <c r="AD23" s="4">
        <v>68.873717999999997</v>
      </c>
      <c r="AE23" s="5">
        <v>0.14123796441710373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10.259968000000001</v>
      </c>
      <c r="E24" s="4">
        <v>12.408533</v>
      </c>
      <c r="F24" s="4">
        <v>13.221144000000001</v>
      </c>
      <c r="G24" s="4">
        <v>13.169292</v>
      </c>
      <c r="H24" s="4">
        <v>13.407622999999999</v>
      </c>
      <c r="I24" s="4">
        <v>13.780488999999999</v>
      </c>
      <c r="J24" s="4">
        <v>14.896456000000001</v>
      </c>
      <c r="K24" s="4">
        <v>15.896369</v>
      </c>
      <c r="L24" s="4">
        <v>16.902570999999998</v>
      </c>
      <c r="M24" s="4">
        <v>17.462783999999999</v>
      </c>
      <c r="N24" s="4">
        <v>17.816557</v>
      </c>
      <c r="O24" s="4">
        <v>18.017443</v>
      </c>
      <c r="P24" s="4">
        <v>18.279530999999999</v>
      </c>
      <c r="Q24" s="4">
        <v>18.239045999999998</v>
      </c>
      <c r="R24" s="4">
        <v>20.383524000000001</v>
      </c>
      <c r="S24" s="4">
        <v>17.958577999999999</v>
      </c>
      <c r="T24" s="4">
        <v>17.986426999999999</v>
      </c>
      <c r="U24" s="4">
        <v>18.027756</v>
      </c>
      <c r="V24" s="4">
        <v>17.995882000000002</v>
      </c>
      <c r="W24" s="4">
        <v>17.838332999999999</v>
      </c>
      <c r="X24" s="4">
        <v>17.750664</v>
      </c>
      <c r="Y24" s="4">
        <v>17.725816999999999</v>
      </c>
      <c r="Z24" s="4">
        <v>17.834268999999999</v>
      </c>
      <c r="AA24" s="4">
        <v>17.980599999999999</v>
      </c>
      <c r="AB24" s="4">
        <v>18.184543999999999</v>
      </c>
      <c r="AC24" s="4">
        <v>18.462796999999998</v>
      </c>
      <c r="AD24" s="4">
        <v>18.782095000000002</v>
      </c>
      <c r="AE24" s="5">
        <v>0.83061925729203057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81.828377000000003</v>
      </c>
      <c r="E2" s="4">
        <v>79.391632000000001</v>
      </c>
      <c r="F2" s="4">
        <v>76.421738000000005</v>
      </c>
      <c r="G2" s="4">
        <v>76.902252000000004</v>
      </c>
      <c r="H2" s="4">
        <v>61.306629000000001</v>
      </c>
      <c r="I2" s="4">
        <v>46.913639000000003</v>
      </c>
      <c r="J2" s="4">
        <v>34.936737000000001</v>
      </c>
      <c r="K2" s="4">
        <v>29.228672</v>
      </c>
      <c r="L2" s="4">
        <v>23.011510999999999</v>
      </c>
      <c r="M2" s="4">
        <v>22.402263999999999</v>
      </c>
      <c r="N2" s="4">
        <v>17.123203</v>
      </c>
      <c r="O2" s="4">
        <v>10.757892</v>
      </c>
      <c r="P2" s="4">
        <v>12.072963</v>
      </c>
      <c r="Q2" s="4">
        <v>13.335433999999999</v>
      </c>
      <c r="R2" s="4">
        <v>8.137397</v>
      </c>
      <c r="S2" s="4">
        <v>23.688110000000002</v>
      </c>
      <c r="T2" s="4">
        <v>33.132195000000003</v>
      </c>
      <c r="U2" s="4">
        <v>40.510891000000001</v>
      </c>
      <c r="V2" s="4">
        <v>51.980212999999999</v>
      </c>
      <c r="W2" s="4">
        <v>55.872585000000001</v>
      </c>
      <c r="X2" s="4">
        <v>65.503304</v>
      </c>
      <c r="Y2" s="4">
        <v>73.418198000000004</v>
      </c>
      <c r="Z2" s="4">
        <v>81.371207999999996</v>
      </c>
      <c r="AA2" s="4">
        <v>82.755493000000001</v>
      </c>
      <c r="AB2" s="4">
        <v>86.194732999999999</v>
      </c>
      <c r="AC2" s="4">
        <v>95.251755000000003</v>
      </c>
      <c r="AD2" s="4">
        <v>88.776168999999996</v>
      </c>
      <c r="AE2" s="5" cm="1">
        <f t="array" ref="AE2:AE6">(AD2:AD6-D2:D6)/D2:D6</f>
        <v>8.490687772042689E-2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</v>
      </c>
      <c r="H4" s="4">
        <v>16.283719999999999</v>
      </c>
      <c r="I4" s="4">
        <v>31.405550000000002</v>
      </c>
      <c r="J4" s="4">
        <v>44.734501000000002</v>
      </c>
      <c r="K4" s="4">
        <v>53.263500000000001</v>
      </c>
      <c r="L4" s="4">
        <v>64.727669000000006</v>
      </c>
      <c r="M4" s="4">
        <v>70.328468000000001</v>
      </c>
      <c r="N4" s="4">
        <v>80.704582000000002</v>
      </c>
      <c r="O4" s="4">
        <v>91.527016000000003</v>
      </c>
      <c r="P4" s="4">
        <v>94.347099</v>
      </c>
      <c r="Q4" s="4">
        <v>96.800010999999998</v>
      </c>
      <c r="R4" s="4">
        <v>105.522835</v>
      </c>
      <c r="S4" s="4">
        <v>93.062118999999996</v>
      </c>
      <c r="T4" s="4">
        <v>86.334807999999995</v>
      </c>
      <c r="U4" s="4">
        <v>81.387039000000001</v>
      </c>
      <c r="V4" s="4">
        <v>72.179732999999999</v>
      </c>
      <c r="W4" s="4">
        <v>70.280822999999998</v>
      </c>
      <c r="X4" s="4">
        <v>62.573245999999997</v>
      </c>
      <c r="Y4" s="4">
        <v>56.195095000000002</v>
      </c>
      <c r="Z4" s="4">
        <v>49.631374000000001</v>
      </c>
      <c r="AA4" s="4">
        <v>49.440792000000002</v>
      </c>
      <c r="AB4" s="4">
        <v>47.338771999999999</v>
      </c>
      <c r="AC4" s="4">
        <v>39.653004000000003</v>
      </c>
      <c r="AD4" s="4">
        <v>47.639847000000003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 t="e">
        <v>#DIV/0!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81.828377000000003</v>
      </c>
      <c r="E6" s="4">
        <v>79.391632000000001</v>
      </c>
      <c r="F6" s="4">
        <v>76.421738000000005</v>
      </c>
      <c r="G6" s="4">
        <v>76.902252000000004</v>
      </c>
      <c r="H6" s="4">
        <v>77.590355000000002</v>
      </c>
      <c r="I6" s="4">
        <v>78.319182999999995</v>
      </c>
      <c r="J6" s="4">
        <v>79.671242000000007</v>
      </c>
      <c r="K6" s="4">
        <v>82.492171999999997</v>
      </c>
      <c r="L6" s="4">
        <v>87.739182</v>
      </c>
      <c r="M6" s="4">
        <v>92.730721000000003</v>
      </c>
      <c r="N6" s="4">
        <v>97.827788999999996</v>
      </c>
      <c r="O6" s="4">
        <v>102.284904</v>
      </c>
      <c r="P6" s="4">
        <v>106.42005899999999</v>
      </c>
      <c r="Q6" s="4">
        <v>110.135445</v>
      </c>
      <c r="R6" s="4">
        <v>113.66024</v>
      </c>
      <c r="S6" s="4">
        <v>116.750237</v>
      </c>
      <c r="T6" s="4">
        <v>119.46700300000001</v>
      </c>
      <c r="U6" s="4">
        <v>121.897926</v>
      </c>
      <c r="V6" s="4">
        <v>124.15994999999999</v>
      </c>
      <c r="W6" s="4">
        <v>126.153412</v>
      </c>
      <c r="X6" s="4">
        <v>128.07655299999999</v>
      </c>
      <c r="Y6" s="4">
        <v>129.61329699999999</v>
      </c>
      <c r="Z6" s="4">
        <v>131.002579</v>
      </c>
      <c r="AA6" s="4">
        <v>132.19627399999999</v>
      </c>
      <c r="AB6" s="4">
        <v>133.53350800000001</v>
      </c>
      <c r="AC6" s="4">
        <v>134.90475499999999</v>
      </c>
      <c r="AD6" s="4">
        <v>136.41601600000001</v>
      </c>
      <c r="AE6" s="5">
        <v>0.6670991287044592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112.35292099999999</v>
      </c>
      <c r="E7" s="4">
        <v>109.007187</v>
      </c>
      <c r="F7" s="4">
        <v>104.929436</v>
      </c>
      <c r="G7" s="4">
        <v>105.589203</v>
      </c>
      <c r="H7" s="4">
        <v>84.188416000000004</v>
      </c>
      <c r="I7" s="4">
        <v>64.414306999999994</v>
      </c>
      <c r="J7" s="4">
        <v>47.968094000000001</v>
      </c>
      <c r="K7" s="4">
        <v>40.129944000000002</v>
      </c>
      <c r="L7" s="4">
        <v>31.590757</v>
      </c>
      <c r="M7" s="4">
        <v>30.739269</v>
      </c>
      <c r="N7" s="4">
        <v>23.505604000000002</v>
      </c>
      <c r="O7" s="4">
        <v>14.747140999999999</v>
      </c>
      <c r="P7" s="4">
        <v>16.553415000000001</v>
      </c>
      <c r="Q7" s="4">
        <v>18.307614999999998</v>
      </c>
      <c r="R7" s="4">
        <v>11.1729</v>
      </c>
      <c r="S7" s="4">
        <v>32.523857</v>
      </c>
      <c r="T7" s="4">
        <v>45.490516999999997</v>
      </c>
      <c r="U7" s="4">
        <v>55.621986</v>
      </c>
      <c r="V7" s="4">
        <v>71.359252999999995</v>
      </c>
      <c r="W7" s="4">
        <v>76.714813000000007</v>
      </c>
      <c r="X7" s="4">
        <v>89.937973</v>
      </c>
      <c r="Y7" s="4">
        <v>100.80439</v>
      </c>
      <c r="Z7" s="4">
        <v>111.723709</v>
      </c>
      <c r="AA7" s="4">
        <v>113.625877</v>
      </c>
      <c r="AB7" s="4">
        <v>118.348068</v>
      </c>
      <c r="AC7" s="4">
        <v>130.78362999999999</v>
      </c>
      <c r="AD7" s="4">
        <v>121.892471</v>
      </c>
      <c r="AE7" s="5" cm="1">
        <f t="array" ref="AE7:AE9">(AD7:AD9-D7:D9)/D7:D9</f>
        <v>8.4907004776493586E-2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0.272899</v>
      </c>
      <c r="E8" s="4">
        <v>0.26477200000000001</v>
      </c>
      <c r="F8" s="4">
        <v>0.25486799999999998</v>
      </c>
      <c r="G8" s="4">
        <v>0.25646999999999998</v>
      </c>
      <c r="H8" s="4">
        <v>22.680385999999999</v>
      </c>
      <c r="I8" s="4">
        <v>43.504584999999999</v>
      </c>
      <c r="J8" s="4">
        <v>61.862189999999998</v>
      </c>
      <c r="K8" s="4">
        <v>73.615470999999999</v>
      </c>
      <c r="L8" s="4">
        <v>89.418387999999993</v>
      </c>
      <c r="M8" s="4">
        <v>97.146950000000004</v>
      </c>
      <c r="N8" s="4">
        <v>111.451195</v>
      </c>
      <c r="O8" s="4">
        <v>126.367836</v>
      </c>
      <c r="P8" s="4">
        <v>130.26469399999999</v>
      </c>
      <c r="Q8" s="4">
        <v>133.65458699999999</v>
      </c>
      <c r="R8" s="4">
        <v>145.677109</v>
      </c>
      <c r="S8" s="4">
        <v>128.529831</v>
      </c>
      <c r="T8" s="4">
        <v>119.27581000000001</v>
      </c>
      <c r="U8" s="4">
        <v>112.471161</v>
      </c>
      <c r="V8" s="4">
        <v>99.800849999999997</v>
      </c>
      <c r="W8" s="4">
        <v>97.192818000000003</v>
      </c>
      <c r="X8" s="4">
        <v>86.586410999999998</v>
      </c>
      <c r="Y8" s="4">
        <v>77.809241999999998</v>
      </c>
      <c r="Z8" s="4">
        <v>68.776054000000002</v>
      </c>
      <c r="AA8" s="4">
        <v>68.517623999999998</v>
      </c>
      <c r="AB8" s="4">
        <v>65.627739000000005</v>
      </c>
      <c r="AC8" s="4">
        <v>55.049500000000002</v>
      </c>
      <c r="AD8" s="4">
        <v>66.051902999999996</v>
      </c>
      <c r="AE8" s="5">
        <v>241.03790779739023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112.625816</v>
      </c>
      <c r="E9" s="4">
        <v>109.271957</v>
      </c>
      <c r="F9" s="4">
        <v>105.184303</v>
      </c>
      <c r="G9" s="4">
        <v>105.84567300000001</v>
      </c>
      <c r="H9" s="4">
        <v>106.86880499999999</v>
      </c>
      <c r="I9" s="4">
        <v>107.918892</v>
      </c>
      <c r="J9" s="4">
        <v>109.83028400000001</v>
      </c>
      <c r="K9" s="4">
        <v>113.74541499999999</v>
      </c>
      <c r="L9" s="4">
        <v>121.009148</v>
      </c>
      <c r="M9" s="4">
        <v>127.88621500000001</v>
      </c>
      <c r="N9" s="4">
        <v>134.95680200000001</v>
      </c>
      <c r="O9" s="4">
        <v>141.11497499999999</v>
      </c>
      <c r="P9" s="4">
        <v>146.81811500000001</v>
      </c>
      <c r="Q9" s="4">
        <v>151.96220400000001</v>
      </c>
      <c r="R9" s="4">
        <v>156.85000600000001</v>
      </c>
      <c r="S9" s="4">
        <v>161.05368000000001</v>
      </c>
      <c r="T9" s="4">
        <v>164.76632699999999</v>
      </c>
      <c r="U9" s="4">
        <v>168.09314000000001</v>
      </c>
      <c r="V9" s="4">
        <v>171.16009500000001</v>
      </c>
      <c r="W9" s="4">
        <v>173.907623</v>
      </c>
      <c r="X9" s="4">
        <v>176.524384</v>
      </c>
      <c r="Y9" s="4">
        <v>178.613632</v>
      </c>
      <c r="Z9" s="4">
        <v>180.49975599999999</v>
      </c>
      <c r="AA9" s="4">
        <v>182.143494</v>
      </c>
      <c r="AB9" s="4">
        <v>183.97579999999999</v>
      </c>
      <c r="AC9" s="4">
        <v>185.83313000000001</v>
      </c>
      <c r="AD9" s="4">
        <v>187.944366</v>
      </c>
      <c r="AE9" s="5">
        <v>0.66875031564699161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112.35292099999999</v>
      </c>
      <c r="E10" s="4">
        <v>109.007187</v>
      </c>
      <c r="F10" s="4">
        <v>104.929436</v>
      </c>
      <c r="G10" s="4">
        <v>105.589203</v>
      </c>
      <c r="H10" s="4">
        <v>84.188416000000004</v>
      </c>
      <c r="I10" s="4">
        <v>64.414306999999994</v>
      </c>
      <c r="J10" s="4">
        <v>47.968094000000001</v>
      </c>
      <c r="K10" s="4">
        <v>40.129944000000002</v>
      </c>
      <c r="L10" s="4">
        <v>31.590757</v>
      </c>
      <c r="M10" s="4">
        <v>30.739269</v>
      </c>
      <c r="N10" s="4">
        <v>23.505604000000002</v>
      </c>
      <c r="O10" s="4">
        <v>14.747140999999999</v>
      </c>
      <c r="P10" s="4">
        <v>16.553415000000001</v>
      </c>
      <c r="Q10" s="4">
        <v>18.307614999999998</v>
      </c>
      <c r="R10" s="4">
        <v>11.1729</v>
      </c>
      <c r="S10" s="4">
        <v>32.523857</v>
      </c>
      <c r="T10" s="4">
        <v>45.490516999999997</v>
      </c>
      <c r="U10" s="4">
        <v>55.621986</v>
      </c>
      <c r="V10" s="4">
        <v>71.359252999999995</v>
      </c>
      <c r="W10" s="4">
        <v>76.714813000000007</v>
      </c>
      <c r="X10" s="4">
        <v>89.937973</v>
      </c>
      <c r="Y10" s="4">
        <v>100.80439</v>
      </c>
      <c r="Z10" s="4">
        <v>111.723709</v>
      </c>
      <c r="AA10" s="4">
        <v>113.625877</v>
      </c>
      <c r="AB10" s="4">
        <v>118.348068</v>
      </c>
      <c r="AC10" s="4">
        <v>130.78362999999999</v>
      </c>
      <c r="AD10" s="4">
        <v>121.892471</v>
      </c>
      <c r="AE10" s="5" cm="1">
        <f t="array" ref="AE10:AE14">(AD10:AD14-D10:D14)/D10:D14</f>
        <v>8.4907004776493586E-2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95.893187999999995</v>
      </c>
      <c r="E11" s="4">
        <v>93.037604999999999</v>
      </c>
      <c r="F11" s="4">
        <v>89.557243</v>
      </c>
      <c r="G11" s="4">
        <v>90.120354000000006</v>
      </c>
      <c r="H11" s="4">
        <v>71.844123999999994</v>
      </c>
      <c r="I11" s="4">
        <v>54.977241999999997</v>
      </c>
      <c r="J11" s="4">
        <v>40.941727</v>
      </c>
      <c r="K11" s="4">
        <v>34.252552000000001</v>
      </c>
      <c r="L11" s="4">
        <v>26.96677</v>
      </c>
      <c r="M11" s="4">
        <v>26.252806</v>
      </c>
      <c r="N11" s="4">
        <v>20.066369999999999</v>
      </c>
      <c r="O11" s="4">
        <v>12.606977000000001</v>
      </c>
      <c r="P11" s="4">
        <v>14.148085999999999</v>
      </c>
      <c r="Q11" s="4">
        <v>15.627552</v>
      </c>
      <c r="R11" s="4">
        <v>9.5360669999999992</v>
      </c>
      <c r="S11" s="4">
        <v>27.759665999999999</v>
      </c>
      <c r="T11" s="4">
        <v>38.827015000000003</v>
      </c>
      <c r="U11" s="4">
        <v>47.473976</v>
      </c>
      <c r="V11" s="4">
        <v>60.914664999999999</v>
      </c>
      <c r="W11" s="4">
        <v>65.476067</v>
      </c>
      <c r="X11" s="4">
        <v>76.762137999999993</v>
      </c>
      <c r="Y11" s="4">
        <v>86.037459999999996</v>
      </c>
      <c r="Z11" s="4">
        <v>95.357437000000004</v>
      </c>
      <c r="AA11" s="4">
        <v>96.979652000000002</v>
      </c>
      <c r="AB11" s="4">
        <v>101.010048</v>
      </c>
      <c r="AC11" s="4">
        <v>111.623795</v>
      </c>
      <c r="AD11" s="4">
        <v>104.03518699999999</v>
      </c>
      <c r="AE11" s="5">
        <v>8.4906959188800757E-2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16.459734000000001</v>
      </c>
      <c r="E12" s="4">
        <v>15.969583</v>
      </c>
      <c r="F12" s="4">
        <v>15.37219</v>
      </c>
      <c r="G12" s="4">
        <v>15.468847</v>
      </c>
      <c r="H12" s="4">
        <v>12.331795</v>
      </c>
      <c r="I12" s="4">
        <v>9.4366529999999997</v>
      </c>
      <c r="J12" s="4">
        <v>7.0275049999999997</v>
      </c>
      <c r="K12" s="4">
        <v>5.8793319999999998</v>
      </c>
      <c r="L12" s="4">
        <v>4.6287529999999997</v>
      </c>
      <c r="M12" s="4">
        <v>4.5062030000000002</v>
      </c>
      <c r="N12" s="4">
        <v>3.4443229999999998</v>
      </c>
      <c r="O12" s="4">
        <v>2.1639439999999999</v>
      </c>
      <c r="P12" s="4">
        <v>2.4284699999999999</v>
      </c>
      <c r="Q12" s="4">
        <v>2.6824150000000002</v>
      </c>
      <c r="R12" s="4">
        <v>1.636833</v>
      </c>
      <c r="S12" s="4">
        <v>4.7648510000000002</v>
      </c>
      <c r="T12" s="4">
        <v>6.664523</v>
      </c>
      <c r="U12" s="4">
        <v>8.1487440000000007</v>
      </c>
      <c r="V12" s="4">
        <v>10.455791</v>
      </c>
      <c r="W12" s="4">
        <v>11.23874</v>
      </c>
      <c r="X12" s="4">
        <v>13.175955</v>
      </c>
      <c r="Y12" s="4">
        <v>14.768031000000001</v>
      </c>
      <c r="Z12" s="4">
        <v>16.367775000000002</v>
      </c>
      <c r="AA12" s="4">
        <v>16.646221000000001</v>
      </c>
      <c r="AB12" s="4">
        <v>17.338024000000001</v>
      </c>
      <c r="AC12" s="4">
        <v>19.159838000000001</v>
      </c>
      <c r="AD12" s="4">
        <v>17.857278999999998</v>
      </c>
      <c r="AE12" s="5">
        <v>8.4906900682598957E-2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0.272899</v>
      </c>
      <c r="E13" s="4">
        <v>0.26477200000000001</v>
      </c>
      <c r="F13" s="4">
        <v>0.25486799999999998</v>
      </c>
      <c r="G13" s="4">
        <v>0.25646999999999998</v>
      </c>
      <c r="H13" s="4">
        <v>0.204459</v>
      </c>
      <c r="I13" s="4">
        <v>0.15645800000000001</v>
      </c>
      <c r="J13" s="4">
        <v>0.11651499999999999</v>
      </c>
      <c r="K13" s="4">
        <v>9.7477999999999995E-2</v>
      </c>
      <c r="L13" s="4">
        <v>7.6744000000000007E-2</v>
      </c>
      <c r="M13" s="4">
        <v>7.4712000000000001E-2</v>
      </c>
      <c r="N13" s="4">
        <v>5.7105999999999997E-2</v>
      </c>
      <c r="O13" s="4">
        <v>3.5878E-2</v>
      </c>
      <c r="P13" s="4">
        <v>4.0264000000000001E-2</v>
      </c>
      <c r="Q13" s="4">
        <v>4.4474E-2</v>
      </c>
      <c r="R13" s="4">
        <v>2.7137999999999999E-2</v>
      </c>
      <c r="S13" s="4">
        <v>7.9000000000000001E-2</v>
      </c>
      <c r="T13" s="4">
        <v>0.110496</v>
      </c>
      <c r="U13" s="4">
        <v>0.135104</v>
      </c>
      <c r="V13" s="4">
        <v>0.17335500000000001</v>
      </c>
      <c r="W13" s="4">
        <v>0.186336</v>
      </c>
      <c r="X13" s="4">
        <v>0.21845500000000001</v>
      </c>
      <c r="Y13" s="4">
        <v>0.24485100000000001</v>
      </c>
      <c r="Z13" s="4">
        <v>0.271374</v>
      </c>
      <c r="AA13" s="4">
        <v>0.27599099999999999</v>
      </c>
      <c r="AB13" s="4">
        <v>0.28746100000000002</v>
      </c>
      <c r="AC13" s="4">
        <v>0.317666</v>
      </c>
      <c r="AD13" s="4">
        <v>0.29607</v>
      </c>
      <c r="AE13" s="5">
        <v>8.490687030732981E-2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112.625816</v>
      </c>
      <c r="E14" s="4">
        <v>109.271957</v>
      </c>
      <c r="F14" s="4">
        <v>105.184303</v>
      </c>
      <c r="G14" s="4">
        <v>105.84567300000001</v>
      </c>
      <c r="H14" s="4">
        <v>84.392876000000001</v>
      </c>
      <c r="I14" s="4">
        <v>64.570762999999999</v>
      </c>
      <c r="J14" s="4">
        <v>48.084609999999998</v>
      </c>
      <c r="K14" s="4">
        <v>40.227421</v>
      </c>
      <c r="L14" s="4">
        <v>31.667501000000001</v>
      </c>
      <c r="M14" s="4">
        <v>30.813981999999999</v>
      </c>
      <c r="N14" s="4">
        <v>23.562709999999999</v>
      </c>
      <c r="O14" s="4">
        <v>14.783018999999999</v>
      </c>
      <c r="P14" s="4">
        <v>16.593679000000002</v>
      </c>
      <c r="Q14" s="4">
        <v>18.352088999999999</v>
      </c>
      <c r="R14" s="4">
        <v>11.200039</v>
      </c>
      <c r="S14" s="4">
        <v>32.602856000000003</v>
      </c>
      <c r="T14" s="4">
        <v>45.601013000000002</v>
      </c>
      <c r="U14" s="4">
        <v>55.757092</v>
      </c>
      <c r="V14" s="4">
        <v>71.532607999999996</v>
      </c>
      <c r="W14" s="4">
        <v>76.901145999999997</v>
      </c>
      <c r="X14" s="4">
        <v>90.156424999999999</v>
      </c>
      <c r="Y14" s="4">
        <v>101.04924</v>
      </c>
      <c r="Z14" s="4">
        <v>111.995087</v>
      </c>
      <c r="AA14" s="4">
        <v>113.901871</v>
      </c>
      <c r="AB14" s="4">
        <v>118.63552900000001</v>
      </c>
      <c r="AC14" s="4">
        <v>131.101303</v>
      </c>
      <c r="AD14" s="4">
        <v>122.18853799999999</v>
      </c>
      <c r="AE14" s="5">
        <v>8.4907016345168979E-2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</v>
      </c>
      <c r="H15" s="4">
        <v>22.475926999999999</v>
      </c>
      <c r="I15" s="4">
        <v>43.348125000000003</v>
      </c>
      <c r="J15" s="4">
        <v>61.745674000000001</v>
      </c>
      <c r="K15" s="4">
        <v>73.517989999999998</v>
      </c>
      <c r="L15" s="4">
        <v>89.341644000000002</v>
      </c>
      <c r="M15" s="4">
        <v>97.072243</v>
      </c>
      <c r="N15" s="4">
        <v>111.39408899999999</v>
      </c>
      <c r="O15" s="4">
        <v>126.33195499999999</v>
      </c>
      <c r="P15" s="4">
        <v>130.22444200000001</v>
      </c>
      <c r="Q15" s="4">
        <v>133.610107</v>
      </c>
      <c r="R15" s="4">
        <v>145.64996300000001</v>
      </c>
      <c r="S15" s="4">
        <v>128.45082099999999</v>
      </c>
      <c r="T15" s="4">
        <v>119.16532100000001</v>
      </c>
      <c r="U15" s="4">
        <v>112.336052</v>
      </c>
      <c r="V15" s="4">
        <v>99.627494999999996</v>
      </c>
      <c r="W15" s="4">
        <v>97.006484999999998</v>
      </c>
      <c r="X15" s="4">
        <v>86.367949999999993</v>
      </c>
      <c r="Y15" s="4">
        <v>77.564391999999998</v>
      </c>
      <c r="Z15" s="4">
        <v>68.504683999999997</v>
      </c>
      <c r="AA15" s="4">
        <v>68.241630999999998</v>
      </c>
      <c r="AB15" s="4">
        <v>65.340278999999995</v>
      </c>
      <c r="AC15" s="4">
        <v>54.731833999999999</v>
      </c>
      <c r="AD15" s="4">
        <v>65.755836000000002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81.798507999999998</v>
      </c>
      <c r="E16" s="4">
        <v>79.157096999999993</v>
      </c>
      <c r="F16" s="4">
        <v>76.014122</v>
      </c>
      <c r="G16" s="4">
        <v>76.171798999999993</v>
      </c>
      <c r="H16" s="4">
        <v>76.273681999999994</v>
      </c>
      <c r="I16" s="4">
        <v>76.249954000000002</v>
      </c>
      <c r="J16" s="4">
        <v>76.793655000000001</v>
      </c>
      <c r="K16" s="4">
        <v>77.837729999999993</v>
      </c>
      <c r="L16" s="4">
        <v>78.993515000000002</v>
      </c>
      <c r="M16" s="4">
        <v>80.331039000000004</v>
      </c>
      <c r="N16" s="4">
        <v>81.797188000000006</v>
      </c>
      <c r="O16" s="4">
        <v>82.911354000000003</v>
      </c>
      <c r="P16" s="4">
        <v>83.951492000000002</v>
      </c>
      <c r="Q16" s="4">
        <v>84.861030999999997</v>
      </c>
      <c r="R16" s="4">
        <v>85.879661999999996</v>
      </c>
      <c r="S16" s="4">
        <v>86.643349000000001</v>
      </c>
      <c r="T16" s="4">
        <v>87.333893000000003</v>
      </c>
      <c r="U16" s="4">
        <v>88.043068000000005</v>
      </c>
      <c r="V16" s="4">
        <v>88.622451999999996</v>
      </c>
      <c r="W16" s="4">
        <v>89.133742999999996</v>
      </c>
      <c r="X16" s="4">
        <v>89.736259000000004</v>
      </c>
      <c r="Y16" s="4">
        <v>90.100662</v>
      </c>
      <c r="Z16" s="4">
        <v>90.444862000000001</v>
      </c>
      <c r="AA16" s="4">
        <v>90.685394000000002</v>
      </c>
      <c r="AB16" s="4">
        <v>91.201012000000006</v>
      </c>
      <c r="AC16" s="4">
        <v>91.713454999999996</v>
      </c>
      <c r="AD16" s="4">
        <v>92.326133999999996</v>
      </c>
      <c r="AE16" s="5" cm="1">
        <f t="array" ref="AE16:AE20">(AD16:AD20-D16:D20)/D16:D20</f>
        <v>0.12870193182496675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20.834489999999999</v>
      </c>
      <c r="E17" s="4">
        <v>20.834489999999999</v>
      </c>
      <c r="F17" s="4">
        <v>20.834489999999999</v>
      </c>
      <c r="G17" s="4">
        <v>20.834489999999999</v>
      </c>
      <c r="H17" s="4">
        <v>20.834489999999999</v>
      </c>
      <c r="I17" s="4">
        <v>20.834489999999999</v>
      </c>
      <c r="J17" s="4">
        <v>20.834489999999999</v>
      </c>
      <c r="K17" s="4">
        <v>20.834489999999999</v>
      </c>
      <c r="L17" s="4">
        <v>20.834489999999999</v>
      </c>
      <c r="M17" s="4">
        <v>20.834489999999999</v>
      </c>
      <c r="N17" s="4">
        <v>20.834489999999999</v>
      </c>
      <c r="O17" s="4">
        <v>20.834489999999999</v>
      </c>
      <c r="P17" s="4">
        <v>20.834489999999999</v>
      </c>
      <c r="Q17" s="4">
        <v>20.834489999999999</v>
      </c>
      <c r="R17" s="4">
        <v>20.834489999999999</v>
      </c>
      <c r="S17" s="4">
        <v>20.834489999999999</v>
      </c>
      <c r="T17" s="4">
        <v>20.834489999999999</v>
      </c>
      <c r="U17" s="4">
        <v>20.834489999999999</v>
      </c>
      <c r="V17" s="4">
        <v>20.834489999999999</v>
      </c>
      <c r="W17" s="4">
        <v>20.834489999999999</v>
      </c>
      <c r="X17" s="4">
        <v>20.834489999999999</v>
      </c>
      <c r="Y17" s="4">
        <v>20.834489999999999</v>
      </c>
      <c r="Z17" s="4">
        <v>20.834489999999999</v>
      </c>
      <c r="AA17" s="4">
        <v>20.834489999999999</v>
      </c>
      <c r="AB17" s="4">
        <v>20.834489999999999</v>
      </c>
      <c r="AC17" s="4">
        <v>20.834489999999999</v>
      </c>
      <c r="AD17" s="4">
        <v>20.834489999999999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60.964019999999998</v>
      </c>
      <c r="E18" s="4">
        <v>58.322609</v>
      </c>
      <c r="F18" s="4">
        <v>55.179634</v>
      </c>
      <c r="G18" s="4">
        <v>55.337311</v>
      </c>
      <c r="H18" s="4">
        <v>55.439194000000001</v>
      </c>
      <c r="I18" s="4">
        <v>55.415466000000002</v>
      </c>
      <c r="J18" s="4">
        <v>55.959167000000001</v>
      </c>
      <c r="K18" s="4">
        <v>57.003242</v>
      </c>
      <c r="L18" s="4">
        <v>58.159027000000002</v>
      </c>
      <c r="M18" s="4">
        <v>59.496552000000001</v>
      </c>
      <c r="N18" s="4">
        <v>60.962699999999998</v>
      </c>
      <c r="O18" s="4">
        <v>62.076866000000003</v>
      </c>
      <c r="P18" s="4">
        <v>63.117004000000001</v>
      </c>
      <c r="Q18" s="4">
        <v>64.026543000000004</v>
      </c>
      <c r="R18" s="4">
        <v>65.045174000000003</v>
      </c>
      <c r="S18" s="4">
        <v>65.808860999999993</v>
      </c>
      <c r="T18" s="4">
        <v>66.499404999999996</v>
      </c>
      <c r="U18" s="4">
        <v>67.208579999999998</v>
      </c>
      <c r="V18" s="4">
        <v>67.787964000000002</v>
      </c>
      <c r="W18" s="4">
        <v>68.299255000000002</v>
      </c>
      <c r="X18" s="4">
        <v>68.901771999999994</v>
      </c>
      <c r="Y18" s="4">
        <v>69.266174000000007</v>
      </c>
      <c r="Z18" s="4">
        <v>69.610373999999993</v>
      </c>
      <c r="AA18" s="4">
        <v>69.850905999999995</v>
      </c>
      <c r="AB18" s="4">
        <v>70.366523999999998</v>
      </c>
      <c r="AC18" s="4">
        <v>70.878967000000003</v>
      </c>
      <c r="AD18" s="4">
        <v>71.491646000000003</v>
      </c>
      <c r="AE18" s="5">
        <v>0.17268588915232305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2.9862E-2</v>
      </c>
      <c r="E19" s="4">
        <v>0.17281199999999999</v>
      </c>
      <c r="F19" s="4">
        <v>0.38897900000000002</v>
      </c>
      <c r="G19" s="4">
        <v>0.73624299999999998</v>
      </c>
      <c r="H19" s="4">
        <v>1.308306</v>
      </c>
      <c r="I19" s="4">
        <v>2.0308679999999999</v>
      </c>
      <c r="J19" s="4">
        <v>2.8385090000000002</v>
      </c>
      <c r="K19" s="4">
        <v>4.636298</v>
      </c>
      <c r="L19" s="4">
        <v>8.7284970000000008</v>
      </c>
      <c r="M19" s="4">
        <v>12.35815</v>
      </c>
      <c r="N19" s="4">
        <v>15.957563</v>
      </c>
      <c r="O19" s="4">
        <v>19.291771000000001</v>
      </c>
      <c r="P19" s="4">
        <v>22.336940999999999</v>
      </c>
      <c r="Q19" s="4">
        <v>25.112219</v>
      </c>
      <c r="R19" s="4">
        <v>27.622862000000001</v>
      </c>
      <c r="S19" s="4">
        <v>29.916810999999999</v>
      </c>
      <c r="T19" s="4">
        <v>31.927536</v>
      </c>
      <c r="U19" s="4">
        <v>33.654761999999998</v>
      </c>
      <c r="V19" s="4">
        <v>35.299689999999998</v>
      </c>
      <c r="W19" s="4">
        <v>36.731419000000002</v>
      </c>
      <c r="X19" s="4">
        <v>37.997199999999999</v>
      </c>
      <c r="Y19" s="4">
        <v>39.139885</v>
      </c>
      <c r="Z19" s="4">
        <v>40.194575999999998</v>
      </c>
      <c r="AA19" s="4">
        <v>41.171379000000002</v>
      </c>
      <c r="AB19" s="4">
        <v>42.078220000000002</v>
      </c>
      <c r="AC19" s="4">
        <v>42.967945</v>
      </c>
      <c r="AD19" s="4">
        <v>43.851317999999999</v>
      </c>
      <c r="AE19" s="5">
        <v>1467.465541490858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7.0245360000000003</v>
      </c>
      <c r="E21" s="4">
        <v>9.2462949999999999</v>
      </c>
      <c r="F21" s="4">
        <v>9.6855740000000008</v>
      </c>
      <c r="G21" s="4">
        <v>9.6481840000000005</v>
      </c>
      <c r="H21" s="4">
        <v>10.004272</v>
      </c>
      <c r="I21" s="4">
        <v>10.415245000000001</v>
      </c>
      <c r="J21" s="4">
        <v>11.658459000000001</v>
      </c>
      <c r="K21" s="4">
        <v>12.69426</v>
      </c>
      <c r="L21" s="4">
        <v>13.630651</v>
      </c>
      <c r="M21" s="4">
        <v>14.141308</v>
      </c>
      <c r="N21" s="4">
        <v>14.096334000000001</v>
      </c>
      <c r="O21" s="4">
        <v>14.121283999999999</v>
      </c>
      <c r="P21" s="4">
        <v>14.117061</v>
      </c>
      <c r="Q21" s="4">
        <v>14.620374</v>
      </c>
      <c r="R21" s="4">
        <v>14.127719000000001</v>
      </c>
      <c r="S21" s="4">
        <v>14.646592</v>
      </c>
      <c r="T21" s="4">
        <v>15.042831</v>
      </c>
      <c r="U21" s="4">
        <v>15.107998</v>
      </c>
      <c r="V21" s="4">
        <v>15.078956</v>
      </c>
      <c r="W21" s="4">
        <v>14.886034</v>
      </c>
      <c r="X21" s="4">
        <v>15.044827</v>
      </c>
      <c r="Y21" s="4">
        <v>15.065696000000001</v>
      </c>
      <c r="Z21" s="4">
        <v>15.209579</v>
      </c>
      <c r="AA21" s="4">
        <v>15.511224</v>
      </c>
      <c r="AB21" s="4">
        <v>15.867290000000001</v>
      </c>
      <c r="AC21" s="4">
        <v>16.182099999999998</v>
      </c>
      <c r="AD21" s="4">
        <v>16.486253999999999</v>
      </c>
      <c r="AE21" s="5">
        <f>(AD21-D21)/D21</f>
        <v>1.3469527382306814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9.4880569999999995</v>
      </c>
      <c r="E22" s="4">
        <v>11.709816999999999</v>
      </c>
      <c r="F22" s="4">
        <v>12.149096</v>
      </c>
      <c r="G22" s="4">
        <v>12.111706999999999</v>
      </c>
      <c r="H22" s="4">
        <v>12.467794</v>
      </c>
      <c r="I22" s="4">
        <v>12.878768000000001</v>
      </c>
      <c r="J22" s="4">
        <v>14.121980000000001</v>
      </c>
      <c r="K22" s="4">
        <v>15.157781999999999</v>
      </c>
      <c r="L22" s="4">
        <v>16.094173000000001</v>
      </c>
      <c r="M22" s="4">
        <v>16.60483</v>
      </c>
      <c r="N22" s="4">
        <v>16.559856</v>
      </c>
      <c r="O22" s="4">
        <v>16.584806</v>
      </c>
      <c r="P22" s="4">
        <v>16.580582</v>
      </c>
      <c r="Q22" s="4">
        <v>17.083894999999998</v>
      </c>
      <c r="R22" s="4">
        <v>16.591242000000001</v>
      </c>
      <c r="S22" s="4">
        <v>17.110112999999998</v>
      </c>
      <c r="T22" s="4">
        <v>17.506353000000001</v>
      </c>
      <c r="U22" s="4">
        <v>17.57152</v>
      </c>
      <c r="V22" s="4">
        <v>17.542479</v>
      </c>
      <c r="W22" s="4">
        <v>17.349556</v>
      </c>
      <c r="X22" s="4">
        <v>17.508348000000002</v>
      </c>
      <c r="Y22" s="4">
        <v>17.529216999999999</v>
      </c>
      <c r="Z22" s="4">
        <v>17.673100999999999</v>
      </c>
      <c r="AA22" s="4">
        <v>17.974744999999999</v>
      </c>
      <c r="AB22" s="4">
        <v>18.330812000000002</v>
      </c>
      <c r="AC22" s="4">
        <v>18.645621999999999</v>
      </c>
      <c r="AD22" s="4">
        <v>18.949777999999998</v>
      </c>
      <c r="AE22" s="5" cm="1">
        <f t="array" ref="AE22:AE24">(AD22:AD24-D22:D24)/D22:D24</f>
        <v>0.99722429998049122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59.578110000000002</v>
      </c>
      <c r="E23" s="4">
        <v>61.800545</v>
      </c>
      <c r="F23" s="4">
        <v>62.240707</v>
      </c>
      <c r="G23" s="4">
        <v>62.203316000000001</v>
      </c>
      <c r="H23" s="4">
        <v>62.559406000000003</v>
      </c>
      <c r="I23" s="4">
        <v>62.970374999999997</v>
      </c>
      <c r="J23" s="4">
        <v>64.213584999999995</v>
      </c>
      <c r="K23" s="4">
        <v>65.249374000000003</v>
      </c>
      <c r="L23" s="4">
        <v>66.185767999999996</v>
      </c>
      <c r="M23" s="4">
        <v>66.696419000000006</v>
      </c>
      <c r="N23" s="4">
        <v>66.648505999999998</v>
      </c>
      <c r="O23" s="4">
        <v>66.666213999999997</v>
      </c>
      <c r="P23" s="4">
        <v>66.662064000000001</v>
      </c>
      <c r="Q23" s="4">
        <v>67.168960999999996</v>
      </c>
      <c r="R23" s="4">
        <v>66.678534999999997</v>
      </c>
      <c r="S23" s="4">
        <v>67.201042000000001</v>
      </c>
      <c r="T23" s="4">
        <v>67.597960999999998</v>
      </c>
      <c r="U23" s="4">
        <v>67.663123999999996</v>
      </c>
      <c r="V23" s="4">
        <v>67.634079</v>
      </c>
      <c r="W23" s="4">
        <v>67.441162000000006</v>
      </c>
      <c r="X23" s="4">
        <v>67.599959999999996</v>
      </c>
      <c r="Y23" s="4">
        <v>67.620818999999997</v>
      </c>
      <c r="Z23" s="4">
        <v>67.764717000000005</v>
      </c>
      <c r="AA23" s="4">
        <v>68.066353000000007</v>
      </c>
      <c r="AB23" s="4">
        <v>68.422416999999996</v>
      </c>
      <c r="AC23" s="4">
        <v>68.737228000000002</v>
      </c>
      <c r="AD23" s="4">
        <v>69.041388999999995</v>
      </c>
      <c r="AE23" s="5">
        <v>0.15883818738123773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9.4880569999999995</v>
      </c>
      <c r="E24" s="4">
        <v>11.709816999999999</v>
      </c>
      <c r="F24" s="4">
        <v>12.149096</v>
      </c>
      <c r="G24" s="4">
        <v>12.111706999999999</v>
      </c>
      <c r="H24" s="4">
        <v>12.467794</v>
      </c>
      <c r="I24" s="4">
        <v>12.878768000000001</v>
      </c>
      <c r="J24" s="4">
        <v>14.121980000000001</v>
      </c>
      <c r="K24" s="4">
        <v>15.157781999999999</v>
      </c>
      <c r="L24" s="4">
        <v>16.094173000000001</v>
      </c>
      <c r="M24" s="4">
        <v>16.60483</v>
      </c>
      <c r="N24" s="4">
        <v>16.559856</v>
      </c>
      <c r="O24" s="4">
        <v>16.584806</v>
      </c>
      <c r="P24" s="4">
        <v>16.580582</v>
      </c>
      <c r="Q24" s="4">
        <v>17.083894999999998</v>
      </c>
      <c r="R24" s="4">
        <v>16.591242000000001</v>
      </c>
      <c r="S24" s="4">
        <v>17.110112999999998</v>
      </c>
      <c r="T24" s="4">
        <v>17.506353000000001</v>
      </c>
      <c r="U24" s="4">
        <v>17.57152</v>
      </c>
      <c r="V24" s="4">
        <v>17.542479</v>
      </c>
      <c r="W24" s="4">
        <v>17.349556</v>
      </c>
      <c r="X24" s="4">
        <v>17.508348000000002</v>
      </c>
      <c r="Y24" s="4">
        <v>17.529216999999999</v>
      </c>
      <c r="Z24" s="4">
        <v>17.673100999999999</v>
      </c>
      <c r="AA24" s="4">
        <v>17.974744999999999</v>
      </c>
      <c r="AB24" s="4">
        <v>18.330812000000002</v>
      </c>
      <c r="AC24" s="4">
        <v>18.645621999999999</v>
      </c>
      <c r="AD24" s="4">
        <v>18.949777999999998</v>
      </c>
      <c r="AE24" s="5">
        <v>0.99722429998049122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0.42885899999999999</v>
      </c>
      <c r="T2" s="4">
        <v>3.0097369999999999</v>
      </c>
      <c r="U2" s="4">
        <v>3.1604019999999999</v>
      </c>
      <c r="V2" s="4">
        <v>2.5588199999999999</v>
      </c>
      <c r="W2" s="4">
        <v>4.7406030000000001</v>
      </c>
      <c r="X2" s="4">
        <v>4.7570129999999997</v>
      </c>
      <c r="Y2" s="4">
        <v>12.457642999999999</v>
      </c>
      <c r="Z2" s="4">
        <v>13.619612999999999</v>
      </c>
      <c r="AA2" s="4">
        <v>14.784756</v>
      </c>
      <c r="AB2" s="4">
        <v>14.784756</v>
      </c>
      <c r="AC2" s="4">
        <v>14.784756</v>
      </c>
      <c r="AD2" s="4">
        <v>12.874062</v>
      </c>
      <c r="AE2" s="5" t="e" cm="1">
        <f t="array" ref="AE2:AE6">(AD2:AD6-D2:D6)/D2:D6</f>
        <v>#DIV/0!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0.83280299999999996</v>
      </c>
      <c r="L4" s="4">
        <v>3.184469</v>
      </c>
      <c r="M4" s="4">
        <v>6.7645210000000002</v>
      </c>
      <c r="N4" s="4">
        <v>10.276762</v>
      </c>
      <c r="O4" s="4">
        <v>13.503738</v>
      </c>
      <c r="P4" s="4">
        <v>16.429766000000001</v>
      </c>
      <c r="Q4" s="4">
        <v>19.108854000000001</v>
      </c>
      <c r="R4" s="4">
        <v>20.647552000000001</v>
      </c>
      <c r="S4" s="4">
        <v>18.018518</v>
      </c>
      <c r="T4" s="4">
        <v>17.035591</v>
      </c>
      <c r="U4" s="4">
        <v>18.273665999999999</v>
      </c>
      <c r="V4" s="4">
        <v>20.190083000000001</v>
      </c>
      <c r="W4" s="4">
        <v>19.196562</v>
      </c>
      <c r="X4" s="4">
        <v>20.253325</v>
      </c>
      <c r="Y4" s="4">
        <v>13.444178000000001</v>
      </c>
      <c r="Z4" s="4">
        <v>13.122237999999999</v>
      </c>
      <c r="AA4" s="4">
        <v>12.70584</v>
      </c>
      <c r="AB4" s="4">
        <v>13.321142999999999</v>
      </c>
      <c r="AC4" s="4">
        <v>13.986579000000001</v>
      </c>
      <c r="AD4" s="4">
        <v>16.564465999999999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10.886903</v>
      </c>
      <c r="E5" s="4">
        <v>10.290274999999999</v>
      </c>
      <c r="F5" s="4">
        <v>10.290274999999999</v>
      </c>
      <c r="G5" s="4">
        <v>10.290274999999999</v>
      </c>
      <c r="H5" s="4">
        <v>10.290274999999999</v>
      </c>
      <c r="I5" s="4">
        <v>10.290274999999999</v>
      </c>
      <c r="J5" s="4">
        <v>10.290274999999999</v>
      </c>
      <c r="K5" s="4">
        <v>10.290274999999999</v>
      </c>
      <c r="L5" s="4">
        <v>10.290274999999999</v>
      </c>
      <c r="M5" s="4">
        <v>10.290274999999999</v>
      </c>
      <c r="N5" s="4">
        <v>10.290274999999999</v>
      </c>
      <c r="O5" s="4">
        <v>10.290274999999999</v>
      </c>
      <c r="P5" s="4">
        <v>10.290274999999999</v>
      </c>
      <c r="Q5" s="4">
        <v>10.290274999999999</v>
      </c>
      <c r="R5" s="4">
        <v>10.290274999999999</v>
      </c>
      <c r="S5" s="4">
        <v>10.290274999999999</v>
      </c>
      <c r="T5" s="4">
        <v>10.290274999999999</v>
      </c>
      <c r="U5" s="4">
        <v>10.290274999999999</v>
      </c>
      <c r="V5" s="4">
        <v>10.290274999999999</v>
      </c>
      <c r="W5" s="4">
        <v>10.290274999999999</v>
      </c>
      <c r="X5" s="4">
        <v>10.290274999999999</v>
      </c>
      <c r="Y5" s="4">
        <v>10.290274999999999</v>
      </c>
      <c r="Z5" s="4">
        <v>10.290274999999999</v>
      </c>
      <c r="AA5" s="4">
        <v>10.290274999999999</v>
      </c>
      <c r="AB5" s="4">
        <v>10.290274999999999</v>
      </c>
      <c r="AC5" s="4">
        <v>10.290274999999999</v>
      </c>
      <c r="AD5" s="4">
        <v>10.290274999999999</v>
      </c>
      <c r="AE5" s="5">
        <v>-5.4802362067522856E-2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10.886903</v>
      </c>
      <c r="E6" s="4">
        <v>10.290274999999999</v>
      </c>
      <c r="F6" s="4">
        <v>10.290274999999999</v>
      </c>
      <c r="G6" s="4">
        <v>10.290274999999999</v>
      </c>
      <c r="H6" s="4">
        <v>10.290274999999999</v>
      </c>
      <c r="I6" s="4">
        <v>10.290274999999999</v>
      </c>
      <c r="J6" s="4">
        <v>10.290274999999999</v>
      </c>
      <c r="K6" s="4">
        <v>11.123077</v>
      </c>
      <c r="L6" s="4">
        <v>13.474743</v>
      </c>
      <c r="M6" s="4">
        <v>17.054796</v>
      </c>
      <c r="N6" s="4">
        <v>20.567036000000002</v>
      </c>
      <c r="O6" s="4">
        <v>23.794014000000001</v>
      </c>
      <c r="P6" s="4">
        <v>26.720039</v>
      </c>
      <c r="Q6" s="4">
        <v>29.399128000000001</v>
      </c>
      <c r="R6" s="4">
        <v>30.937828</v>
      </c>
      <c r="S6" s="4">
        <v>28.737648</v>
      </c>
      <c r="T6" s="4">
        <v>30.335602000000002</v>
      </c>
      <c r="U6" s="4">
        <v>31.724342</v>
      </c>
      <c r="V6" s="4">
        <v>33.039177000000002</v>
      </c>
      <c r="W6" s="4">
        <v>34.227440000000001</v>
      </c>
      <c r="X6" s="4">
        <v>35.300609999999999</v>
      </c>
      <c r="Y6" s="4">
        <v>36.192096999999997</v>
      </c>
      <c r="Z6" s="4">
        <v>37.032127000000003</v>
      </c>
      <c r="AA6" s="4">
        <v>37.780872000000002</v>
      </c>
      <c r="AB6" s="4">
        <v>38.396172</v>
      </c>
      <c r="AC6" s="4">
        <v>39.061610999999999</v>
      </c>
      <c r="AD6" s="4">
        <v>39.728802000000002</v>
      </c>
      <c r="AE6" s="5">
        <v>2.649228986425249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0.58883700000000005</v>
      </c>
      <c r="T7" s="4">
        <v>4.1324630000000004</v>
      </c>
      <c r="U7" s="4">
        <v>4.3358600000000003</v>
      </c>
      <c r="V7" s="4">
        <v>3.5133399999999999</v>
      </c>
      <c r="W7" s="4">
        <v>6.5089969999999999</v>
      </c>
      <c r="X7" s="4">
        <v>6.5315269999999996</v>
      </c>
      <c r="Y7" s="4">
        <v>17.104733</v>
      </c>
      <c r="Z7" s="4">
        <v>18.700154999999999</v>
      </c>
      <c r="AA7" s="4">
        <v>20.299931999999998</v>
      </c>
      <c r="AB7" s="4">
        <v>20.299931999999998</v>
      </c>
      <c r="AC7" s="4">
        <v>20.295490000000001</v>
      </c>
      <c r="AD7" s="4">
        <v>17.676489</v>
      </c>
      <c r="AE7" s="5" t="e" cm="1">
        <f t="array" ref="AE7:AE9">(AD7:AD9-D7:D9)/D7:D9</f>
        <v>#DIV/0!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1.149492</v>
      </c>
      <c r="L8" s="4">
        <v>4.3954259999999996</v>
      </c>
      <c r="M8" s="4">
        <v>9.3368640000000003</v>
      </c>
      <c r="N8" s="4">
        <v>14.184703000000001</v>
      </c>
      <c r="O8" s="4">
        <v>18.638801999999998</v>
      </c>
      <c r="P8" s="4">
        <v>22.677506999999999</v>
      </c>
      <c r="Q8" s="4">
        <v>26.375371999999999</v>
      </c>
      <c r="R8" s="4">
        <v>28.499189000000001</v>
      </c>
      <c r="S8" s="4">
        <v>24.871842999999998</v>
      </c>
      <c r="T8" s="4">
        <v>23.523745000000002</v>
      </c>
      <c r="U8" s="4">
        <v>25.233128000000001</v>
      </c>
      <c r="V8" s="4">
        <v>27.876290999999998</v>
      </c>
      <c r="W8" s="4">
        <v>26.512241</v>
      </c>
      <c r="X8" s="4">
        <v>27.970915000000002</v>
      </c>
      <c r="Y8" s="4">
        <v>18.598139</v>
      </c>
      <c r="Z8" s="4">
        <v>18.15765</v>
      </c>
      <c r="AA8" s="4">
        <v>17.586794000000001</v>
      </c>
      <c r="AB8" s="4">
        <v>18.436077000000001</v>
      </c>
      <c r="AC8" s="4">
        <v>19.354558999999998</v>
      </c>
      <c r="AD8" s="4">
        <v>22.906364</v>
      </c>
      <c r="AE8" s="5" t="e">
        <v>#DIV/0!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1.149492</v>
      </c>
      <c r="L9" s="4">
        <v>4.3954259999999996</v>
      </c>
      <c r="M9" s="4">
        <v>9.3368640000000003</v>
      </c>
      <c r="N9" s="4">
        <v>14.184703000000001</v>
      </c>
      <c r="O9" s="4">
        <v>18.638801999999998</v>
      </c>
      <c r="P9" s="4">
        <v>22.677506999999999</v>
      </c>
      <c r="Q9" s="4">
        <v>26.375371999999999</v>
      </c>
      <c r="R9" s="4">
        <v>28.499189000000001</v>
      </c>
      <c r="S9" s="4">
        <v>25.46068</v>
      </c>
      <c r="T9" s="4">
        <v>27.656207999999999</v>
      </c>
      <c r="U9" s="4">
        <v>29.568987</v>
      </c>
      <c r="V9" s="4">
        <v>31.389631000000001</v>
      </c>
      <c r="W9" s="4">
        <v>33.021239999999999</v>
      </c>
      <c r="X9" s="4">
        <v>34.502440999999997</v>
      </c>
      <c r="Y9" s="4">
        <v>35.702872999999997</v>
      </c>
      <c r="Z9" s="4">
        <v>36.857802999999997</v>
      </c>
      <c r="AA9" s="4">
        <v>37.886726000000003</v>
      </c>
      <c r="AB9" s="4">
        <v>38.736007999999998</v>
      </c>
      <c r="AC9" s="4">
        <v>39.650047000000001</v>
      </c>
      <c r="AD9" s="4">
        <v>40.582855000000002</v>
      </c>
      <c r="AE9" s="5" t="e">
        <v>#DIV/0!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0.58883700000000005</v>
      </c>
      <c r="T10" s="4">
        <v>4.1324630000000004</v>
      </c>
      <c r="U10" s="4">
        <v>4.3358600000000003</v>
      </c>
      <c r="V10" s="4">
        <v>3.5133399999999999</v>
      </c>
      <c r="W10" s="4">
        <v>6.5089969999999999</v>
      </c>
      <c r="X10" s="4">
        <v>6.5315269999999996</v>
      </c>
      <c r="Y10" s="4">
        <v>17.104733</v>
      </c>
      <c r="Z10" s="4">
        <v>18.700154999999999</v>
      </c>
      <c r="AA10" s="4">
        <v>20.299931999999998</v>
      </c>
      <c r="AB10" s="4">
        <v>20.299931999999998</v>
      </c>
      <c r="AC10" s="4">
        <v>20.295490000000001</v>
      </c>
      <c r="AD10" s="4">
        <v>17.676489</v>
      </c>
      <c r="AE10" s="5" t="e" cm="1">
        <f t="array" ref="AE10:AE14">(AD10:AD14-D10:D14)/D10:D14</f>
        <v>#DIV/0!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0.50257200000000002</v>
      </c>
      <c r="T11" s="4">
        <v>3.527056</v>
      </c>
      <c r="U11" s="4">
        <v>3.7036180000000001</v>
      </c>
      <c r="V11" s="4">
        <v>2.9986350000000002</v>
      </c>
      <c r="W11" s="4">
        <v>5.5554269999999999</v>
      </c>
      <c r="X11" s="4">
        <v>5.5746560000000001</v>
      </c>
      <c r="Y11" s="4">
        <v>14.598886</v>
      </c>
      <c r="Z11" s="4">
        <v>15.960578</v>
      </c>
      <c r="AA11" s="4">
        <v>17.325987000000001</v>
      </c>
      <c r="AB11" s="4">
        <v>17.325987000000001</v>
      </c>
      <c r="AC11" s="4">
        <v>17.325987000000001</v>
      </c>
      <c r="AD11" s="4">
        <v>15.086878</v>
      </c>
      <c r="AE11" s="5" t="e">
        <v>#DIV/0!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8.6264999999999994E-2</v>
      </c>
      <c r="T12" s="4">
        <v>0.60540700000000003</v>
      </c>
      <c r="U12" s="4">
        <v>0.63571299999999997</v>
      </c>
      <c r="V12" s="4">
        <v>0.51470499999999997</v>
      </c>
      <c r="W12" s="4">
        <v>0.95357000000000003</v>
      </c>
      <c r="X12" s="4">
        <v>0.95687</v>
      </c>
      <c r="Y12" s="4">
        <v>2.5058479999999999</v>
      </c>
      <c r="Z12" s="4">
        <v>2.7395779999999998</v>
      </c>
      <c r="AA12" s="4">
        <v>2.9739460000000002</v>
      </c>
      <c r="AB12" s="4">
        <v>2.9739460000000002</v>
      </c>
      <c r="AC12" s="4">
        <v>2.9739460000000002</v>
      </c>
      <c r="AD12" s="4">
        <v>2.58961</v>
      </c>
      <c r="AE12" s="5" t="e">
        <v>#DIV/0!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1.4300000000000001E-3</v>
      </c>
      <c r="T13" s="4">
        <v>1.0038E-2</v>
      </c>
      <c r="U13" s="4">
        <v>1.0540000000000001E-2</v>
      </c>
      <c r="V13" s="4">
        <v>8.5339999999999999E-3</v>
      </c>
      <c r="W13" s="4">
        <v>1.5810000000000001E-2</v>
      </c>
      <c r="X13" s="4">
        <v>1.5865000000000001E-2</v>
      </c>
      <c r="Y13" s="4">
        <v>4.1546E-2</v>
      </c>
      <c r="Z13" s="4">
        <v>4.5421999999999997E-2</v>
      </c>
      <c r="AA13" s="4">
        <v>4.9306999999999997E-2</v>
      </c>
      <c r="AB13" s="4">
        <v>4.9306999999999997E-2</v>
      </c>
      <c r="AC13" s="4">
        <v>4.9306999999999997E-2</v>
      </c>
      <c r="AD13" s="4">
        <v>4.2935000000000001E-2</v>
      </c>
      <c r="AE13" s="5" t="e">
        <v>#DIV/0!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0.59026699999999999</v>
      </c>
      <c r="T14" s="4">
        <v>4.1425000000000001</v>
      </c>
      <c r="U14" s="4">
        <v>4.3464</v>
      </c>
      <c r="V14" s="4">
        <v>3.5218739999999999</v>
      </c>
      <c r="W14" s="4">
        <v>6.524807</v>
      </c>
      <c r="X14" s="4">
        <v>6.5473920000000003</v>
      </c>
      <c r="Y14" s="4">
        <v>17.146277999999999</v>
      </c>
      <c r="Z14" s="4">
        <v>18.745577000000001</v>
      </c>
      <c r="AA14" s="4">
        <v>20.349239000000001</v>
      </c>
      <c r="AB14" s="4">
        <v>20.349239000000001</v>
      </c>
      <c r="AC14" s="4">
        <v>20.344797</v>
      </c>
      <c r="AD14" s="4">
        <v>17.719422999999999</v>
      </c>
      <c r="AE14" s="5" t="e">
        <v>#DIV/0!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1.149492</v>
      </c>
      <c r="L15" s="4">
        <v>4.3954259999999996</v>
      </c>
      <c r="M15" s="4">
        <v>9.3368640000000003</v>
      </c>
      <c r="N15" s="4">
        <v>14.184703000000001</v>
      </c>
      <c r="O15" s="4">
        <v>18.638801999999998</v>
      </c>
      <c r="P15" s="4">
        <v>22.677506999999999</v>
      </c>
      <c r="Q15" s="4">
        <v>26.375371999999999</v>
      </c>
      <c r="R15" s="4">
        <v>28.499189000000001</v>
      </c>
      <c r="S15" s="4">
        <v>24.870412999999999</v>
      </c>
      <c r="T15" s="4">
        <v>23.513708000000001</v>
      </c>
      <c r="U15" s="4">
        <v>25.222587999999998</v>
      </c>
      <c r="V15" s="4">
        <v>27.867756</v>
      </c>
      <c r="W15" s="4">
        <v>26.496431000000001</v>
      </c>
      <c r="X15" s="4">
        <v>27.955051000000001</v>
      </c>
      <c r="Y15" s="4">
        <v>18.556591000000001</v>
      </c>
      <c r="Z15" s="4">
        <v>18.112228000000002</v>
      </c>
      <c r="AA15" s="4">
        <v>17.537486999999999</v>
      </c>
      <c r="AB15" s="4">
        <v>18.386769999999999</v>
      </c>
      <c r="AC15" s="4">
        <v>19.305251999999999</v>
      </c>
      <c r="AD15" s="4">
        <v>22.863430000000001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4.7252109999999998</v>
      </c>
      <c r="E16" s="4">
        <v>4.7252109999999998</v>
      </c>
      <c r="F16" s="4">
        <v>4.7252109999999998</v>
      </c>
      <c r="G16" s="4">
        <v>4.7252109999999998</v>
      </c>
      <c r="H16" s="4">
        <v>4.7252109999999998</v>
      </c>
      <c r="I16" s="4">
        <v>4.7252109999999998</v>
      </c>
      <c r="J16" s="4">
        <v>4.7252109999999998</v>
      </c>
      <c r="K16" s="4">
        <v>4.7252109999999998</v>
      </c>
      <c r="L16" s="4">
        <v>4.7252109999999998</v>
      </c>
      <c r="M16" s="4">
        <v>4.7252109999999998</v>
      </c>
      <c r="N16" s="4">
        <v>4.7252109999999998</v>
      </c>
      <c r="O16" s="4">
        <v>4.7252109999999998</v>
      </c>
      <c r="P16" s="4">
        <v>4.7252109999999998</v>
      </c>
      <c r="Q16" s="4">
        <v>4.7252109999999998</v>
      </c>
      <c r="R16" s="4">
        <v>4.7252109999999998</v>
      </c>
      <c r="S16" s="4">
        <v>4.7252109999999998</v>
      </c>
      <c r="T16" s="4">
        <v>4.7252109999999998</v>
      </c>
      <c r="U16" s="4">
        <v>4.7252109999999998</v>
      </c>
      <c r="V16" s="4">
        <v>4.7252109999999998</v>
      </c>
      <c r="W16" s="4">
        <v>4.7252109999999998</v>
      </c>
      <c r="X16" s="4">
        <v>4.7252109999999998</v>
      </c>
      <c r="Y16" s="4">
        <v>4.7252109999999998</v>
      </c>
      <c r="Z16" s="4">
        <v>4.7252109999999998</v>
      </c>
      <c r="AA16" s="4">
        <v>4.7252109999999998</v>
      </c>
      <c r="AB16" s="4">
        <v>4.7252109999999998</v>
      </c>
      <c r="AC16" s="4">
        <v>4.7252109999999998</v>
      </c>
      <c r="AD16" s="4">
        <v>4.7252109999999998</v>
      </c>
      <c r="AE16" s="5" cm="1">
        <f t="array" ref="AE16:AE20">(AD16:AD20-D16:D20)/D16:D20</f>
        <v>0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4.7252109999999998</v>
      </c>
      <c r="E17" s="4">
        <v>4.7252109999999998</v>
      </c>
      <c r="F17" s="4">
        <v>4.7252109999999998</v>
      </c>
      <c r="G17" s="4">
        <v>4.7252109999999998</v>
      </c>
      <c r="H17" s="4">
        <v>4.7252109999999998</v>
      </c>
      <c r="I17" s="4">
        <v>4.7252109999999998</v>
      </c>
      <c r="J17" s="4">
        <v>4.7252109999999998</v>
      </c>
      <c r="K17" s="4">
        <v>4.7252109999999998</v>
      </c>
      <c r="L17" s="4">
        <v>4.7252109999999998</v>
      </c>
      <c r="M17" s="4">
        <v>4.7252109999999998</v>
      </c>
      <c r="N17" s="4">
        <v>4.7252109999999998</v>
      </c>
      <c r="O17" s="4">
        <v>4.7252109999999998</v>
      </c>
      <c r="P17" s="4">
        <v>4.7252109999999998</v>
      </c>
      <c r="Q17" s="4">
        <v>4.7252109999999998</v>
      </c>
      <c r="R17" s="4">
        <v>4.7252109999999998</v>
      </c>
      <c r="S17" s="4">
        <v>4.7252109999999998</v>
      </c>
      <c r="T17" s="4">
        <v>4.7252109999999998</v>
      </c>
      <c r="U17" s="4">
        <v>4.7252109999999998</v>
      </c>
      <c r="V17" s="4">
        <v>4.7252109999999998</v>
      </c>
      <c r="W17" s="4">
        <v>4.7252109999999998</v>
      </c>
      <c r="X17" s="4">
        <v>4.7252109999999998</v>
      </c>
      <c r="Y17" s="4">
        <v>4.7252109999999998</v>
      </c>
      <c r="Z17" s="4">
        <v>4.7252109999999998</v>
      </c>
      <c r="AA17" s="4">
        <v>4.7252109999999998</v>
      </c>
      <c r="AB17" s="4">
        <v>4.7252109999999998</v>
      </c>
      <c r="AC17" s="4">
        <v>4.7252109999999998</v>
      </c>
      <c r="AD17" s="4">
        <v>4.7252109999999998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5" t="e">
        <v>#DIV/0!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2.4805000000000001E-2</v>
      </c>
      <c r="E19" s="4">
        <v>0.142785</v>
      </c>
      <c r="F19" s="4">
        <v>0.32042900000000002</v>
      </c>
      <c r="G19" s="4">
        <v>0.60770599999999997</v>
      </c>
      <c r="H19" s="4">
        <v>1.079491</v>
      </c>
      <c r="I19" s="4">
        <v>1.6737839999999999</v>
      </c>
      <c r="J19" s="4">
        <v>2.3449779999999998</v>
      </c>
      <c r="K19" s="4">
        <v>3.8130329999999999</v>
      </c>
      <c r="L19" s="4">
        <v>7.1581809999999999</v>
      </c>
      <c r="M19" s="4">
        <v>10.081587000000001</v>
      </c>
      <c r="N19" s="4">
        <v>12.934183000000001</v>
      </c>
      <c r="O19" s="4">
        <v>15.553096999999999</v>
      </c>
      <c r="P19" s="4">
        <v>17.928674999999998</v>
      </c>
      <c r="Q19" s="4">
        <v>20.093557000000001</v>
      </c>
      <c r="R19" s="4">
        <v>22.058866999999999</v>
      </c>
      <c r="S19" s="4">
        <v>23.844059000000001</v>
      </c>
      <c r="T19" s="4">
        <v>25.415972</v>
      </c>
      <c r="U19" s="4">
        <v>26.792235999999999</v>
      </c>
      <c r="V19" s="4">
        <v>28.094356999999999</v>
      </c>
      <c r="W19" s="4">
        <v>29.246431000000001</v>
      </c>
      <c r="X19" s="4">
        <v>30.304853000000001</v>
      </c>
      <c r="Y19" s="4">
        <v>31.193228000000001</v>
      </c>
      <c r="Z19" s="4">
        <v>32.041130000000003</v>
      </c>
      <c r="AA19" s="4">
        <v>32.827888000000002</v>
      </c>
      <c r="AB19" s="4">
        <v>33.476154000000001</v>
      </c>
      <c r="AC19" s="4">
        <v>34.145851</v>
      </c>
      <c r="AD19" s="4">
        <v>34.807926000000002</v>
      </c>
      <c r="AE19" s="5">
        <v>1402.2624874017336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11.536398999999999</v>
      </c>
      <c r="L21" s="4">
        <v>10.594003000000001</v>
      </c>
      <c r="M21" s="4">
        <v>11.080652000000001</v>
      </c>
      <c r="N21" s="4">
        <v>10.019871</v>
      </c>
      <c r="O21" s="4">
        <v>8.1166280000000004</v>
      </c>
      <c r="P21" s="4">
        <v>6.9552300000000002</v>
      </c>
      <c r="Q21" s="4">
        <v>4.4780680000000004</v>
      </c>
      <c r="R21" s="4">
        <v>8.0077610000000004</v>
      </c>
      <c r="S21" s="4">
        <v>11.878964</v>
      </c>
      <c r="T21" s="4">
        <v>13.263766</v>
      </c>
      <c r="U21" s="4">
        <v>13.036752</v>
      </c>
      <c r="V21" s="4">
        <v>15.855442</v>
      </c>
      <c r="W21" s="4">
        <v>16.785420999999999</v>
      </c>
      <c r="X21" s="4">
        <v>16.779354000000001</v>
      </c>
      <c r="Y21" s="4">
        <v>16.966802999999999</v>
      </c>
      <c r="Z21" s="4">
        <v>17.103408999999999</v>
      </c>
      <c r="AA21" s="4">
        <v>17.303829</v>
      </c>
      <c r="AB21" s="4">
        <v>17.426451</v>
      </c>
      <c r="AC21" s="4">
        <v>17.645987999999999</v>
      </c>
      <c r="AD21" s="4">
        <v>17.8001</v>
      </c>
      <c r="AE21" s="5" t="e">
        <f>(AD21-D21)/D21</f>
        <v>#DIV/0!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2.4635220000000002</v>
      </c>
      <c r="E22" s="4">
        <v>2.4635220000000002</v>
      </c>
      <c r="F22" s="4">
        <v>2.4635220000000002</v>
      </c>
      <c r="G22" s="4">
        <v>2.4635220000000002</v>
      </c>
      <c r="H22" s="4">
        <v>2.4635220000000002</v>
      </c>
      <c r="I22" s="4">
        <v>2.4635220000000002</v>
      </c>
      <c r="J22" s="4">
        <v>2.4635220000000002</v>
      </c>
      <c r="K22" s="4">
        <v>13.999919999999999</v>
      </c>
      <c r="L22" s="4">
        <v>13.057525</v>
      </c>
      <c r="M22" s="4">
        <v>13.544174</v>
      </c>
      <c r="N22" s="4">
        <v>12.483393</v>
      </c>
      <c r="O22" s="4">
        <v>10.58015</v>
      </c>
      <c r="P22" s="4">
        <v>9.4187519999999996</v>
      </c>
      <c r="Q22" s="4">
        <v>6.9415899999999997</v>
      </c>
      <c r="R22" s="4">
        <v>10.471283</v>
      </c>
      <c r="S22" s="4">
        <v>14.342485999999999</v>
      </c>
      <c r="T22" s="4">
        <v>15.727287</v>
      </c>
      <c r="U22" s="4">
        <v>15.500273</v>
      </c>
      <c r="V22" s="4">
        <v>18.318964000000001</v>
      </c>
      <c r="W22" s="4">
        <v>19.248943000000001</v>
      </c>
      <c r="X22" s="4">
        <v>19.242874</v>
      </c>
      <c r="Y22" s="4">
        <v>19.430325</v>
      </c>
      <c r="Z22" s="4">
        <v>19.566932999999999</v>
      </c>
      <c r="AA22" s="4">
        <v>19.767348999999999</v>
      </c>
      <c r="AB22" s="4">
        <v>19.889973000000001</v>
      </c>
      <c r="AC22" s="4">
        <v>20.109508999999999</v>
      </c>
      <c r="AD22" s="4">
        <v>20.26362</v>
      </c>
      <c r="AE22" s="5" cm="1">
        <f t="array" ref="AE22:AE24">(AD22:AD24-D22:D24)/D22:D24</f>
        <v>7.2254674405180861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52.555137999999999</v>
      </c>
      <c r="E23" s="4">
        <v>52.555137999999999</v>
      </c>
      <c r="F23" s="4">
        <v>52.555137999999999</v>
      </c>
      <c r="G23" s="4">
        <v>52.555137999999999</v>
      </c>
      <c r="H23" s="4">
        <v>52.555137999999999</v>
      </c>
      <c r="I23" s="4">
        <v>52.555137999999999</v>
      </c>
      <c r="J23" s="4">
        <v>52.555137999999999</v>
      </c>
      <c r="K23" s="4">
        <v>64.057152000000002</v>
      </c>
      <c r="L23" s="4">
        <v>63.114845000000003</v>
      </c>
      <c r="M23" s="4">
        <v>63.608963000000003</v>
      </c>
      <c r="N23" s="4">
        <v>62.555244000000002</v>
      </c>
      <c r="O23" s="4">
        <v>60.652008000000002</v>
      </c>
      <c r="P23" s="4">
        <v>59.486603000000002</v>
      </c>
      <c r="Q23" s="4">
        <v>57.004288000000003</v>
      </c>
      <c r="R23" s="4">
        <v>60.533005000000003</v>
      </c>
      <c r="S23" s="4">
        <v>64.419533000000001</v>
      </c>
      <c r="T23" s="4">
        <v>65.811722000000003</v>
      </c>
      <c r="U23" s="4">
        <v>65.562195000000003</v>
      </c>
      <c r="V23" s="4">
        <v>68.400475</v>
      </c>
      <c r="W23" s="4">
        <v>69.316344999999998</v>
      </c>
      <c r="X23" s="4">
        <v>69.317115999999999</v>
      </c>
      <c r="Y23" s="4">
        <v>69.501991000000004</v>
      </c>
      <c r="Z23" s="4">
        <v>69.636261000000005</v>
      </c>
      <c r="AA23" s="4">
        <v>69.835701</v>
      </c>
      <c r="AB23" s="4">
        <v>69.960037</v>
      </c>
      <c r="AC23" s="4">
        <v>70.181511</v>
      </c>
      <c r="AD23" s="4">
        <v>70.335769999999997</v>
      </c>
      <c r="AE23" s="5">
        <v>0.33832338143608331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2.4635220000000002</v>
      </c>
      <c r="E24" s="4">
        <v>2.4635220000000002</v>
      </c>
      <c r="F24" s="4">
        <v>2.4635220000000002</v>
      </c>
      <c r="G24" s="4">
        <v>2.4635220000000002</v>
      </c>
      <c r="H24" s="4">
        <v>2.4635220000000002</v>
      </c>
      <c r="I24" s="4">
        <v>2.4635220000000002</v>
      </c>
      <c r="J24" s="4">
        <v>2.4635220000000002</v>
      </c>
      <c r="K24" s="4">
        <v>13.999919999999999</v>
      </c>
      <c r="L24" s="4">
        <v>13.057525</v>
      </c>
      <c r="M24" s="4">
        <v>13.544174</v>
      </c>
      <c r="N24" s="4">
        <v>12.483393</v>
      </c>
      <c r="O24" s="4">
        <v>10.58015</v>
      </c>
      <c r="P24" s="4">
        <v>9.4187519999999996</v>
      </c>
      <c r="Q24" s="4">
        <v>6.9415899999999997</v>
      </c>
      <c r="R24" s="4">
        <v>10.471283</v>
      </c>
      <c r="S24" s="4">
        <v>14.342485999999999</v>
      </c>
      <c r="T24" s="4">
        <v>15.727287</v>
      </c>
      <c r="U24" s="4">
        <v>15.500273</v>
      </c>
      <c r="V24" s="4">
        <v>18.318964000000001</v>
      </c>
      <c r="W24" s="4">
        <v>19.248943000000001</v>
      </c>
      <c r="X24" s="4">
        <v>19.242874</v>
      </c>
      <c r="Y24" s="4">
        <v>19.430325</v>
      </c>
      <c r="Z24" s="4">
        <v>19.566932999999999</v>
      </c>
      <c r="AA24" s="4">
        <v>19.767348999999999</v>
      </c>
      <c r="AB24" s="4">
        <v>19.889973000000001</v>
      </c>
      <c r="AC24" s="4">
        <v>20.109508999999999</v>
      </c>
      <c r="AD24" s="4">
        <v>20.26362</v>
      </c>
      <c r="AE24" s="5">
        <v>7.2254674405180861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>
        <v>2048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20.87434</v>
      </c>
      <c r="E2" s="4">
        <v>20.988755999999999</v>
      </c>
      <c r="F2" s="4">
        <v>21.297915</v>
      </c>
      <c r="G2" s="4">
        <v>19.730471000000001</v>
      </c>
      <c r="H2" s="4">
        <v>12.115891</v>
      </c>
      <c r="I2" s="4">
        <v>6.6020300000000001</v>
      </c>
      <c r="J2" s="4">
        <v>1.964386</v>
      </c>
      <c r="K2" s="4">
        <v>13.158491</v>
      </c>
      <c r="L2" s="4">
        <v>18.004556999999998</v>
      </c>
      <c r="M2" s="4">
        <v>26.631874</v>
      </c>
      <c r="N2" s="4">
        <v>30.025196000000001</v>
      </c>
      <c r="O2" s="4">
        <v>30.275742999999999</v>
      </c>
      <c r="P2" s="4">
        <v>27.680285000000001</v>
      </c>
      <c r="Q2" s="4">
        <v>32.718631999999999</v>
      </c>
      <c r="R2" s="4">
        <v>34.005257</v>
      </c>
      <c r="S2" s="4">
        <v>28.016304000000002</v>
      </c>
      <c r="T2" s="4">
        <v>29.839596</v>
      </c>
      <c r="U2" s="4">
        <v>32.035598999999998</v>
      </c>
      <c r="V2" s="4">
        <v>36.156109000000001</v>
      </c>
      <c r="W2" s="4">
        <v>42.161163000000002</v>
      </c>
      <c r="X2" s="4">
        <v>49.504730000000002</v>
      </c>
      <c r="Y2" s="4">
        <v>46.563167999999997</v>
      </c>
      <c r="Z2" s="4">
        <v>54.553466999999998</v>
      </c>
      <c r="AA2" s="4">
        <v>56.671989000000004</v>
      </c>
      <c r="AB2" s="4">
        <v>70.827254999999994</v>
      </c>
      <c r="AC2" s="4">
        <v>73.125290000000007</v>
      </c>
      <c r="AD2" s="4">
        <v>75.053641999999996</v>
      </c>
      <c r="AE2" s="5" cm="1">
        <f t="array" ref="AE2:AE6">(AD2:AD6-D2:D6)/D2:D6</f>
        <v>2.5954977259161245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2.214499</v>
      </c>
      <c r="H4" s="4">
        <v>10.783794</v>
      </c>
      <c r="I4" s="4">
        <v>17.478066999999999</v>
      </c>
      <c r="J4" s="4">
        <v>23.452241999999998</v>
      </c>
      <c r="K4" s="4">
        <v>15.20574</v>
      </c>
      <c r="L4" s="4">
        <v>17.012668999999999</v>
      </c>
      <c r="M4" s="4">
        <v>14.368259</v>
      </c>
      <c r="N4" s="4">
        <v>16.986937999999999</v>
      </c>
      <c r="O4" s="4">
        <v>22.355267000000001</v>
      </c>
      <c r="P4" s="4">
        <v>30.076338</v>
      </c>
      <c r="Q4" s="4">
        <v>29.915388</v>
      </c>
      <c r="R4" s="4">
        <v>33.069412</v>
      </c>
      <c r="S4" s="4">
        <v>43.241889999999998</v>
      </c>
      <c r="T4" s="4">
        <v>45.165272000000002</v>
      </c>
      <c r="U4" s="4">
        <v>46.382389000000003</v>
      </c>
      <c r="V4" s="4">
        <v>45.495533000000002</v>
      </c>
      <c r="W4" s="4">
        <v>42.445782000000001</v>
      </c>
      <c r="X4" s="4">
        <v>37.834857999999997</v>
      </c>
      <c r="Y4" s="4">
        <v>43.232768999999998</v>
      </c>
      <c r="Z4" s="4">
        <v>37.567836999999997</v>
      </c>
      <c r="AA4" s="4">
        <v>37.626541000000003</v>
      </c>
      <c r="AB4" s="4">
        <v>25.514150999999998</v>
      </c>
      <c r="AC4" s="4">
        <v>25.324967999999998</v>
      </c>
      <c r="AD4" s="4">
        <v>25.492947000000001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 t="e">
        <v>#DIV/0!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20.87434</v>
      </c>
      <c r="E6" s="4">
        <v>20.988755999999999</v>
      </c>
      <c r="F6" s="4">
        <v>21.297915</v>
      </c>
      <c r="G6" s="4">
        <v>21.944969</v>
      </c>
      <c r="H6" s="4">
        <v>22.899687</v>
      </c>
      <c r="I6" s="4">
        <v>24.080096999999999</v>
      </c>
      <c r="J6" s="4">
        <v>25.416630000000001</v>
      </c>
      <c r="K6" s="4">
        <v>28.364231</v>
      </c>
      <c r="L6" s="4">
        <v>35.017223000000001</v>
      </c>
      <c r="M6" s="4">
        <v>41.000134000000003</v>
      </c>
      <c r="N6" s="4">
        <v>47.012135000000001</v>
      </c>
      <c r="O6" s="4">
        <v>52.631011999999998</v>
      </c>
      <c r="P6" s="4">
        <v>57.756625999999997</v>
      </c>
      <c r="Q6" s="4">
        <v>62.634022000000002</v>
      </c>
      <c r="R6" s="4">
        <v>67.074669</v>
      </c>
      <c r="S6" s="4">
        <v>71.258194000000003</v>
      </c>
      <c r="T6" s="4">
        <v>75.004859999999994</v>
      </c>
      <c r="U6" s="4">
        <v>78.417984000000004</v>
      </c>
      <c r="V6" s="4">
        <v>81.651641999999995</v>
      </c>
      <c r="W6" s="4">
        <v>84.606955999999997</v>
      </c>
      <c r="X6" s="4">
        <v>87.339584000000002</v>
      </c>
      <c r="Y6" s="4">
        <v>89.795936999999995</v>
      </c>
      <c r="Z6" s="4">
        <v>92.121300000000005</v>
      </c>
      <c r="AA6" s="4">
        <v>94.298530999999997</v>
      </c>
      <c r="AB6" s="4">
        <v>96.341399999999993</v>
      </c>
      <c r="AC6" s="4">
        <v>98.450255999999996</v>
      </c>
      <c r="AD6" s="4">
        <v>100.54658499999999</v>
      </c>
      <c r="AE6" s="5">
        <v>3.8167551644746607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28.661118999999999</v>
      </c>
      <c r="E7" s="4">
        <v>28.81822</v>
      </c>
      <c r="F7" s="4">
        <v>29.242704</v>
      </c>
      <c r="G7" s="4">
        <v>27.090553</v>
      </c>
      <c r="H7" s="4">
        <v>16.636182999999999</v>
      </c>
      <c r="I7" s="4">
        <v>9.0647939999999991</v>
      </c>
      <c r="J7" s="4">
        <v>2.6971630000000002</v>
      </c>
      <c r="K7" s="4">
        <v>18.065588000000002</v>
      </c>
      <c r="L7" s="4">
        <v>24.635334</v>
      </c>
      <c r="M7" s="4">
        <v>36.566398999999997</v>
      </c>
      <c r="N7" s="4">
        <v>41.224120999999997</v>
      </c>
      <c r="O7" s="4">
        <v>41.571941000000002</v>
      </c>
      <c r="P7" s="4">
        <v>38.006622</v>
      </c>
      <c r="Q7" s="4">
        <v>44.923706000000003</v>
      </c>
      <c r="R7" s="4">
        <v>46.690285000000003</v>
      </c>
      <c r="S7" s="4">
        <v>38.467266000000002</v>
      </c>
      <c r="T7" s="4">
        <v>40.970699000000003</v>
      </c>
      <c r="U7" s="4">
        <v>43.985881999999997</v>
      </c>
      <c r="V7" s="4">
        <v>49.643470999999998</v>
      </c>
      <c r="W7" s="4">
        <v>57.888598999999999</v>
      </c>
      <c r="X7" s="4">
        <v>67.971214000000003</v>
      </c>
      <c r="Y7" s="4">
        <v>63.932685999999997</v>
      </c>
      <c r="Z7" s="4">
        <v>74.903617999999994</v>
      </c>
      <c r="AA7" s="4">
        <v>77.812415999999999</v>
      </c>
      <c r="AB7" s="4">
        <v>97.246528999999995</v>
      </c>
      <c r="AC7" s="4">
        <v>100.400452</v>
      </c>
      <c r="AD7" s="4">
        <v>103.05098700000001</v>
      </c>
      <c r="AE7" s="5" cm="1">
        <f t="array" ref="AE7:AE9">(AD7:AD9-D7:D9)/D7:D9</f>
        <v>2.5954976845112019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6.9615999999999997E-2</v>
      </c>
      <c r="E8" s="4">
        <v>6.9998000000000005E-2</v>
      </c>
      <c r="F8" s="4">
        <v>7.1028999999999995E-2</v>
      </c>
      <c r="G8" s="4">
        <v>3.1224069999999999</v>
      </c>
      <c r="H8" s="4">
        <v>14.924951999999999</v>
      </c>
      <c r="I8" s="4">
        <v>24.146464999999999</v>
      </c>
      <c r="J8" s="4">
        <v>32.376972000000002</v>
      </c>
      <c r="K8" s="4">
        <v>21.031905999999999</v>
      </c>
      <c r="L8" s="4">
        <v>23.542116</v>
      </c>
      <c r="M8" s="4">
        <v>19.920891000000001</v>
      </c>
      <c r="N8" s="4">
        <v>23.546688</v>
      </c>
      <c r="O8" s="4">
        <v>30.957266000000001</v>
      </c>
      <c r="P8" s="4">
        <v>41.60577</v>
      </c>
      <c r="Q8" s="4">
        <v>41.400421000000001</v>
      </c>
      <c r="R8" s="4">
        <v>45.758118000000003</v>
      </c>
      <c r="S8" s="4">
        <v>59.778896000000003</v>
      </c>
      <c r="T8" s="4">
        <v>62.439765999999999</v>
      </c>
      <c r="U8" s="4">
        <v>64.127044999999995</v>
      </c>
      <c r="V8" s="4">
        <v>62.916687000000003</v>
      </c>
      <c r="W8" s="4">
        <v>58.727238</v>
      </c>
      <c r="X8" s="4">
        <v>52.387405000000001</v>
      </c>
      <c r="Y8" s="4">
        <v>59.828167000000001</v>
      </c>
      <c r="Z8" s="4">
        <v>52.035679000000002</v>
      </c>
      <c r="AA8" s="4">
        <v>52.123775000000002</v>
      </c>
      <c r="AB8" s="4">
        <v>35.452618000000001</v>
      </c>
      <c r="AC8" s="4">
        <v>35.199162000000001</v>
      </c>
      <c r="AD8" s="4">
        <v>35.437443000000002</v>
      </c>
      <c r="AE8" s="5">
        <v>508.04164272581016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28.730736</v>
      </c>
      <c r="E9" s="4">
        <v>28.888217999999998</v>
      </c>
      <c r="F9" s="4">
        <v>29.313734</v>
      </c>
      <c r="G9" s="4">
        <v>30.212959000000001</v>
      </c>
      <c r="H9" s="4">
        <v>31.561133999999999</v>
      </c>
      <c r="I9" s="4">
        <v>33.211258000000001</v>
      </c>
      <c r="J9" s="4">
        <v>35.074134999999998</v>
      </c>
      <c r="K9" s="4">
        <v>39.097496</v>
      </c>
      <c r="L9" s="4">
        <v>48.177452000000002</v>
      </c>
      <c r="M9" s="4">
        <v>56.487288999999997</v>
      </c>
      <c r="N9" s="4">
        <v>64.770813000000004</v>
      </c>
      <c r="O9" s="4">
        <v>72.529205000000005</v>
      </c>
      <c r="P9" s="4">
        <v>79.612396000000004</v>
      </c>
      <c r="Q9" s="4">
        <v>86.324127000000004</v>
      </c>
      <c r="R9" s="4">
        <v>92.448402000000002</v>
      </c>
      <c r="S9" s="4">
        <v>98.246161999999998</v>
      </c>
      <c r="T9" s="4">
        <v>103.410461</v>
      </c>
      <c r="U9" s="4">
        <v>108.11293000000001</v>
      </c>
      <c r="V9" s="4">
        <v>112.560158</v>
      </c>
      <c r="W9" s="4">
        <v>116.615837</v>
      </c>
      <c r="X9" s="4">
        <v>120.35862</v>
      </c>
      <c r="Y9" s="4">
        <v>123.76084899999999</v>
      </c>
      <c r="Z9" s="4">
        <v>126.939301</v>
      </c>
      <c r="AA9" s="4">
        <v>129.93618799999999</v>
      </c>
      <c r="AB9" s="4">
        <v>132.69914199999999</v>
      </c>
      <c r="AC9" s="4">
        <v>135.59960899999999</v>
      </c>
      <c r="AD9" s="4">
        <v>138.48843400000001</v>
      </c>
      <c r="AE9" s="5">
        <v>3.8202188067858756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28.661118999999999</v>
      </c>
      <c r="E10" s="4">
        <v>28.81822</v>
      </c>
      <c r="F10" s="4">
        <v>29.242704</v>
      </c>
      <c r="G10" s="4">
        <v>27.090553</v>
      </c>
      <c r="H10" s="4">
        <v>16.636182999999999</v>
      </c>
      <c r="I10" s="4">
        <v>9.0647939999999991</v>
      </c>
      <c r="J10" s="4">
        <v>2.6971630000000002</v>
      </c>
      <c r="K10" s="4">
        <v>18.065588000000002</v>
      </c>
      <c r="L10" s="4">
        <v>24.635334</v>
      </c>
      <c r="M10" s="4">
        <v>36.566398999999997</v>
      </c>
      <c r="N10" s="4">
        <v>41.224120999999997</v>
      </c>
      <c r="O10" s="4">
        <v>41.571941000000002</v>
      </c>
      <c r="P10" s="4">
        <v>38.006622</v>
      </c>
      <c r="Q10" s="4">
        <v>44.923706000000003</v>
      </c>
      <c r="R10" s="4">
        <v>46.690285000000003</v>
      </c>
      <c r="S10" s="4">
        <v>38.467266000000002</v>
      </c>
      <c r="T10" s="4">
        <v>40.970699000000003</v>
      </c>
      <c r="U10" s="4">
        <v>43.985881999999997</v>
      </c>
      <c r="V10" s="4">
        <v>49.643470999999998</v>
      </c>
      <c r="W10" s="4">
        <v>57.888598999999999</v>
      </c>
      <c r="X10" s="4">
        <v>67.971214000000003</v>
      </c>
      <c r="Y10" s="4">
        <v>63.932685999999997</v>
      </c>
      <c r="Z10" s="4">
        <v>74.903617999999994</v>
      </c>
      <c r="AA10" s="4">
        <v>77.812415999999999</v>
      </c>
      <c r="AB10" s="4">
        <v>97.246528999999995</v>
      </c>
      <c r="AC10" s="4">
        <v>100.400452</v>
      </c>
      <c r="AD10" s="4">
        <v>103.05098700000001</v>
      </c>
      <c r="AE10" s="5" cm="1">
        <f t="array" ref="AE10:AE14">(AD10:AD14-D10:D14)/D10:D14</f>
        <v>2.5954976845112019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24.462259</v>
      </c>
      <c r="E11" s="4">
        <v>24.596343999999998</v>
      </c>
      <c r="F11" s="4">
        <v>24.958641</v>
      </c>
      <c r="G11" s="4">
        <v>23.121780000000001</v>
      </c>
      <c r="H11" s="4">
        <v>14.198392</v>
      </c>
      <c r="I11" s="4">
        <v>7.7367990000000004</v>
      </c>
      <c r="J11" s="4">
        <v>2.302028</v>
      </c>
      <c r="K11" s="4">
        <v>15.420197</v>
      </c>
      <c r="L11" s="4">
        <v>21.099215000000001</v>
      </c>
      <c r="M11" s="4">
        <v>31.209412</v>
      </c>
      <c r="N11" s="4">
        <v>35.185982000000003</v>
      </c>
      <c r="O11" s="4">
        <v>35.479590999999999</v>
      </c>
      <c r="P11" s="4">
        <v>32.438026000000001</v>
      </c>
      <c r="Q11" s="4">
        <v>38.342368999999998</v>
      </c>
      <c r="R11" s="4">
        <v>39.850143000000003</v>
      </c>
      <c r="S11" s="4">
        <v>32.831798999999997</v>
      </c>
      <c r="T11" s="4">
        <v>34.968479000000002</v>
      </c>
      <c r="U11" s="4">
        <v>37.541938999999999</v>
      </c>
      <c r="V11" s="4">
        <v>42.370688999999999</v>
      </c>
      <c r="W11" s="4">
        <v>49.407902</v>
      </c>
      <c r="X11" s="4">
        <v>58.013699000000003</v>
      </c>
      <c r="Y11" s="4">
        <v>54.566527999999998</v>
      </c>
      <c r="Z11" s="4">
        <v>63.930218000000004</v>
      </c>
      <c r="AA11" s="4">
        <v>66.412871999999993</v>
      </c>
      <c r="AB11" s="4">
        <v>83.001175000000003</v>
      </c>
      <c r="AC11" s="4">
        <v>85.694198999999998</v>
      </c>
      <c r="AD11" s="4">
        <v>87.953986999999998</v>
      </c>
      <c r="AE11" s="5">
        <v>2.5954973332593689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4.1988620000000001</v>
      </c>
      <c r="E12" s="4">
        <v>4.2218770000000001</v>
      </c>
      <c r="F12" s="4">
        <v>4.2840639999999999</v>
      </c>
      <c r="G12" s="4">
        <v>3.9687730000000001</v>
      </c>
      <c r="H12" s="4">
        <v>2.4371049999999999</v>
      </c>
      <c r="I12" s="4">
        <v>1.327995</v>
      </c>
      <c r="J12" s="4">
        <v>0.39513500000000001</v>
      </c>
      <c r="K12" s="4">
        <v>2.6468229999999999</v>
      </c>
      <c r="L12" s="4">
        <v>3.621607</v>
      </c>
      <c r="M12" s="4">
        <v>5.3569870000000002</v>
      </c>
      <c r="N12" s="4">
        <v>6.0395519999999996</v>
      </c>
      <c r="O12" s="4">
        <v>6.0899489999999998</v>
      </c>
      <c r="P12" s="4">
        <v>5.5678739999999998</v>
      </c>
      <c r="Q12" s="4">
        <v>6.5813350000000002</v>
      </c>
      <c r="R12" s="4">
        <v>6.8401389999999997</v>
      </c>
      <c r="S12" s="4">
        <v>5.6354649999999999</v>
      </c>
      <c r="T12" s="4">
        <v>6.0022180000000001</v>
      </c>
      <c r="U12" s="4">
        <v>6.4439440000000001</v>
      </c>
      <c r="V12" s="4">
        <v>7.2727820000000003</v>
      </c>
      <c r="W12" s="4">
        <v>8.480696</v>
      </c>
      <c r="X12" s="4">
        <v>9.9578500000000005</v>
      </c>
      <c r="Y12" s="4">
        <v>9.3661560000000001</v>
      </c>
      <c r="Z12" s="4">
        <v>10.9734</v>
      </c>
      <c r="AA12" s="4">
        <v>11.39954</v>
      </c>
      <c r="AB12" s="4">
        <v>14.246864</v>
      </c>
      <c r="AC12" s="4">
        <v>14.709111999999999</v>
      </c>
      <c r="AD12" s="4">
        <v>15.096997</v>
      </c>
      <c r="AE12" s="5">
        <v>2.5954973037932656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6.9615999999999997E-2</v>
      </c>
      <c r="E13" s="4">
        <v>6.9998000000000005E-2</v>
      </c>
      <c r="F13" s="4">
        <v>7.1028999999999995E-2</v>
      </c>
      <c r="G13" s="4">
        <v>6.5800999999999998E-2</v>
      </c>
      <c r="H13" s="4">
        <v>4.0406999999999998E-2</v>
      </c>
      <c r="I13" s="4">
        <v>2.2017999999999999E-2</v>
      </c>
      <c r="J13" s="4">
        <v>6.5510000000000004E-3</v>
      </c>
      <c r="K13" s="4">
        <v>4.3883999999999999E-2</v>
      </c>
      <c r="L13" s="4">
        <v>6.0045000000000001E-2</v>
      </c>
      <c r="M13" s="4">
        <v>8.8817999999999994E-2</v>
      </c>
      <c r="N13" s="4">
        <v>0.100135</v>
      </c>
      <c r="O13" s="4">
        <v>0.10097</v>
      </c>
      <c r="P13" s="4">
        <v>9.2313999999999993E-2</v>
      </c>
      <c r="Q13" s="4">
        <v>0.10911700000000001</v>
      </c>
      <c r="R13" s="4">
        <v>0.11340799999999999</v>
      </c>
      <c r="S13" s="4">
        <v>9.3435000000000004E-2</v>
      </c>
      <c r="T13" s="4">
        <v>9.9515999999999993E-2</v>
      </c>
      <c r="U13" s="4">
        <v>0.106839</v>
      </c>
      <c r="V13" s="4">
        <v>0.12058099999999999</v>
      </c>
      <c r="W13" s="4">
        <v>0.14060800000000001</v>
      </c>
      <c r="X13" s="4">
        <v>0.165099</v>
      </c>
      <c r="Y13" s="4">
        <v>0.15528900000000001</v>
      </c>
      <c r="Z13" s="4">
        <v>0.18193699999999999</v>
      </c>
      <c r="AA13" s="4">
        <v>0.189002</v>
      </c>
      <c r="AB13" s="4">
        <v>0.23621</v>
      </c>
      <c r="AC13" s="4">
        <v>0.24387400000000001</v>
      </c>
      <c r="AD13" s="4">
        <v>0.250305</v>
      </c>
      <c r="AE13" s="5">
        <v>2.5955096529533441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28.730736</v>
      </c>
      <c r="E14" s="4">
        <v>28.888217999999998</v>
      </c>
      <c r="F14" s="4">
        <v>29.313734</v>
      </c>
      <c r="G14" s="4">
        <v>27.156355000000001</v>
      </c>
      <c r="H14" s="4">
        <v>16.676590000000001</v>
      </c>
      <c r="I14" s="4">
        <v>9.0868110000000009</v>
      </c>
      <c r="J14" s="4">
        <v>2.7037149999999999</v>
      </c>
      <c r="K14" s="4">
        <v>18.109472</v>
      </c>
      <c r="L14" s="4">
        <v>24.695378999999999</v>
      </c>
      <c r="M14" s="4">
        <v>36.655216000000003</v>
      </c>
      <c r="N14" s="4">
        <v>41.324257000000003</v>
      </c>
      <c r="O14" s="4">
        <v>41.672913000000001</v>
      </c>
      <c r="P14" s="4">
        <v>38.098937999999997</v>
      </c>
      <c r="Q14" s="4">
        <v>45.032822000000003</v>
      </c>
      <c r="R14" s="4">
        <v>46.803691999999998</v>
      </c>
      <c r="S14" s="4">
        <v>38.560699</v>
      </c>
      <c r="T14" s="4">
        <v>41.070213000000003</v>
      </c>
      <c r="U14" s="4">
        <v>44.09272</v>
      </c>
      <c r="V14" s="4">
        <v>49.764052999999997</v>
      </c>
      <c r="W14" s="4">
        <v>58.029209000000002</v>
      </c>
      <c r="X14" s="4">
        <v>68.136313999999999</v>
      </c>
      <c r="Y14" s="4">
        <v>64.087975</v>
      </c>
      <c r="Z14" s="4">
        <v>75.085555999999997</v>
      </c>
      <c r="AA14" s="4">
        <v>78.001418999999999</v>
      </c>
      <c r="AB14" s="4">
        <v>97.482742000000002</v>
      </c>
      <c r="AC14" s="4">
        <v>100.64432499999999</v>
      </c>
      <c r="AD14" s="4">
        <v>103.301292</v>
      </c>
      <c r="AE14" s="5">
        <v>2.5954975883666891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3.0566059999999999</v>
      </c>
      <c r="H15" s="4">
        <v>14.884544</v>
      </c>
      <c r="I15" s="4">
        <v>24.124447</v>
      </c>
      <c r="J15" s="4">
        <v>32.370421999999998</v>
      </c>
      <c r="K15" s="4">
        <v>20.988022000000001</v>
      </c>
      <c r="L15" s="4">
        <v>23.482071000000001</v>
      </c>
      <c r="M15" s="4">
        <v>19.832073000000001</v>
      </c>
      <c r="N15" s="4">
        <v>23.446553999999999</v>
      </c>
      <c r="O15" s="4">
        <v>30.856297000000001</v>
      </c>
      <c r="P15" s="4">
        <v>41.513458</v>
      </c>
      <c r="Q15" s="4">
        <v>41.291302000000002</v>
      </c>
      <c r="R15" s="4">
        <v>45.644711000000001</v>
      </c>
      <c r="S15" s="4">
        <v>59.685462999999999</v>
      </c>
      <c r="T15" s="4">
        <v>62.340252</v>
      </c>
      <c r="U15" s="4">
        <v>64.020202999999995</v>
      </c>
      <c r="V15" s="4">
        <v>62.796107999999997</v>
      </c>
      <c r="W15" s="4">
        <v>58.586627999999997</v>
      </c>
      <c r="X15" s="4">
        <v>52.222304999999999</v>
      </c>
      <c r="Y15" s="4">
        <v>59.672877999999997</v>
      </c>
      <c r="Z15" s="4">
        <v>51.853740999999999</v>
      </c>
      <c r="AA15" s="4">
        <v>51.934772000000002</v>
      </c>
      <c r="AB15" s="4">
        <v>35.216408000000001</v>
      </c>
      <c r="AC15" s="4">
        <v>34.955288000000003</v>
      </c>
      <c r="AD15" s="4">
        <v>35.187137999999997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20.828579000000001</v>
      </c>
      <c r="E16" s="4">
        <v>20.718992</v>
      </c>
      <c r="F16" s="4">
        <v>20.695028000000001</v>
      </c>
      <c r="G16" s="4">
        <v>20.797504</v>
      </c>
      <c r="H16" s="4">
        <v>20.852612000000001</v>
      </c>
      <c r="I16" s="4">
        <v>20.891047</v>
      </c>
      <c r="J16" s="4">
        <v>20.938950999999999</v>
      </c>
      <c r="K16" s="4">
        <v>21.025867000000002</v>
      </c>
      <c r="L16" s="4">
        <v>21.110282999999999</v>
      </c>
      <c r="M16" s="4">
        <v>21.226455999999999</v>
      </c>
      <c r="N16" s="4">
        <v>21.365335000000002</v>
      </c>
      <c r="O16" s="4">
        <v>21.497897999999999</v>
      </c>
      <c r="P16" s="4">
        <v>21.545483000000001</v>
      </c>
      <c r="Q16" s="4">
        <v>21.681217</v>
      </c>
      <c r="R16" s="4">
        <v>21.772832999999999</v>
      </c>
      <c r="S16" s="4">
        <v>21.855148</v>
      </c>
      <c r="T16" s="4">
        <v>21.935866999999998</v>
      </c>
      <c r="U16" s="4">
        <v>22.016489</v>
      </c>
      <c r="V16" s="4">
        <v>22.087237999999999</v>
      </c>
      <c r="W16" s="4">
        <v>22.151658999999999</v>
      </c>
      <c r="X16" s="4">
        <v>22.231127000000001</v>
      </c>
      <c r="Y16" s="4">
        <v>22.285216999999999</v>
      </c>
      <c r="Z16" s="4">
        <v>22.347121999999999</v>
      </c>
      <c r="AA16" s="4">
        <v>22.395265999999999</v>
      </c>
      <c r="AB16" s="4">
        <v>22.470435999999999</v>
      </c>
      <c r="AC16" s="4">
        <v>22.542292</v>
      </c>
      <c r="AD16" s="4">
        <v>22.622627000000001</v>
      </c>
      <c r="AE16" s="5" cm="1">
        <f t="array" ref="AE16:AE20">(AD16:AD20-D16:D20)/D16:D20</f>
        <v>8.6133960458848385E-2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17.028390999999999</v>
      </c>
      <c r="E17" s="4">
        <v>17.028390999999999</v>
      </c>
      <c r="F17" s="4">
        <v>17.028390999999999</v>
      </c>
      <c r="G17" s="4">
        <v>17.028390999999999</v>
      </c>
      <c r="H17" s="4">
        <v>17.028390999999999</v>
      </c>
      <c r="I17" s="4">
        <v>17.028390999999999</v>
      </c>
      <c r="J17" s="4">
        <v>17.028390999999999</v>
      </c>
      <c r="K17" s="4">
        <v>17.028390999999999</v>
      </c>
      <c r="L17" s="4">
        <v>17.028390999999999</v>
      </c>
      <c r="M17" s="4">
        <v>17.028390999999999</v>
      </c>
      <c r="N17" s="4">
        <v>17.028390999999999</v>
      </c>
      <c r="O17" s="4">
        <v>17.028390999999999</v>
      </c>
      <c r="P17" s="4">
        <v>17.028390999999999</v>
      </c>
      <c r="Q17" s="4">
        <v>17.028390999999999</v>
      </c>
      <c r="R17" s="4">
        <v>17.028390999999999</v>
      </c>
      <c r="S17" s="4">
        <v>17.028390999999999</v>
      </c>
      <c r="T17" s="4">
        <v>17.028390999999999</v>
      </c>
      <c r="U17" s="4">
        <v>17.028390999999999</v>
      </c>
      <c r="V17" s="4">
        <v>17.028390999999999</v>
      </c>
      <c r="W17" s="4">
        <v>17.028390999999999</v>
      </c>
      <c r="X17" s="4">
        <v>17.028390999999999</v>
      </c>
      <c r="Y17" s="4">
        <v>17.028390999999999</v>
      </c>
      <c r="Z17" s="4">
        <v>17.028390999999999</v>
      </c>
      <c r="AA17" s="4">
        <v>17.028390999999999</v>
      </c>
      <c r="AB17" s="4">
        <v>17.028390999999999</v>
      </c>
      <c r="AC17" s="4">
        <v>17.028390999999999</v>
      </c>
      <c r="AD17" s="4">
        <v>17.028390999999999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3.8001879999999999</v>
      </c>
      <c r="E18" s="4">
        <v>3.690601</v>
      </c>
      <c r="F18" s="4">
        <v>3.6666370000000001</v>
      </c>
      <c r="G18" s="4">
        <v>3.7691140000000001</v>
      </c>
      <c r="H18" s="4">
        <v>3.8242210000000001</v>
      </c>
      <c r="I18" s="4">
        <v>3.8626559999999999</v>
      </c>
      <c r="J18" s="4">
        <v>3.910561</v>
      </c>
      <c r="K18" s="4">
        <v>3.9974769999999999</v>
      </c>
      <c r="L18" s="4">
        <v>4.0818919999999999</v>
      </c>
      <c r="M18" s="4">
        <v>4.1980649999999997</v>
      </c>
      <c r="N18" s="4">
        <v>4.3369450000000001</v>
      </c>
      <c r="O18" s="4">
        <v>4.4695070000000001</v>
      </c>
      <c r="P18" s="4">
        <v>4.5170919999999999</v>
      </c>
      <c r="Q18" s="4">
        <v>4.6528260000000001</v>
      </c>
      <c r="R18" s="4">
        <v>4.7444420000000003</v>
      </c>
      <c r="S18" s="4">
        <v>4.8267569999999997</v>
      </c>
      <c r="T18" s="4">
        <v>4.9074759999999999</v>
      </c>
      <c r="U18" s="4">
        <v>4.9880979999999999</v>
      </c>
      <c r="V18" s="4">
        <v>5.0588470000000001</v>
      </c>
      <c r="W18" s="4">
        <v>5.1232680000000004</v>
      </c>
      <c r="X18" s="4">
        <v>5.2027359999999998</v>
      </c>
      <c r="Y18" s="4">
        <v>5.2568260000000002</v>
      </c>
      <c r="Z18" s="4">
        <v>5.3187309999999997</v>
      </c>
      <c r="AA18" s="4">
        <v>5.3668750000000003</v>
      </c>
      <c r="AB18" s="4">
        <v>5.4420450000000002</v>
      </c>
      <c r="AC18" s="4">
        <v>5.5139009999999997</v>
      </c>
      <c r="AD18" s="4">
        <v>5.5942360000000004</v>
      </c>
      <c r="AE18" s="5">
        <v>0.47209453848072797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4.5761999999999997E-2</v>
      </c>
      <c r="E19" s="4">
        <v>0.26593499999999998</v>
      </c>
      <c r="F19" s="4">
        <v>0.60248800000000002</v>
      </c>
      <c r="G19" s="4">
        <v>1.1473169999999999</v>
      </c>
      <c r="H19" s="4">
        <v>2.044934</v>
      </c>
      <c r="I19" s="4">
        <v>3.1827709999999998</v>
      </c>
      <c r="J19" s="4">
        <v>4.4688929999999996</v>
      </c>
      <c r="K19" s="4">
        <v>7.3211839999999997</v>
      </c>
      <c r="L19" s="4">
        <v>13.874572000000001</v>
      </c>
      <c r="M19" s="4">
        <v>19.722075</v>
      </c>
      <c r="N19" s="4">
        <v>25.548679</v>
      </c>
      <c r="O19" s="4">
        <v>30.997188999999999</v>
      </c>
      <c r="P19" s="4">
        <v>36.026542999999997</v>
      </c>
      <c r="Q19" s="4">
        <v>40.708145000000002</v>
      </c>
      <c r="R19" s="4">
        <v>45.009300000000003</v>
      </c>
      <c r="S19" s="4">
        <v>48.990585000000003</v>
      </c>
      <c r="T19" s="4">
        <v>52.662376000000002</v>
      </c>
      <c r="U19" s="4">
        <v>55.967143999999998</v>
      </c>
      <c r="V19" s="4">
        <v>59.100883000000003</v>
      </c>
      <c r="W19" s="4">
        <v>61.948715</v>
      </c>
      <c r="X19" s="4">
        <v>64.569702000000007</v>
      </c>
      <c r="Y19" s="4">
        <v>66.958076000000005</v>
      </c>
      <c r="Z19" s="4">
        <v>69.233581999999998</v>
      </c>
      <c r="AA19" s="4">
        <v>71.393715</v>
      </c>
      <c r="AB19" s="4">
        <v>73.425560000000004</v>
      </c>
      <c r="AC19" s="4">
        <v>75.479263000000003</v>
      </c>
      <c r="AD19" s="4">
        <v>77.493483999999995</v>
      </c>
      <c r="AE19" s="5">
        <v>1692.402473668109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6.0504000000000002E-2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7.3555590000000004</v>
      </c>
      <c r="E21" s="4">
        <v>9.2916910000000001</v>
      </c>
      <c r="F21" s="4">
        <v>9.7356739999999995</v>
      </c>
      <c r="G21" s="4">
        <v>9.7890519999999999</v>
      </c>
      <c r="H21" s="4">
        <v>10.137375</v>
      </c>
      <c r="I21" s="4">
        <v>10.616236000000001</v>
      </c>
      <c r="J21" s="4">
        <v>11.924078</v>
      </c>
      <c r="K21" s="4">
        <v>12.954751</v>
      </c>
      <c r="L21" s="4">
        <v>13.976039999999999</v>
      </c>
      <c r="M21" s="4">
        <v>14.47143</v>
      </c>
      <c r="N21" s="4">
        <v>14.814199</v>
      </c>
      <c r="O21" s="4">
        <v>15.022902</v>
      </c>
      <c r="P21" s="4">
        <v>15.405616999999999</v>
      </c>
      <c r="Q21" s="4">
        <v>15.503197999999999</v>
      </c>
      <c r="R21" s="4">
        <v>16.182226</v>
      </c>
      <c r="S21" s="4">
        <v>16.504746999999998</v>
      </c>
      <c r="T21" s="4">
        <v>16.114509999999999</v>
      </c>
      <c r="U21" s="4">
        <v>16.104230999999999</v>
      </c>
      <c r="V21" s="4">
        <v>15.864176</v>
      </c>
      <c r="W21" s="4">
        <v>15.710245</v>
      </c>
      <c r="X21" s="4">
        <v>15.913595000000001</v>
      </c>
      <c r="Y21" s="4">
        <v>15.983586000000001</v>
      </c>
      <c r="Z21" s="4">
        <v>16.38456</v>
      </c>
      <c r="AA21" s="4">
        <v>16.752130999999999</v>
      </c>
      <c r="AB21" s="4">
        <v>17.025977999999999</v>
      </c>
      <c r="AC21" s="4">
        <v>17.437149000000002</v>
      </c>
      <c r="AD21" s="4">
        <v>18.211088</v>
      </c>
      <c r="AE21" s="5">
        <f>(AD21-D21)/D21</f>
        <v>1.4758265143410583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9.8190799999999996</v>
      </c>
      <c r="E22" s="4">
        <v>11.755212999999999</v>
      </c>
      <c r="F22" s="4">
        <v>12.199197</v>
      </c>
      <c r="G22" s="4">
        <v>12.252573999999999</v>
      </c>
      <c r="H22" s="4">
        <v>12.600897</v>
      </c>
      <c r="I22" s="4">
        <v>13.079757000000001</v>
      </c>
      <c r="J22" s="4">
        <v>14.387600000000001</v>
      </c>
      <c r="K22" s="4">
        <v>15.418272999999999</v>
      </c>
      <c r="L22" s="4">
        <v>16.439561999999999</v>
      </c>
      <c r="M22" s="4">
        <v>16.934951999999999</v>
      </c>
      <c r="N22" s="4">
        <v>17.277721</v>
      </c>
      <c r="O22" s="4">
        <v>17.486425000000001</v>
      </c>
      <c r="P22" s="4">
        <v>17.869139000000001</v>
      </c>
      <c r="Q22" s="4">
        <v>17.966721</v>
      </c>
      <c r="R22" s="4">
        <v>18.645748000000001</v>
      </c>
      <c r="S22" s="4">
        <v>18.968268999999999</v>
      </c>
      <c r="T22" s="4">
        <v>18.578032</v>
      </c>
      <c r="U22" s="4">
        <v>18.567751000000001</v>
      </c>
      <c r="V22" s="4">
        <v>18.327698000000002</v>
      </c>
      <c r="W22" s="4">
        <v>18.173767000000002</v>
      </c>
      <c r="X22" s="4">
        <v>18.377116999999998</v>
      </c>
      <c r="Y22" s="4">
        <v>18.447106999999999</v>
      </c>
      <c r="Z22" s="4">
        <v>18.848082000000002</v>
      </c>
      <c r="AA22" s="4">
        <v>19.215651999999999</v>
      </c>
      <c r="AB22" s="4">
        <v>19.489502000000002</v>
      </c>
      <c r="AC22" s="4">
        <v>19.900669000000001</v>
      </c>
      <c r="AD22" s="4">
        <v>20.674610000000001</v>
      </c>
      <c r="AE22" s="5" cm="1">
        <f t="array" ref="AE22:AE24">(AD22:AD24-D22:D24)/D22:D24</f>
        <v>1.1055546955519258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59.909557</v>
      </c>
      <c r="E23" s="4">
        <v>61.846469999999997</v>
      </c>
      <c r="F23" s="4">
        <v>62.290806000000003</v>
      </c>
      <c r="G23" s="4">
        <v>62.344189</v>
      </c>
      <c r="H23" s="4">
        <v>62.692504999999997</v>
      </c>
      <c r="I23" s="4">
        <v>63.171351999999999</v>
      </c>
      <c r="J23" s="4">
        <v>64.479195000000004</v>
      </c>
      <c r="K23" s="4">
        <v>65.509872000000001</v>
      </c>
      <c r="L23" s="4">
        <v>66.531158000000005</v>
      </c>
      <c r="M23" s="4">
        <v>67.02655</v>
      </c>
      <c r="N23" s="4">
        <v>67.369324000000006</v>
      </c>
      <c r="O23" s="4">
        <v>67.578025999999994</v>
      </c>
      <c r="P23" s="4">
        <v>67.960746999999998</v>
      </c>
      <c r="Q23" s="4">
        <v>68.058327000000006</v>
      </c>
      <c r="R23" s="4">
        <v>68.736739999999998</v>
      </c>
      <c r="S23" s="4">
        <v>69.069076999999993</v>
      </c>
      <c r="T23" s="4">
        <v>68.668899999999994</v>
      </c>
      <c r="U23" s="4">
        <v>68.656150999999994</v>
      </c>
      <c r="V23" s="4">
        <v>68.419312000000005</v>
      </c>
      <c r="W23" s="4">
        <v>68.265381000000005</v>
      </c>
      <c r="X23" s="4">
        <v>68.468734999999995</v>
      </c>
      <c r="Y23" s="4">
        <v>68.538719</v>
      </c>
      <c r="Z23" s="4">
        <v>68.938202000000004</v>
      </c>
      <c r="AA23" s="4">
        <v>69.304160999999993</v>
      </c>
      <c r="AB23" s="4">
        <v>69.579132000000001</v>
      </c>
      <c r="AC23" s="4">
        <v>69.985916000000003</v>
      </c>
      <c r="AD23" s="4">
        <v>70.764152999999993</v>
      </c>
      <c r="AE23" s="5">
        <v>0.18118304563660842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9.8190799999999996</v>
      </c>
      <c r="E24" s="4">
        <v>11.755212999999999</v>
      </c>
      <c r="F24" s="4">
        <v>12.199197</v>
      </c>
      <c r="G24" s="4">
        <v>12.252573999999999</v>
      </c>
      <c r="H24" s="4">
        <v>12.600897</v>
      </c>
      <c r="I24" s="4">
        <v>13.079757000000001</v>
      </c>
      <c r="J24" s="4">
        <v>14.387600000000001</v>
      </c>
      <c r="K24" s="4">
        <v>15.418272999999999</v>
      </c>
      <c r="L24" s="4">
        <v>16.439561999999999</v>
      </c>
      <c r="M24" s="4">
        <v>16.934951999999999</v>
      </c>
      <c r="N24" s="4">
        <v>17.277721</v>
      </c>
      <c r="O24" s="4">
        <v>17.486425000000001</v>
      </c>
      <c r="P24" s="4">
        <v>17.869139000000001</v>
      </c>
      <c r="Q24" s="4">
        <v>17.966721</v>
      </c>
      <c r="R24" s="4">
        <v>18.645748000000001</v>
      </c>
      <c r="S24" s="4">
        <v>18.968268999999999</v>
      </c>
      <c r="T24" s="4">
        <v>18.578032</v>
      </c>
      <c r="U24" s="4">
        <v>18.567751000000001</v>
      </c>
      <c r="V24" s="4">
        <v>18.327698000000002</v>
      </c>
      <c r="W24" s="4">
        <v>18.173767000000002</v>
      </c>
      <c r="X24" s="4">
        <v>18.377116999999998</v>
      </c>
      <c r="Y24" s="4">
        <v>18.447106999999999</v>
      </c>
      <c r="Z24" s="4">
        <v>18.848082000000002</v>
      </c>
      <c r="AA24" s="4">
        <v>19.215651999999999</v>
      </c>
      <c r="AB24" s="4">
        <v>19.489502000000002</v>
      </c>
      <c r="AC24" s="4">
        <v>19.900669000000001</v>
      </c>
      <c r="AD24" s="4">
        <v>20.674610000000001</v>
      </c>
      <c r="AE24" s="5">
        <v>1.1055546955519258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" width="8.7109375" style="2"/>
    <col min="4" max="4" width="9.28515625" style="2" bestFit="1" customWidth="1"/>
    <col min="5" max="30" width="8.85546875" style="2" bestFit="1" customWidth="1"/>
    <col min="31" max="31" width="17.710937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5.5500000000000002E-3</v>
      </c>
      <c r="E2" s="4">
        <v>3.1831999999999999E-2</v>
      </c>
      <c r="F2" s="4">
        <v>7.1152999999999994E-2</v>
      </c>
      <c r="G2" s="4">
        <v>0.134544</v>
      </c>
      <c r="H2" s="4">
        <v>0.23771800000000001</v>
      </c>
      <c r="I2" s="4">
        <v>0.36762099999999998</v>
      </c>
      <c r="J2" s="4">
        <v>0.51263899999999996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0.90459800000000001</v>
      </c>
      <c r="S2" s="4">
        <v>5.3133759999999999</v>
      </c>
      <c r="T2" s="4">
        <v>5.6730239999999998</v>
      </c>
      <c r="U2" s="4">
        <v>5.9850060000000003</v>
      </c>
      <c r="V2" s="4">
        <v>6.2675169999999998</v>
      </c>
      <c r="W2" s="4">
        <v>6.5161829999999998</v>
      </c>
      <c r="X2" s="4">
        <v>6.734</v>
      </c>
      <c r="Y2" s="4">
        <v>6.923521</v>
      </c>
      <c r="Z2" s="4">
        <v>7.0892609999999996</v>
      </c>
      <c r="AA2" s="4">
        <v>7.2399630000000004</v>
      </c>
      <c r="AB2" s="4">
        <v>7.3739660000000002</v>
      </c>
      <c r="AC2" s="4">
        <v>7.5034419999999997</v>
      </c>
      <c r="AD2" s="4">
        <v>7.6272919999999997</v>
      </c>
      <c r="AE2" s="5" cm="1">
        <f t="array" ref="AE2:AE6">(AD2:AD6-D2:D6)/D2:D6</f>
        <v>1373.2868468468466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4.0000000000000003E-5</v>
      </c>
      <c r="E5" s="4">
        <v>4.0000000000000003E-5</v>
      </c>
      <c r="F5" s="4">
        <v>4.0000000000000003E-5</v>
      </c>
      <c r="G5" s="4">
        <v>4.0000000000000003E-5</v>
      </c>
      <c r="H5" s="4">
        <v>4.0000000000000003E-5</v>
      </c>
      <c r="I5" s="4">
        <v>4.0000000000000003E-5</v>
      </c>
      <c r="J5" s="4">
        <v>4.0000000000000003E-5</v>
      </c>
      <c r="K5" s="4">
        <v>4.0000000000000003E-5</v>
      </c>
      <c r="L5" s="4">
        <v>4.0000000000000003E-5</v>
      </c>
      <c r="M5" s="4">
        <v>4.0000000000000003E-5</v>
      </c>
      <c r="N5" s="4">
        <v>4.0000000000000003E-5</v>
      </c>
      <c r="O5" s="4">
        <v>4.0000000000000003E-5</v>
      </c>
      <c r="P5" s="4">
        <v>4.0000000000000003E-5</v>
      </c>
      <c r="Q5" s="4">
        <v>4.0000000000000003E-5</v>
      </c>
      <c r="R5" s="4">
        <v>4.0000000000000003E-5</v>
      </c>
      <c r="S5" s="4">
        <v>4.0000000000000003E-5</v>
      </c>
      <c r="T5" s="4">
        <v>4.0000000000000003E-5</v>
      </c>
      <c r="U5" s="4">
        <v>4.0000000000000003E-5</v>
      </c>
      <c r="V5" s="4">
        <v>4.0000000000000003E-5</v>
      </c>
      <c r="W5" s="4">
        <v>4.0000000000000003E-5</v>
      </c>
      <c r="X5" s="4">
        <v>4.0000000000000003E-5</v>
      </c>
      <c r="Y5" s="4">
        <v>4.0000000000000003E-5</v>
      </c>
      <c r="Z5" s="4">
        <v>4.0000000000000003E-5</v>
      </c>
      <c r="AA5" s="4">
        <v>4.0000000000000003E-5</v>
      </c>
      <c r="AB5" s="4">
        <v>4.0000000000000003E-5</v>
      </c>
      <c r="AC5" s="4">
        <v>4.0000000000000003E-5</v>
      </c>
      <c r="AD5" s="4">
        <v>4.0000000000000003E-5</v>
      </c>
      <c r="AE5" s="5">
        <v>0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5.5900000000000004E-3</v>
      </c>
      <c r="E6" s="4">
        <v>3.1871999999999998E-2</v>
      </c>
      <c r="F6" s="4">
        <v>7.1193000000000006E-2</v>
      </c>
      <c r="G6" s="4">
        <v>0.13458400000000001</v>
      </c>
      <c r="H6" s="4">
        <v>0.237758</v>
      </c>
      <c r="I6" s="4">
        <v>0.36766100000000002</v>
      </c>
      <c r="J6" s="4">
        <v>0.512679</v>
      </c>
      <c r="K6" s="4">
        <v>4.0000000000000003E-5</v>
      </c>
      <c r="L6" s="4">
        <v>4.0000000000000003E-5</v>
      </c>
      <c r="M6" s="4">
        <v>4.0000000000000003E-5</v>
      </c>
      <c r="N6" s="4">
        <v>4.0000000000000003E-5</v>
      </c>
      <c r="O6" s="4">
        <v>4.0000000000000003E-5</v>
      </c>
      <c r="P6" s="4">
        <v>4.0000000000000003E-5</v>
      </c>
      <c r="Q6" s="4">
        <v>4.0000000000000003E-5</v>
      </c>
      <c r="R6" s="4">
        <v>0.90463800000000005</v>
      </c>
      <c r="S6" s="4">
        <v>5.3134160000000001</v>
      </c>
      <c r="T6" s="4">
        <v>5.6730640000000001</v>
      </c>
      <c r="U6" s="4">
        <v>5.9850459999999996</v>
      </c>
      <c r="V6" s="4">
        <v>6.267557</v>
      </c>
      <c r="W6" s="4">
        <v>6.5162230000000001</v>
      </c>
      <c r="X6" s="4">
        <v>6.7340400000000002</v>
      </c>
      <c r="Y6" s="4">
        <v>6.9235610000000003</v>
      </c>
      <c r="Z6" s="4">
        <v>7.0893009999999999</v>
      </c>
      <c r="AA6" s="4">
        <v>7.2400029999999997</v>
      </c>
      <c r="AB6" s="4">
        <v>7.3740059999999996</v>
      </c>
      <c r="AC6" s="4">
        <v>7.503482</v>
      </c>
      <c r="AD6" s="4">
        <v>7.627332</v>
      </c>
      <c r="AE6" s="5">
        <v>1363.4601073345259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7.6210000000000002E-3</v>
      </c>
      <c r="E7" s="4">
        <v>4.3706000000000002E-2</v>
      </c>
      <c r="F7" s="4">
        <v>9.7695000000000004E-2</v>
      </c>
      <c r="G7" s="4">
        <v>0.18473300000000001</v>
      </c>
      <c r="H7" s="4">
        <v>0.32639400000000002</v>
      </c>
      <c r="I7" s="4">
        <v>0.50475599999999998</v>
      </c>
      <c r="J7" s="4">
        <v>0.70386899999999997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1.242041</v>
      </c>
      <c r="S7" s="4">
        <v>7.2954319999999999</v>
      </c>
      <c r="T7" s="4">
        <v>7.7892400000000004</v>
      </c>
      <c r="U7" s="4">
        <v>8.2176010000000002</v>
      </c>
      <c r="V7" s="4">
        <v>8.6054960000000005</v>
      </c>
      <c r="W7" s="4">
        <v>8.9469239999999992</v>
      </c>
      <c r="X7" s="4">
        <v>9.2459919999999993</v>
      </c>
      <c r="Y7" s="4">
        <v>9.5062099999999994</v>
      </c>
      <c r="Z7" s="4">
        <v>9.7337779999999992</v>
      </c>
      <c r="AA7" s="4">
        <v>9.9406949999999998</v>
      </c>
      <c r="AB7" s="4">
        <v>10.124684999999999</v>
      </c>
      <c r="AC7" s="4">
        <v>10.302460999999999</v>
      </c>
      <c r="AD7" s="4">
        <v>10.47251</v>
      </c>
      <c r="AE7" s="5" cm="1">
        <f t="array" ref="AE7:AE9">(AD7:AD9-D7:D9)/D7:D9</f>
        <v>1373.1648077680093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1.9000000000000001E-5</v>
      </c>
      <c r="E8" s="4">
        <v>1.06E-4</v>
      </c>
      <c r="F8" s="4">
        <v>2.3699999999999999E-4</v>
      </c>
      <c r="G8" s="4">
        <v>4.4900000000000002E-4</v>
      </c>
      <c r="H8" s="4">
        <v>7.9299999999999998E-4</v>
      </c>
      <c r="I8" s="4">
        <v>1.2260000000000001E-3</v>
      </c>
      <c r="J8" s="4">
        <v>1.7099999999999999E-3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3.0170000000000002E-3</v>
      </c>
      <c r="S8" s="4">
        <v>1.772E-2</v>
      </c>
      <c r="T8" s="4">
        <v>1.8919999999999999E-2</v>
      </c>
      <c r="U8" s="4">
        <v>1.9959999999999999E-2</v>
      </c>
      <c r="V8" s="4">
        <v>2.0902E-2</v>
      </c>
      <c r="W8" s="4">
        <v>2.1732000000000001E-2</v>
      </c>
      <c r="X8" s="4">
        <v>2.2457999999999999E-2</v>
      </c>
      <c r="Y8" s="4">
        <v>2.3089999999999999E-2</v>
      </c>
      <c r="Z8" s="4">
        <v>2.3643000000000001E-2</v>
      </c>
      <c r="AA8" s="4">
        <v>2.4145E-2</v>
      </c>
      <c r="AB8" s="4">
        <v>2.4591999999999999E-2</v>
      </c>
      <c r="AC8" s="4">
        <v>2.5024000000000001E-2</v>
      </c>
      <c r="AD8" s="4">
        <v>2.5437000000000001E-2</v>
      </c>
      <c r="AE8" s="5">
        <v>1337.7894736842104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7.639E-3</v>
      </c>
      <c r="E9" s="4">
        <v>4.3811999999999997E-2</v>
      </c>
      <c r="F9" s="4">
        <v>9.7932000000000005E-2</v>
      </c>
      <c r="G9" s="4">
        <v>0.18518100000000001</v>
      </c>
      <c r="H9" s="4">
        <v>0.32718700000000001</v>
      </c>
      <c r="I9" s="4">
        <v>0.50598200000000004</v>
      </c>
      <c r="J9" s="4">
        <v>0.70557800000000004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1.245058</v>
      </c>
      <c r="S9" s="4">
        <v>7.3131519999999997</v>
      </c>
      <c r="T9" s="4">
        <v>7.8081589999999998</v>
      </c>
      <c r="U9" s="4">
        <v>8.2375609999999995</v>
      </c>
      <c r="V9" s="4">
        <v>8.6263989999999993</v>
      </c>
      <c r="W9" s="4">
        <v>8.9686559999999993</v>
      </c>
      <c r="X9" s="4">
        <v>9.2684499999999996</v>
      </c>
      <c r="Y9" s="4">
        <v>9.5293010000000002</v>
      </c>
      <c r="Z9" s="4">
        <v>9.7574210000000008</v>
      </c>
      <c r="AA9" s="4">
        <v>9.9648400000000006</v>
      </c>
      <c r="AB9" s="4">
        <v>10.149278000000001</v>
      </c>
      <c r="AC9" s="4">
        <v>10.327484999999999</v>
      </c>
      <c r="AD9" s="4">
        <v>10.497947999999999</v>
      </c>
      <c r="AE9" s="5">
        <v>1373.2568399005106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7.6210000000000002E-3</v>
      </c>
      <c r="E10" s="4">
        <v>4.3706000000000002E-2</v>
      </c>
      <c r="F10" s="4">
        <v>9.7695000000000004E-2</v>
      </c>
      <c r="G10" s="4">
        <v>0.18473300000000001</v>
      </c>
      <c r="H10" s="4">
        <v>0.32639400000000002</v>
      </c>
      <c r="I10" s="4">
        <v>0.50475599999999998</v>
      </c>
      <c r="J10" s="4">
        <v>0.70386899999999997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1.242041</v>
      </c>
      <c r="S10" s="4">
        <v>7.2954319999999999</v>
      </c>
      <c r="T10" s="4">
        <v>7.7892400000000004</v>
      </c>
      <c r="U10" s="4">
        <v>8.2176010000000002</v>
      </c>
      <c r="V10" s="4">
        <v>8.6054960000000005</v>
      </c>
      <c r="W10" s="4">
        <v>8.9469239999999992</v>
      </c>
      <c r="X10" s="4">
        <v>9.2459919999999993</v>
      </c>
      <c r="Y10" s="4">
        <v>9.5062099999999994</v>
      </c>
      <c r="Z10" s="4">
        <v>9.7337779999999992</v>
      </c>
      <c r="AA10" s="4">
        <v>9.9406949999999998</v>
      </c>
      <c r="AB10" s="4">
        <v>10.124684999999999</v>
      </c>
      <c r="AC10" s="4">
        <v>10.302460999999999</v>
      </c>
      <c r="AD10" s="4">
        <v>10.47251</v>
      </c>
      <c r="AE10" s="5" cm="1">
        <f t="array" ref="AE10:AE14">(AD10:AD14-D10:D14)/D10:D14</f>
        <v>1373.1648077680093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6.5040000000000002E-3</v>
      </c>
      <c r="E11" s="4">
        <v>3.7303000000000003E-2</v>
      </c>
      <c r="F11" s="4">
        <v>8.3382999999999999E-2</v>
      </c>
      <c r="G11" s="4">
        <v>0.157669</v>
      </c>
      <c r="H11" s="4">
        <v>0.27857799999999999</v>
      </c>
      <c r="I11" s="4">
        <v>0.430809</v>
      </c>
      <c r="J11" s="4">
        <v>0.60075199999999995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1.060082</v>
      </c>
      <c r="S11" s="4">
        <v>6.2266490000000001</v>
      </c>
      <c r="T11" s="4">
        <v>6.6481139999999996</v>
      </c>
      <c r="U11" s="4">
        <v>7.0137200000000002</v>
      </c>
      <c r="V11" s="4">
        <v>7.3447889999999996</v>
      </c>
      <c r="W11" s="4">
        <v>7.6361970000000001</v>
      </c>
      <c r="X11" s="4">
        <v>7.8914520000000001</v>
      </c>
      <c r="Y11" s="4">
        <v>8.1135479999999998</v>
      </c>
      <c r="Z11" s="4">
        <v>8.3077760000000005</v>
      </c>
      <c r="AA11" s="4">
        <v>8.4843810000000008</v>
      </c>
      <c r="AB11" s="4">
        <v>8.6414170000000006</v>
      </c>
      <c r="AC11" s="4">
        <v>8.7931469999999994</v>
      </c>
      <c r="AD11" s="4">
        <v>8.9382850000000005</v>
      </c>
      <c r="AE11" s="5">
        <v>1373.275061500615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1.116E-3</v>
      </c>
      <c r="E12" s="4">
        <v>6.4029999999999998E-3</v>
      </c>
      <c r="F12" s="4">
        <v>1.4312E-2</v>
      </c>
      <c r="G12" s="4">
        <v>2.7063E-2</v>
      </c>
      <c r="H12" s="4">
        <v>4.7816999999999998E-2</v>
      </c>
      <c r="I12" s="4">
        <v>7.3946999999999999E-2</v>
      </c>
      <c r="J12" s="4">
        <v>0.103117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0.18195900000000001</v>
      </c>
      <c r="S12" s="4">
        <v>1.068783</v>
      </c>
      <c r="T12" s="4">
        <v>1.1411260000000001</v>
      </c>
      <c r="U12" s="4">
        <v>1.203881</v>
      </c>
      <c r="V12" s="4">
        <v>1.260707</v>
      </c>
      <c r="W12" s="4">
        <v>1.310727</v>
      </c>
      <c r="X12" s="4">
        <v>1.3545400000000001</v>
      </c>
      <c r="Y12" s="4">
        <v>1.3926620000000001</v>
      </c>
      <c r="Z12" s="4">
        <v>1.4260010000000001</v>
      </c>
      <c r="AA12" s="4">
        <v>1.4563140000000001</v>
      </c>
      <c r="AB12" s="4">
        <v>1.4832689999999999</v>
      </c>
      <c r="AC12" s="4">
        <v>1.5093129999999999</v>
      </c>
      <c r="AD12" s="4">
        <v>1.5342260000000001</v>
      </c>
      <c r="AE12" s="5">
        <v>1373.7544802867385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1.9000000000000001E-5</v>
      </c>
      <c r="E13" s="4">
        <v>1.06E-4</v>
      </c>
      <c r="F13" s="4">
        <v>2.3699999999999999E-4</v>
      </c>
      <c r="G13" s="4">
        <v>4.4900000000000002E-4</v>
      </c>
      <c r="H13" s="4">
        <v>7.9299999999999998E-4</v>
      </c>
      <c r="I13" s="4">
        <v>1.2260000000000001E-3</v>
      </c>
      <c r="J13" s="4">
        <v>1.7099999999999999E-3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3.0170000000000002E-3</v>
      </c>
      <c r="S13" s="4">
        <v>1.772E-2</v>
      </c>
      <c r="T13" s="4">
        <v>1.8919999999999999E-2</v>
      </c>
      <c r="U13" s="4">
        <v>1.9959999999999999E-2</v>
      </c>
      <c r="V13" s="4">
        <v>2.0902E-2</v>
      </c>
      <c r="W13" s="4">
        <v>2.1732000000000001E-2</v>
      </c>
      <c r="X13" s="4">
        <v>2.2457999999999999E-2</v>
      </c>
      <c r="Y13" s="4">
        <v>2.3089999999999999E-2</v>
      </c>
      <c r="Z13" s="4">
        <v>2.3643000000000001E-2</v>
      </c>
      <c r="AA13" s="4">
        <v>2.4145E-2</v>
      </c>
      <c r="AB13" s="4">
        <v>2.4591999999999999E-2</v>
      </c>
      <c r="AC13" s="4">
        <v>2.5024000000000001E-2</v>
      </c>
      <c r="AD13" s="4">
        <v>2.5437000000000001E-2</v>
      </c>
      <c r="AE13" s="5">
        <v>1337.7894736842104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7.639E-3</v>
      </c>
      <c r="E14" s="4">
        <v>4.3811999999999997E-2</v>
      </c>
      <c r="F14" s="4">
        <v>9.7932000000000005E-2</v>
      </c>
      <c r="G14" s="4">
        <v>0.18518100000000001</v>
      </c>
      <c r="H14" s="4">
        <v>0.32718700000000001</v>
      </c>
      <c r="I14" s="4">
        <v>0.50598200000000004</v>
      </c>
      <c r="J14" s="4">
        <v>0.70557800000000004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1.245058</v>
      </c>
      <c r="S14" s="4">
        <v>7.3131519999999997</v>
      </c>
      <c r="T14" s="4">
        <v>7.8081589999999998</v>
      </c>
      <c r="U14" s="4">
        <v>8.2375609999999995</v>
      </c>
      <c r="V14" s="4">
        <v>8.6263989999999993</v>
      </c>
      <c r="W14" s="4">
        <v>8.9686559999999993</v>
      </c>
      <c r="X14" s="4">
        <v>9.2684499999999996</v>
      </c>
      <c r="Y14" s="4">
        <v>9.5293010000000002</v>
      </c>
      <c r="Z14" s="4">
        <v>9.7574210000000008</v>
      </c>
      <c r="AA14" s="4">
        <v>9.9648400000000006</v>
      </c>
      <c r="AB14" s="4">
        <v>10.149278000000001</v>
      </c>
      <c r="AC14" s="4">
        <v>10.327484999999999</v>
      </c>
      <c r="AD14" s="4">
        <v>10.497947999999999</v>
      </c>
      <c r="AE14" s="5">
        <v>1373.2568399005106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5" t="e" cm="1">
        <f t="array" ref="AE16:AE20">(AD16:AD20-D16:D20)/D16:D20</f>
        <v>#DIV/0!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5" t="e">
        <v>#DIV/0!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5" t="e">
        <v>#DIV/0!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5.5909999999999996E-3</v>
      </c>
      <c r="E19" s="4">
        <v>3.1862000000000001E-2</v>
      </c>
      <c r="F19" s="4">
        <v>7.1181999999999995E-2</v>
      </c>
      <c r="G19" s="4">
        <v>0.134551</v>
      </c>
      <c r="H19" s="4">
        <v>0.237593</v>
      </c>
      <c r="I19" s="4">
        <v>0.36719400000000002</v>
      </c>
      <c r="J19" s="4">
        <v>0.51190999999999998</v>
      </c>
      <c r="K19" s="4">
        <v>0.83094599999999996</v>
      </c>
      <c r="L19" s="4">
        <v>1.5707139999999999</v>
      </c>
      <c r="M19" s="4">
        <v>2.214845</v>
      </c>
      <c r="N19" s="4">
        <v>2.8482620000000001</v>
      </c>
      <c r="O19" s="4">
        <v>3.43282</v>
      </c>
      <c r="P19" s="4">
        <v>3.9598680000000002</v>
      </c>
      <c r="Q19" s="4">
        <v>4.433859</v>
      </c>
      <c r="R19" s="4">
        <v>4.8824310000000004</v>
      </c>
      <c r="S19" s="4">
        <v>5.2753930000000002</v>
      </c>
      <c r="T19" s="4">
        <v>5.6294740000000001</v>
      </c>
      <c r="U19" s="4">
        <v>5.9386239999999999</v>
      </c>
      <c r="V19" s="4">
        <v>6.2181620000000004</v>
      </c>
      <c r="W19" s="4">
        <v>6.4635990000000003</v>
      </c>
      <c r="X19" s="4">
        <v>6.6787939999999999</v>
      </c>
      <c r="Y19" s="4">
        <v>6.8675800000000002</v>
      </c>
      <c r="Z19" s="4">
        <v>7.0350700000000002</v>
      </c>
      <c r="AA19" s="4">
        <v>7.1888750000000003</v>
      </c>
      <c r="AB19" s="4">
        <v>7.32925</v>
      </c>
      <c r="AC19" s="4">
        <v>7.460547</v>
      </c>
      <c r="AD19" s="4">
        <v>7.5854970000000002</v>
      </c>
      <c r="AE19" s="5">
        <v>1355.7335002682885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11.220973000000001</v>
      </c>
      <c r="E21" s="4">
        <v>13.155443999999999</v>
      </c>
      <c r="F21" s="4">
        <v>13.185632999999999</v>
      </c>
      <c r="G21" s="4">
        <v>12.677488</v>
      </c>
      <c r="H21" s="4">
        <v>12.582741</v>
      </c>
      <c r="I21" s="4">
        <v>13.040221000000001</v>
      </c>
      <c r="J21" s="4">
        <v>13.847272</v>
      </c>
      <c r="K21" s="4">
        <v>12.103989</v>
      </c>
      <c r="L21" s="4">
        <v>11.174817000000001</v>
      </c>
      <c r="M21" s="4">
        <v>11.675328</v>
      </c>
      <c r="N21" s="4">
        <v>10.609824</v>
      </c>
      <c r="O21" s="4">
        <v>8.690906</v>
      </c>
      <c r="P21" s="4">
        <v>7.5255650000000003</v>
      </c>
      <c r="Q21" s="4">
        <v>5.0143500000000003</v>
      </c>
      <c r="R21" s="4">
        <v>13.697386</v>
      </c>
      <c r="S21" s="4">
        <v>16.654737000000001</v>
      </c>
      <c r="T21" s="4">
        <v>16.670100999999999</v>
      </c>
      <c r="U21" s="4">
        <v>16.671126999999998</v>
      </c>
      <c r="V21" s="4">
        <v>16.494046999999998</v>
      </c>
      <c r="W21" s="4">
        <v>16.331709</v>
      </c>
      <c r="X21" s="4">
        <v>16.103462</v>
      </c>
      <c r="Y21" s="4">
        <v>16.066271</v>
      </c>
      <c r="Z21" s="4">
        <v>16.19426</v>
      </c>
      <c r="AA21" s="4">
        <v>16.440906999999999</v>
      </c>
      <c r="AB21" s="4">
        <v>16.711357</v>
      </c>
      <c r="AC21" s="4">
        <v>17.090216000000002</v>
      </c>
      <c r="AD21" s="4">
        <v>17.480953</v>
      </c>
      <c r="AE21" s="5">
        <f>(AD21-D21)/D21</f>
        <v>0.55788210166801033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13.684495</v>
      </c>
      <c r="E22" s="4">
        <v>15.618964999999999</v>
      </c>
      <c r="F22" s="4">
        <v>15.649155</v>
      </c>
      <c r="G22" s="4">
        <v>15.14101</v>
      </c>
      <c r="H22" s="4">
        <v>15.046263</v>
      </c>
      <c r="I22" s="4">
        <v>15.503743</v>
      </c>
      <c r="J22" s="4">
        <v>16.310794999999999</v>
      </c>
      <c r="K22" s="4">
        <v>14.567511</v>
      </c>
      <c r="L22" s="4">
        <v>13.638339999999999</v>
      </c>
      <c r="M22" s="4">
        <v>14.13885</v>
      </c>
      <c r="N22" s="4">
        <v>13.073346000000001</v>
      </c>
      <c r="O22" s="4">
        <v>11.154427999999999</v>
      </c>
      <c r="P22" s="4">
        <v>9.9890869999999996</v>
      </c>
      <c r="Q22" s="4">
        <v>7.4778719999999996</v>
      </c>
      <c r="R22" s="4">
        <v>16.160907999999999</v>
      </c>
      <c r="S22" s="4">
        <v>19.118258999999998</v>
      </c>
      <c r="T22" s="4">
        <v>19.133623</v>
      </c>
      <c r="U22" s="4">
        <v>19.134649</v>
      </c>
      <c r="V22" s="4">
        <v>18.957568999999999</v>
      </c>
      <c r="W22" s="4">
        <v>18.795228999999999</v>
      </c>
      <c r="X22" s="4">
        <v>18.566984000000001</v>
      </c>
      <c r="Y22" s="4">
        <v>18.529793000000002</v>
      </c>
      <c r="Z22" s="4">
        <v>18.657782000000001</v>
      </c>
      <c r="AA22" s="4">
        <v>18.904426999999998</v>
      </c>
      <c r="AB22" s="4">
        <v>19.174880999999999</v>
      </c>
      <c r="AC22" s="4">
        <v>19.553737999999999</v>
      </c>
      <c r="AD22" s="4">
        <v>19.944475000000001</v>
      </c>
      <c r="AE22" s="5" cm="1">
        <f t="array" ref="AE22:AE24">(AD22:AD24-D22:D24)/D22:D24</f>
        <v>0.45745056722955435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63.770546000000003</v>
      </c>
      <c r="E23" s="4">
        <v>65.704796000000002</v>
      </c>
      <c r="F23" s="4">
        <v>65.740784000000005</v>
      </c>
      <c r="G23" s="4">
        <v>65.232619999999997</v>
      </c>
      <c r="H23" s="4">
        <v>65.137871000000004</v>
      </c>
      <c r="I23" s="4">
        <v>65.595398000000003</v>
      </c>
      <c r="J23" s="4">
        <v>66.402450999999999</v>
      </c>
      <c r="K23" s="4">
        <v>64.624961999999996</v>
      </c>
      <c r="L23" s="4">
        <v>63.696106</v>
      </c>
      <c r="M23" s="4">
        <v>64.203971999999993</v>
      </c>
      <c r="N23" s="4">
        <v>63.145206000000002</v>
      </c>
      <c r="O23" s="4">
        <v>61.226275999999999</v>
      </c>
      <c r="P23" s="4">
        <v>60.056922999999998</v>
      </c>
      <c r="Q23" s="4">
        <v>57.540515999999997</v>
      </c>
      <c r="R23" s="4">
        <v>66.242523000000006</v>
      </c>
      <c r="S23" s="4">
        <v>69.209862000000001</v>
      </c>
      <c r="T23" s="4">
        <v>69.225219999999993</v>
      </c>
      <c r="U23" s="4">
        <v>69.226273000000006</v>
      </c>
      <c r="V23" s="4">
        <v>69.049187000000003</v>
      </c>
      <c r="W23" s="4">
        <v>68.886848000000001</v>
      </c>
      <c r="X23" s="4">
        <v>68.658600000000007</v>
      </c>
      <c r="Y23" s="4">
        <v>68.621391000000003</v>
      </c>
      <c r="Z23" s="4">
        <v>68.749397000000002</v>
      </c>
      <c r="AA23" s="4">
        <v>68.996039999999994</v>
      </c>
      <c r="AB23" s="4">
        <v>69.266502000000003</v>
      </c>
      <c r="AC23" s="4">
        <v>69.64537</v>
      </c>
      <c r="AD23" s="4">
        <v>70.036086999999995</v>
      </c>
      <c r="AE23" s="5">
        <v>9.8251330637815007E-2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13.684495</v>
      </c>
      <c r="E24" s="4">
        <v>15.618964999999999</v>
      </c>
      <c r="F24" s="4">
        <v>15.649155</v>
      </c>
      <c r="G24" s="4">
        <v>15.14101</v>
      </c>
      <c r="H24" s="4">
        <v>15.046263</v>
      </c>
      <c r="I24" s="4">
        <v>15.503743</v>
      </c>
      <c r="J24" s="4">
        <v>16.310794999999999</v>
      </c>
      <c r="K24" s="4">
        <v>14.567511</v>
      </c>
      <c r="L24" s="4">
        <v>13.638339999999999</v>
      </c>
      <c r="M24" s="4">
        <v>14.13885</v>
      </c>
      <c r="N24" s="4">
        <v>13.073346000000001</v>
      </c>
      <c r="O24" s="4">
        <v>11.154427999999999</v>
      </c>
      <c r="P24" s="4">
        <v>9.9890869999999996</v>
      </c>
      <c r="Q24" s="4">
        <v>7.4778719999999996</v>
      </c>
      <c r="R24" s="4">
        <v>16.160907999999999</v>
      </c>
      <c r="S24" s="4">
        <v>19.118258999999998</v>
      </c>
      <c r="T24" s="4">
        <v>19.133623</v>
      </c>
      <c r="U24" s="4">
        <v>19.134649</v>
      </c>
      <c r="V24" s="4">
        <v>18.957568999999999</v>
      </c>
      <c r="W24" s="4">
        <v>18.795228999999999</v>
      </c>
      <c r="X24" s="4">
        <v>18.566984000000001</v>
      </c>
      <c r="Y24" s="4">
        <v>18.529793000000002</v>
      </c>
      <c r="Z24" s="4">
        <v>18.657782000000001</v>
      </c>
      <c r="AA24" s="4">
        <v>18.904426999999998</v>
      </c>
      <c r="AB24" s="4">
        <v>19.174880999999999</v>
      </c>
      <c r="AC24" s="4">
        <v>19.553737999999999</v>
      </c>
      <c r="AD24" s="4">
        <v>19.944475000000001</v>
      </c>
      <c r="AE24" s="5">
        <v>0.45745056722955435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83.643851999999995</v>
      </c>
      <c r="E2" s="4">
        <v>83.673171999999994</v>
      </c>
      <c r="F2" s="4">
        <v>83.881980999999996</v>
      </c>
      <c r="G2" s="4">
        <v>78.612533999999997</v>
      </c>
      <c r="H2" s="4">
        <v>71.191642999999999</v>
      </c>
      <c r="I2" s="4">
        <v>68.371773000000005</v>
      </c>
      <c r="J2" s="4">
        <v>67.963120000000004</v>
      </c>
      <c r="K2" s="4">
        <v>70.871880000000004</v>
      </c>
      <c r="L2" s="4">
        <v>66.637885999999995</v>
      </c>
      <c r="M2" s="4">
        <v>78.521141</v>
      </c>
      <c r="N2" s="4">
        <v>72.416122000000001</v>
      </c>
      <c r="O2" s="4">
        <v>73.832115000000002</v>
      </c>
      <c r="P2" s="4">
        <v>71.437370000000001</v>
      </c>
      <c r="Q2" s="4">
        <v>67.585471999999996</v>
      </c>
      <c r="R2" s="4">
        <v>55.741798000000003</v>
      </c>
      <c r="S2" s="4">
        <v>56.747135</v>
      </c>
      <c r="T2" s="4">
        <v>65.043075999999999</v>
      </c>
      <c r="U2" s="4">
        <v>47.703625000000002</v>
      </c>
      <c r="V2" s="4">
        <v>52.010638999999998</v>
      </c>
      <c r="W2" s="4">
        <v>60.912514000000002</v>
      </c>
      <c r="X2" s="4">
        <v>67.042869999999994</v>
      </c>
      <c r="Y2" s="4">
        <v>74.304946999999999</v>
      </c>
      <c r="Z2" s="4">
        <v>69.632560999999995</v>
      </c>
      <c r="AA2" s="4">
        <v>71.221153000000001</v>
      </c>
      <c r="AB2" s="4">
        <v>74.057464999999993</v>
      </c>
      <c r="AC2" s="4">
        <v>74.742783000000003</v>
      </c>
      <c r="AD2" s="4">
        <v>77.418357999999998</v>
      </c>
      <c r="AE2" s="5" cm="1">
        <f t="array" ref="AE2:AE6">(AD2:AD6-D2:D6)/D2:D6</f>
        <v>-7.442859040016471E-2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5.8125830000000001</v>
      </c>
      <c r="H4" s="4">
        <v>13.956823</v>
      </c>
      <c r="I4" s="4">
        <v>17.639101</v>
      </c>
      <c r="J4" s="4">
        <v>19.025410000000001</v>
      </c>
      <c r="K4" s="4">
        <v>18.264683000000002</v>
      </c>
      <c r="L4" s="4">
        <v>27.474211</v>
      </c>
      <c r="M4" s="4">
        <v>19.938244000000001</v>
      </c>
      <c r="N4" s="4">
        <v>30.396591000000001</v>
      </c>
      <c r="O4" s="4">
        <v>33.008552999999999</v>
      </c>
      <c r="P4" s="4">
        <v>39.042273999999999</v>
      </c>
      <c r="Q4" s="4">
        <v>46.348033999999998</v>
      </c>
      <c r="R4" s="4">
        <v>61.098049000000003</v>
      </c>
      <c r="S4" s="4">
        <v>63.031627999999998</v>
      </c>
      <c r="T4" s="4">
        <v>57.367989000000001</v>
      </c>
      <c r="U4" s="4">
        <v>77.021209999999996</v>
      </c>
      <c r="V4" s="4">
        <v>74.909508000000002</v>
      </c>
      <c r="W4" s="4">
        <v>67.982146999999998</v>
      </c>
      <c r="X4" s="4">
        <v>63.689301</v>
      </c>
      <c r="Y4" s="4">
        <v>58.087024999999997</v>
      </c>
      <c r="Z4" s="4">
        <v>64.346939000000006</v>
      </c>
      <c r="AA4" s="4">
        <v>64.226303000000001</v>
      </c>
      <c r="AB4" s="4">
        <v>62.789493999999998</v>
      </c>
      <c r="AC4" s="4">
        <v>63.558047999999999</v>
      </c>
      <c r="AD4" s="4">
        <v>62.317635000000003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22.397535000000001</v>
      </c>
      <c r="E5" s="4">
        <v>22.397535000000001</v>
      </c>
      <c r="F5" s="4">
        <v>22.397535000000001</v>
      </c>
      <c r="G5" s="4">
        <v>22.397535000000001</v>
      </c>
      <c r="H5" s="4">
        <v>22.397535000000001</v>
      </c>
      <c r="I5" s="4">
        <v>22.397535000000001</v>
      </c>
      <c r="J5" s="4">
        <v>22.397535000000001</v>
      </c>
      <c r="K5" s="4">
        <v>22.397535000000001</v>
      </c>
      <c r="L5" s="4">
        <v>22.397535000000001</v>
      </c>
      <c r="M5" s="4">
        <v>22.397535000000001</v>
      </c>
      <c r="N5" s="4">
        <v>22.397535000000001</v>
      </c>
      <c r="O5" s="4">
        <v>22.397535000000001</v>
      </c>
      <c r="P5" s="4">
        <v>22.397535000000001</v>
      </c>
      <c r="Q5" s="4">
        <v>22.397535000000001</v>
      </c>
      <c r="R5" s="4">
        <v>22.397535000000001</v>
      </c>
      <c r="S5" s="4">
        <v>22.397535000000001</v>
      </c>
      <c r="T5" s="4">
        <v>22.397535000000001</v>
      </c>
      <c r="U5" s="4">
        <v>22.397535000000001</v>
      </c>
      <c r="V5" s="4">
        <v>22.397535000000001</v>
      </c>
      <c r="W5" s="4">
        <v>22.397535000000001</v>
      </c>
      <c r="X5" s="4">
        <v>22.397535000000001</v>
      </c>
      <c r="Y5" s="4">
        <v>22.397535000000001</v>
      </c>
      <c r="Z5" s="4">
        <v>22.397535000000001</v>
      </c>
      <c r="AA5" s="4">
        <v>22.397535000000001</v>
      </c>
      <c r="AB5" s="4">
        <v>22.397535000000001</v>
      </c>
      <c r="AC5" s="4">
        <v>22.397535000000001</v>
      </c>
      <c r="AD5" s="4">
        <v>22.397535000000001</v>
      </c>
      <c r="AE5" s="5">
        <v>0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106.041389</v>
      </c>
      <c r="E6" s="4">
        <v>106.07070899999999</v>
      </c>
      <c r="F6" s="4">
        <v>106.279518</v>
      </c>
      <c r="G6" s="4">
        <v>106.82266199999999</v>
      </c>
      <c r="H6" s="4">
        <v>107.54600499999999</v>
      </c>
      <c r="I6" s="4">
        <v>108.40840900000001</v>
      </c>
      <c r="J6" s="4">
        <v>109.38607</v>
      </c>
      <c r="K6" s="4">
        <v>111.534103</v>
      </c>
      <c r="L6" s="4">
        <v>116.509636</v>
      </c>
      <c r="M6" s="4">
        <v>120.85691799999999</v>
      </c>
      <c r="N6" s="4">
        <v>125.21024300000001</v>
      </c>
      <c r="O6" s="4">
        <v>129.23819</v>
      </c>
      <c r="P6" s="4">
        <v>132.877182</v>
      </c>
      <c r="Q6" s="4">
        <v>136.331039</v>
      </c>
      <c r="R6" s="4">
        <v>139.23739599999999</v>
      </c>
      <c r="S6" s="4">
        <v>142.1763</v>
      </c>
      <c r="T6" s="4">
        <v>144.808594</v>
      </c>
      <c r="U6" s="4">
        <v>147.12237500000001</v>
      </c>
      <c r="V6" s="4">
        <v>149.317688</v>
      </c>
      <c r="W6" s="4">
        <v>151.292191</v>
      </c>
      <c r="X6" s="4">
        <v>153.12970000000001</v>
      </c>
      <c r="Y6" s="4">
        <v>154.78950499999999</v>
      </c>
      <c r="Z6" s="4">
        <v>156.37702899999999</v>
      </c>
      <c r="AA6" s="4">
        <v>157.845001</v>
      </c>
      <c r="AB6" s="4">
        <v>159.244507</v>
      </c>
      <c r="AC6" s="4">
        <v>160.69837999999999</v>
      </c>
      <c r="AD6" s="4">
        <v>162.13351399999999</v>
      </c>
      <c r="AE6" s="5">
        <v>0.52896444990927083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114.845634</v>
      </c>
      <c r="E7" s="4">
        <v>114.88588</v>
      </c>
      <c r="F7" s="4">
        <v>115.172585</v>
      </c>
      <c r="G7" s="4">
        <v>107.93749200000001</v>
      </c>
      <c r="H7" s="4">
        <v>97.748694999999998</v>
      </c>
      <c r="I7" s="4">
        <v>93.877243000000007</v>
      </c>
      <c r="J7" s="4">
        <v>93.317588999999998</v>
      </c>
      <c r="K7" s="4">
        <v>97.310654</v>
      </c>
      <c r="L7" s="4">
        <v>91.501914999999997</v>
      </c>
      <c r="M7" s="4">
        <v>107.811882</v>
      </c>
      <c r="N7" s="4">
        <v>99.430892999999998</v>
      </c>
      <c r="O7" s="4">
        <v>101.37520600000001</v>
      </c>
      <c r="P7" s="4">
        <v>98.084166999999994</v>
      </c>
      <c r="Q7" s="4">
        <v>92.796974000000006</v>
      </c>
      <c r="R7" s="4">
        <v>76.535233000000005</v>
      </c>
      <c r="S7" s="4">
        <v>77.915588</v>
      </c>
      <c r="T7" s="4">
        <v>89.304955000000007</v>
      </c>
      <c r="U7" s="4">
        <v>65.498565999999997</v>
      </c>
      <c r="V7" s="4">
        <v>71.396598999999995</v>
      </c>
      <c r="W7" s="4">
        <v>83.634369000000007</v>
      </c>
      <c r="X7" s="4">
        <v>92.048416000000003</v>
      </c>
      <c r="Y7" s="4">
        <v>102.014725</v>
      </c>
      <c r="Z7" s="4">
        <v>95.607544000000004</v>
      </c>
      <c r="AA7" s="4">
        <v>97.788864000000004</v>
      </c>
      <c r="AB7" s="4">
        <v>101.681381</v>
      </c>
      <c r="AC7" s="4">
        <v>102.623878</v>
      </c>
      <c r="AD7" s="4">
        <v>106.29753100000001</v>
      </c>
      <c r="AE7" s="5" cm="1">
        <f t="array" ref="AE7:AE9">(AD7:AD9-D7:D9)/D7:D9</f>
        <v>-7.4431240459693904E-2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0.27895399999999998</v>
      </c>
      <c r="E8" s="4">
        <v>0.27905099999999999</v>
      </c>
      <c r="F8" s="4">
        <v>0.279748</v>
      </c>
      <c r="G8" s="4">
        <v>8.285107</v>
      </c>
      <c r="H8" s="4">
        <v>19.501605999999999</v>
      </c>
      <c r="I8" s="4">
        <v>24.574736000000001</v>
      </c>
      <c r="J8" s="4">
        <v>26.486854999999998</v>
      </c>
      <c r="K8" s="4">
        <v>25.446546999999999</v>
      </c>
      <c r="L8" s="4">
        <v>38.144061999999998</v>
      </c>
      <c r="M8" s="4">
        <v>27.782022000000001</v>
      </c>
      <c r="N8" s="4">
        <v>42.197001999999998</v>
      </c>
      <c r="O8" s="4">
        <v>45.806933999999998</v>
      </c>
      <c r="P8" s="4">
        <v>54.127113000000001</v>
      </c>
      <c r="Q8" s="4">
        <v>64.198181000000005</v>
      </c>
      <c r="R8" s="4">
        <v>84.517685</v>
      </c>
      <c r="S8" s="4">
        <v>87.189896000000005</v>
      </c>
      <c r="T8" s="4">
        <v>79.400208000000006</v>
      </c>
      <c r="U8" s="4">
        <v>106.469131</v>
      </c>
      <c r="V8" s="4">
        <v>103.568771</v>
      </c>
      <c r="W8" s="4">
        <v>94.036834999999996</v>
      </c>
      <c r="X8" s="4">
        <v>88.131989000000004</v>
      </c>
      <c r="Y8" s="4">
        <v>80.423569000000001</v>
      </c>
      <c r="Z8" s="4">
        <v>89.048362999999995</v>
      </c>
      <c r="AA8" s="4">
        <v>88.887137999999993</v>
      </c>
      <c r="AB8" s="4">
        <v>86.913414000000003</v>
      </c>
      <c r="AC8" s="4">
        <v>87.976517000000001</v>
      </c>
      <c r="AD8" s="4">
        <v>86.273337999999995</v>
      </c>
      <c r="AE8" s="5">
        <v>308.27442517404302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115.124588</v>
      </c>
      <c r="E9" s="4">
        <v>115.16493199999999</v>
      </c>
      <c r="F9" s="4">
        <v>115.452332</v>
      </c>
      <c r="G9" s="4">
        <v>116.222595</v>
      </c>
      <c r="H9" s="4">
        <v>117.250305</v>
      </c>
      <c r="I9" s="4">
        <v>118.451981</v>
      </c>
      <c r="J9" s="4">
        <v>119.80444300000001</v>
      </c>
      <c r="K9" s="4">
        <v>122.75720200000001</v>
      </c>
      <c r="L9" s="4">
        <v>129.64598100000001</v>
      </c>
      <c r="M9" s="4">
        <v>135.59390300000001</v>
      </c>
      <c r="N9" s="4">
        <v>141.62789900000001</v>
      </c>
      <c r="O9" s="4">
        <v>147.18214399999999</v>
      </c>
      <c r="P9" s="4">
        <v>152.21127300000001</v>
      </c>
      <c r="Q9" s="4">
        <v>156.995148</v>
      </c>
      <c r="R9" s="4">
        <v>161.05291700000001</v>
      </c>
      <c r="S9" s="4">
        <v>165.10548399999999</v>
      </c>
      <c r="T9" s="4">
        <v>168.70517000000001</v>
      </c>
      <c r="U9" s="4">
        <v>171.96769699999999</v>
      </c>
      <c r="V9" s="4">
        <v>174.965363</v>
      </c>
      <c r="W9" s="4">
        <v>177.67120399999999</v>
      </c>
      <c r="X9" s="4">
        <v>180.18040500000001</v>
      </c>
      <c r="Y9" s="4">
        <v>182.43829299999999</v>
      </c>
      <c r="Z9" s="4">
        <v>184.655914</v>
      </c>
      <c r="AA9" s="4">
        <v>186.675995</v>
      </c>
      <c r="AB9" s="4">
        <v>188.59478799999999</v>
      </c>
      <c r="AC9" s="4">
        <v>190.600403</v>
      </c>
      <c r="AD9" s="4">
        <v>192.57086200000001</v>
      </c>
      <c r="AE9" s="5">
        <v>0.67271705675941273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114.845634</v>
      </c>
      <c r="E10" s="4">
        <v>114.88588</v>
      </c>
      <c r="F10" s="4">
        <v>115.172585</v>
      </c>
      <c r="G10" s="4">
        <v>107.93749200000001</v>
      </c>
      <c r="H10" s="4">
        <v>97.748694999999998</v>
      </c>
      <c r="I10" s="4">
        <v>93.877243000000007</v>
      </c>
      <c r="J10" s="4">
        <v>93.317588999999998</v>
      </c>
      <c r="K10" s="4">
        <v>97.310654</v>
      </c>
      <c r="L10" s="4">
        <v>91.501914999999997</v>
      </c>
      <c r="M10" s="4">
        <v>107.811882</v>
      </c>
      <c r="N10" s="4">
        <v>99.430892999999998</v>
      </c>
      <c r="O10" s="4">
        <v>101.37520600000001</v>
      </c>
      <c r="P10" s="4">
        <v>98.084166999999994</v>
      </c>
      <c r="Q10" s="4">
        <v>92.796974000000006</v>
      </c>
      <c r="R10" s="4">
        <v>76.535233000000005</v>
      </c>
      <c r="S10" s="4">
        <v>77.915588</v>
      </c>
      <c r="T10" s="4">
        <v>89.304955000000007</v>
      </c>
      <c r="U10" s="4">
        <v>65.498565999999997</v>
      </c>
      <c r="V10" s="4">
        <v>71.396598999999995</v>
      </c>
      <c r="W10" s="4">
        <v>83.634369000000007</v>
      </c>
      <c r="X10" s="4">
        <v>92.048416000000003</v>
      </c>
      <c r="Y10" s="4">
        <v>102.014725</v>
      </c>
      <c r="Z10" s="4">
        <v>95.607544000000004</v>
      </c>
      <c r="AA10" s="4">
        <v>97.788864000000004</v>
      </c>
      <c r="AB10" s="4">
        <v>101.681381</v>
      </c>
      <c r="AC10" s="4">
        <v>102.623878</v>
      </c>
      <c r="AD10" s="4">
        <v>106.29753100000001</v>
      </c>
      <c r="AE10" s="5" cm="1">
        <f t="array" ref="AE10:AE14">(AD10:AD14-D10:D14)/D10:D14</f>
        <v>-7.4431240459693904E-2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98.020713999999998</v>
      </c>
      <c r="E11" s="4">
        <v>98.055069000000003</v>
      </c>
      <c r="F11" s="4">
        <v>98.299767000000003</v>
      </c>
      <c r="G11" s="4">
        <v>92.124602999999993</v>
      </c>
      <c r="H11" s="4">
        <v>83.428200000000004</v>
      </c>
      <c r="I11" s="4">
        <v>80.123633999999996</v>
      </c>
      <c r="J11" s="4">
        <v>79.644745</v>
      </c>
      <c r="K11" s="4">
        <v>83.053473999999994</v>
      </c>
      <c r="L11" s="4">
        <v>78.091728000000003</v>
      </c>
      <c r="M11" s="4">
        <v>92.017493999999999</v>
      </c>
      <c r="N11" s="4">
        <v>84.863135999999997</v>
      </c>
      <c r="O11" s="4">
        <v>86.522514000000001</v>
      </c>
      <c r="P11" s="4">
        <v>83.716164000000006</v>
      </c>
      <c r="Q11" s="4">
        <v>79.202186999999995</v>
      </c>
      <c r="R11" s="4">
        <v>65.322800000000001</v>
      </c>
      <c r="S11" s="4">
        <v>66.500938000000005</v>
      </c>
      <c r="T11" s="4">
        <v>76.222801000000004</v>
      </c>
      <c r="U11" s="4">
        <v>55.903008</v>
      </c>
      <c r="V11" s="4">
        <v>60.950324999999999</v>
      </c>
      <c r="W11" s="4">
        <v>71.382262999999995</v>
      </c>
      <c r="X11" s="4">
        <v>78.566322</v>
      </c>
      <c r="Y11" s="4">
        <v>87.076614000000006</v>
      </c>
      <c r="Z11" s="4">
        <v>81.601134999999999</v>
      </c>
      <c r="AA11" s="4">
        <v>83.462768999999994</v>
      </c>
      <c r="AB11" s="4">
        <v>86.786606000000006</v>
      </c>
      <c r="AC11" s="4">
        <v>87.589698999999996</v>
      </c>
      <c r="AD11" s="4">
        <v>90.725159000000005</v>
      </c>
      <c r="AE11" s="5">
        <v>-7.4428706977180278E-2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16.824916999999999</v>
      </c>
      <c r="E12" s="4">
        <v>16.830812000000002</v>
      </c>
      <c r="F12" s="4">
        <v>16.872814000000002</v>
      </c>
      <c r="G12" s="4">
        <v>15.812868999999999</v>
      </c>
      <c r="H12" s="4">
        <v>14.320161000000001</v>
      </c>
      <c r="I12" s="4">
        <v>13.752943999999999</v>
      </c>
      <c r="J12" s="4">
        <v>13.670743999999999</v>
      </c>
      <c r="K12" s="4">
        <v>14.255841</v>
      </c>
      <c r="L12" s="4">
        <v>13.404173999999999</v>
      </c>
      <c r="M12" s="4">
        <v>15.794484000000001</v>
      </c>
      <c r="N12" s="4">
        <v>14.566463000000001</v>
      </c>
      <c r="O12" s="4">
        <v>14.851290000000001</v>
      </c>
      <c r="P12" s="4">
        <v>14.369589</v>
      </c>
      <c r="Q12" s="4">
        <v>13.594780999999999</v>
      </c>
      <c r="R12" s="4">
        <v>11.212433000000001</v>
      </c>
      <c r="S12" s="4">
        <v>11.414656000000001</v>
      </c>
      <c r="T12" s="4">
        <v>13.08338</v>
      </c>
      <c r="U12" s="4">
        <v>9.5955580000000005</v>
      </c>
      <c r="V12" s="4">
        <v>10.461912</v>
      </c>
      <c r="W12" s="4">
        <v>12.252518999999999</v>
      </c>
      <c r="X12" s="4">
        <v>13.485637000000001</v>
      </c>
      <c r="Y12" s="4">
        <v>14.946399</v>
      </c>
      <c r="Z12" s="4">
        <v>14.006551999999999</v>
      </c>
      <c r="AA12" s="4">
        <v>14.326095</v>
      </c>
      <c r="AB12" s="4">
        <v>14.89662</v>
      </c>
      <c r="AC12" s="4">
        <v>15.034469</v>
      </c>
      <c r="AD12" s="4">
        <v>15.572659</v>
      </c>
      <c r="AE12" s="5">
        <v>-7.4428777271234051E-2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0.27895399999999998</v>
      </c>
      <c r="E13" s="4">
        <v>0.27905099999999999</v>
      </c>
      <c r="F13" s="4">
        <v>0.279748</v>
      </c>
      <c r="G13" s="4">
        <v>0.26217400000000002</v>
      </c>
      <c r="H13" s="4">
        <v>0.237425</v>
      </c>
      <c r="I13" s="4">
        <v>0.228021</v>
      </c>
      <c r="J13" s="4">
        <v>0.226658</v>
      </c>
      <c r="K13" s="4">
        <v>0.23635900000000001</v>
      </c>
      <c r="L13" s="4">
        <v>0.22223799999999999</v>
      </c>
      <c r="M13" s="4">
        <v>0.26186900000000002</v>
      </c>
      <c r="N13" s="4">
        <v>0.241509</v>
      </c>
      <c r="O13" s="4">
        <v>0.24623100000000001</v>
      </c>
      <c r="P13" s="4">
        <v>0.23824500000000001</v>
      </c>
      <c r="Q13" s="4">
        <v>0.22539899999999999</v>
      </c>
      <c r="R13" s="4">
        <v>0.18590000000000001</v>
      </c>
      <c r="S13" s="4">
        <v>0.189253</v>
      </c>
      <c r="T13" s="4">
        <v>0.21692</v>
      </c>
      <c r="U13" s="4">
        <v>0.15909200000000001</v>
      </c>
      <c r="V13" s="4">
        <v>0.173456</v>
      </c>
      <c r="W13" s="4">
        <v>0.20314399999999999</v>
      </c>
      <c r="X13" s="4">
        <v>0.22358900000000001</v>
      </c>
      <c r="Y13" s="4">
        <v>0.247808</v>
      </c>
      <c r="Z13" s="4">
        <v>0.23222599999999999</v>
      </c>
      <c r="AA13" s="4">
        <v>0.23752400000000001</v>
      </c>
      <c r="AB13" s="4">
        <v>0.24698300000000001</v>
      </c>
      <c r="AC13" s="4">
        <v>0.24926799999999999</v>
      </c>
      <c r="AD13" s="4">
        <v>0.258191</v>
      </c>
      <c r="AE13" s="5">
        <v>-7.4431626719817526E-2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115.124588</v>
      </c>
      <c r="E14" s="4">
        <v>115.16493199999999</v>
      </c>
      <c r="F14" s="4">
        <v>115.452332</v>
      </c>
      <c r="G14" s="4">
        <v>108.199669</v>
      </c>
      <c r="H14" s="4">
        <v>97.986121999999995</v>
      </c>
      <c r="I14" s="4">
        <v>94.105262999999994</v>
      </c>
      <c r="J14" s="4">
        <v>93.544250000000005</v>
      </c>
      <c r="K14" s="4">
        <v>97.547011999999995</v>
      </c>
      <c r="L14" s="4">
        <v>91.724152000000004</v>
      </c>
      <c r="M14" s="4">
        <v>108.073753</v>
      </c>
      <c r="N14" s="4">
        <v>99.672400999999994</v>
      </c>
      <c r="O14" s="4">
        <v>101.621437</v>
      </c>
      <c r="P14" s="4">
        <v>98.322411000000002</v>
      </c>
      <c r="Q14" s="4">
        <v>93.022368999999998</v>
      </c>
      <c r="R14" s="4">
        <v>76.721130000000002</v>
      </c>
      <c r="S14" s="4">
        <v>78.104843000000002</v>
      </c>
      <c r="T14" s="4">
        <v>89.521872999999999</v>
      </c>
      <c r="U14" s="4">
        <v>65.657661000000004</v>
      </c>
      <c r="V14" s="4">
        <v>71.570053000000001</v>
      </c>
      <c r="W14" s="4">
        <v>83.837517000000005</v>
      </c>
      <c r="X14" s="4">
        <v>92.272002999999998</v>
      </c>
      <c r="Y14" s="4">
        <v>102.262535</v>
      </c>
      <c r="Z14" s="4">
        <v>95.839766999999995</v>
      </c>
      <c r="AA14" s="4">
        <v>98.026390000000006</v>
      </c>
      <c r="AB14" s="4">
        <v>101.92836800000001</v>
      </c>
      <c r="AC14" s="4">
        <v>102.87314600000001</v>
      </c>
      <c r="AD14" s="4">
        <v>106.555725</v>
      </c>
      <c r="AE14" s="5">
        <v>-7.4431215336900988E-2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8.0229320000000008</v>
      </c>
      <c r="H15" s="4">
        <v>19.264178999999999</v>
      </c>
      <c r="I15" s="4">
        <v>24.346716000000001</v>
      </c>
      <c r="J15" s="4">
        <v>26.260197000000002</v>
      </c>
      <c r="K15" s="4">
        <v>25.210187999999999</v>
      </c>
      <c r="L15" s="4">
        <v>37.921821999999999</v>
      </c>
      <c r="M15" s="4">
        <v>27.520153000000001</v>
      </c>
      <c r="N15" s="4">
        <v>41.955494000000002</v>
      </c>
      <c r="O15" s="4">
        <v>45.560702999999997</v>
      </c>
      <c r="P15" s="4">
        <v>53.888866</v>
      </c>
      <c r="Q15" s="4">
        <v>63.972782000000002</v>
      </c>
      <c r="R15" s="4">
        <v>84.331787000000006</v>
      </c>
      <c r="S15" s="4">
        <v>87.000641000000002</v>
      </c>
      <c r="T15" s="4">
        <v>79.183289000000002</v>
      </c>
      <c r="U15" s="4">
        <v>106.310036</v>
      </c>
      <c r="V15" s="4">
        <v>103.39531700000001</v>
      </c>
      <c r="W15" s="4">
        <v>93.833693999999994</v>
      </c>
      <c r="X15" s="4">
        <v>87.908400999999998</v>
      </c>
      <c r="Y15" s="4">
        <v>80.175758000000002</v>
      </c>
      <c r="Z15" s="4">
        <v>88.816131999999996</v>
      </c>
      <c r="AA15" s="4">
        <v>88.649612000000005</v>
      </c>
      <c r="AB15" s="4">
        <v>86.666435000000007</v>
      </c>
      <c r="AC15" s="4">
        <v>87.727249</v>
      </c>
      <c r="AD15" s="4">
        <v>86.015144000000006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105.57910200000001</v>
      </c>
      <c r="E16" s="4">
        <v>105.416946</v>
      </c>
      <c r="F16" s="4">
        <v>105.381485</v>
      </c>
      <c r="G16" s="4">
        <v>105.533119</v>
      </c>
      <c r="H16" s="4">
        <v>105.614662</v>
      </c>
      <c r="I16" s="4">
        <v>105.671532</v>
      </c>
      <c r="J16" s="4">
        <v>105.74241600000001</v>
      </c>
      <c r="K16" s="4">
        <v>105.871025</v>
      </c>
      <c r="L16" s="4">
        <v>105.995941</v>
      </c>
      <c r="M16" s="4">
        <v>106.167839</v>
      </c>
      <c r="N16" s="4">
        <v>106.373344</v>
      </c>
      <c r="O16" s="4">
        <v>106.569496</v>
      </c>
      <c r="P16" s="4">
        <v>106.63990800000001</v>
      </c>
      <c r="Q16" s="4">
        <v>106.84075199999999</v>
      </c>
      <c r="R16" s="4">
        <v>106.97631800000001</v>
      </c>
      <c r="S16" s="4">
        <v>107.098122</v>
      </c>
      <c r="T16" s="4">
        <v>107.21756000000001</v>
      </c>
      <c r="U16" s="4">
        <v>107.336861</v>
      </c>
      <c r="V16" s="4">
        <v>107.44154399999999</v>
      </c>
      <c r="W16" s="4">
        <v>107.536873</v>
      </c>
      <c r="X16" s="4">
        <v>107.654465</v>
      </c>
      <c r="Y16" s="4">
        <v>107.734505</v>
      </c>
      <c r="Z16" s="4">
        <v>107.826103</v>
      </c>
      <c r="AA16" s="4">
        <v>107.897339</v>
      </c>
      <c r="AB16" s="4">
        <v>108.008568</v>
      </c>
      <c r="AC16" s="4">
        <v>108.11489899999999</v>
      </c>
      <c r="AD16" s="4">
        <v>108.23376500000001</v>
      </c>
      <c r="AE16" s="5" cm="1">
        <f t="array" ref="AE16:AE20">(AD16:AD20-D16:D20)/D16:D20</f>
        <v>2.5143830073493134E-2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99.955924999999993</v>
      </c>
      <c r="E17" s="4">
        <v>99.955924999999993</v>
      </c>
      <c r="F17" s="4">
        <v>99.955924999999993</v>
      </c>
      <c r="G17" s="4">
        <v>99.955924999999993</v>
      </c>
      <c r="H17" s="4">
        <v>99.955924999999993</v>
      </c>
      <c r="I17" s="4">
        <v>99.955924999999993</v>
      </c>
      <c r="J17" s="4">
        <v>99.955924999999993</v>
      </c>
      <c r="K17" s="4">
        <v>99.955924999999993</v>
      </c>
      <c r="L17" s="4">
        <v>99.955924999999993</v>
      </c>
      <c r="M17" s="4">
        <v>99.955924999999993</v>
      </c>
      <c r="N17" s="4">
        <v>99.955924999999993</v>
      </c>
      <c r="O17" s="4">
        <v>99.955924999999993</v>
      </c>
      <c r="P17" s="4">
        <v>99.955924999999993</v>
      </c>
      <c r="Q17" s="4">
        <v>99.955924999999993</v>
      </c>
      <c r="R17" s="4">
        <v>99.955924999999993</v>
      </c>
      <c r="S17" s="4">
        <v>99.955924999999993</v>
      </c>
      <c r="T17" s="4">
        <v>99.955924999999993</v>
      </c>
      <c r="U17" s="4">
        <v>99.955924999999993</v>
      </c>
      <c r="V17" s="4">
        <v>99.955924999999993</v>
      </c>
      <c r="W17" s="4">
        <v>99.955924999999993</v>
      </c>
      <c r="X17" s="4">
        <v>99.955924999999993</v>
      </c>
      <c r="Y17" s="4">
        <v>99.955924999999993</v>
      </c>
      <c r="Z17" s="4">
        <v>99.955924999999993</v>
      </c>
      <c r="AA17" s="4">
        <v>99.955924999999993</v>
      </c>
      <c r="AB17" s="4">
        <v>99.955924999999993</v>
      </c>
      <c r="AC17" s="4">
        <v>99.955924999999993</v>
      </c>
      <c r="AD17" s="4">
        <v>99.955924999999993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5.6231770000000001</v>
      </c>
      <c r="E18" s="4">
        <v>5.4610209999999997</v>
      </c>
      <c r="F18" s="4">
        <v>5.4255599999999999</v>
      </c>
      <c r="G18" s="4">
        <v>5.5771940000000004</v>
      </c>
      <c r="H18" s="4">
        <v>5.6587370000000004</v>
      </c>
      <c r="I18" s="4">
        <v>5.7156070000000003</v>
      </c>
      <c r="J18" s="4">
        <v>5.7864909999999998</v>
      </c>
      <c r="K18" s="4">
        <v>5.9150999999999998</v>
      </c>
      <c r="L18" s="4">
        <v>6.0400159999999996</v>
      </c>
      <c r="M18" s="4">
        <v>6.2119140000000002</v>
      </c>
      <c r="N18" s="4">
        <v>6.4174189999999998</v>
      </c>
      <c r="O18" s="4">
        <v>6.6135710000000003</v>
      </c>
      <c r="P18" s="4">
        <v>6.6839829999999996</v>
      </c>
      <c r="Q18" s="4">
        <v>6.8848269999999996</v>
      </c>
      <c r="R18" s="4">
        <v>7.0203930000000003</v>
      </c>
      <c r="S18" s="4">
        <v>7.1421970000000004</v>
      </c>
      <c r="T18" s="4">
        <v>7.2616350000000001</v>
      </c>
      <c r="U18" s="4">
        <v>7.3809360000000002</v>
      </c>
      <c r="V18" s="4">
        <v>7.4856189999999998</v>
      </c>
      <c r="W18" s="4">
        <v>7.5809480000000002</v>
      </c>
      <c r="X18" s="4">
        <v>7.6985400000000004</v>
      </c>
      <c r="Y18" s="4">
        <v>7.7785799999999998</v>
      </c>
      <c r="Z18" s="4">
        <v>7.8701780000000001</v>
      </c>
      <c r="AA18" s="4">
        <v>7.941414</v>
      </c>
      <c r="AB18" s="4">
        <v>8.0526429999999998</v>
      </c>
      <c r="AC18" s="4">
        <v>8.1589740000000006</v>
      </c>
      <c r="AD18" s="4">
        <v>8.2778399999999994</v>
      </c>
      <c r="AE18" s="5">
        <v>0.47209308901355929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0.46234500000000001</v>
      </c>
      <c r="E19" s="4">
        <v>0.64819099999999996</v>
      </c>
      <c r="F19" s="4">
        <v>0.89756899999999995</v>
      </c>
      <c r="G19" s="4">
        <v>1.289706</v>
      </c>
      <c r="H19" s="4">
        <v>1.9295249999999999</v>
      </c>
      <c r="I19" s="4">
        <v>2.7306530000000002</v>
      </c>
      <c r="J19" s="4">
        <v>3.63592</v>
      </c>
      <c r="K19" s="4">
        <v>5.6506780000000001</v>
      </c>
      <c r="L19" s="4">
        <v>10.308526000000001</v>
      </c>
      <c r="M19" s="4">
        <v>14.441115999999999</v>
      </c>
      <c r="N19" s="4">
        <v>18.531385</v>
      </c>
      <c r="O19" s="4">
        <v>22.336722999999999</v>
      </c>
      <c r="P19" s="4">
        <v>25.870191999999999</v>
      </c>
      <c r="Q19" s="4">
        <v>29.081133000000001</v>
      </c>
      <c r="R19" s="4">
        <v>32.055022999999998</v>
      </c>
      <c r="S19" s="4">
        <v>34.830891000000001</v>
      </c>
      <c r="T19" s="4">
        <v>37.306969000000002</v>
      </c>
      <c r="U19" s="4">
        <v>39.484489000000004</v>
      </c>
      <c r="V19" s="4">
        <v>41.552998000000002</v>
      </c>
      <c r="W19" s="4">
        <v>43.402450999999999</v>
      </c>
      <c r="X19" s="4">
        <v>45.098708999999999</v>
      </c>
      <c r="Y19" s="4">
        <v>46.668804000000002</v>
      </c>
      <c r="Z19" s="4">
        <v>48.173507999999998</v>
      </c>
      <c r="AA19" s="4">
        <v>49.590366000000003</v>
      </c>
      <c r="AB19" s="4">
        <v>50.925091000000002</v>
      </c>
      <c r="AC19" s="4">
        <v>52.284205999999998</v>
      </c>
      <c r="AD19" s="4">
        <v>53.597724999999997</v>
      </c>
      <c r="AE19" s="5">
        <v>114.92582378959435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0.182197</v>
      </c>
      <c r="M20" s="4">
        <v>0.21043100000000001</v>
      </c>
      <c r="N20" s="4">
        <v>0.23517299999999999</v>
      </c>
      <c r="O20" s="4">
        <v>0.23517299999999999</v>
      </c>
      <c r="P20" s="4">
        <v>0.23517299999999999</v>
      </c>
      <c r="Q20" s="4">
        <v>0.23517299999999999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8.8177029999999998</v>
      </c>
      <c r="E21" s="4">
        <v>10.622718000000001</v>
      </c>
      <c r="F21" s="4">
        <v>10.833995</v>
      </c>
      <c r="G21" s="4">
        <v>10.795318999999999</v>
      </c>
      <c r="H21" s="4">
        <v>11.117084</v>
      </c>
      <c r="I21" s="4">
        <v>11.610517</v>
      </c>
      <c r="J21" s="4">
        <v>12.992373000000001</v>
      </c>
      <c r="K21" s="4">
        <v>14.071244</v>
      </c>
      <c r="L21" s="4">
        <v>15.150354999999999</v>
      </c>
      <c r="M21" s="4">
        <v>15.588946</v>
      </c>
      <c r="N21" s="4">
        <v>15.872055</v>
      </c>
      <c r="O21" s="4">
        <v>16.065784000000001</v>
      </c>
      <c r="P21" s="4">
        <v>16.426480999999999</v>
      </c>
      <c r="Q21" s="4">
        <v>16.505998999999999</v>
      </c>
      <c r="R21" s="4">
        <v>16.367139999999999</v>
      </c>
      <c r="S21" s="4">
        <v>16.616451000000001</v>
      </c>
      <c r="T21" s="4">
        <v>16.779136999999999</v>
      </c>
      <c r="U21" s="4">
        <v>16.885152999999999</v>
      </c>
      <c r="V21" s="4">
        <v>16.886531999999999</v>
      </c>
      <c r="W21" s="4">
        <v>16.731421000000001</v>
      </c>
      <c r="X21" s="4">
        <v>16.960965999999999</v>
      </c>
      <c r="Y21" s="4">
        <v>17.050923999999998</v>
      </c>
      <c r="Z21" s="4">
        <v>17.249205</v>
      </c>
      <c r="AA21" s="4">
        <v>17.626814</v>
      </c>
      <c r="AB21" s="4">
        <v>17.975697</v>
      </c>
      <c r="AC21" s="4">
        <v>18.267408</v>
      </c>
      <c r="AD21" s="4">
        <v>18.580559000000001</v>
      </c>
      <c r="AE21" s="5">
        <f>(AD21-D21)/D21</f>
        <v>1.1071881191734403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11.281224</v>
      </c>
      <c r="E22" s="4">
        <v>13.086239000000001</v>
      </c>
      <c r="F22" s="4">
        <v>13.297516999999999</v>
      </c>
      <c r="G22" s="4">
        <v>13.258841</v>
      </c>
      <c r="H22" s="4">
        <v>13.580606</v>
      </c>
      <c r="I22" s="4">
        <v>14.074038</v>
      </c>
      <c r="J22" s="4">
        <v>15.455894000000001</v>
      </c>
      <c r="K22" s="4">
        <v>16.534765</v>
      </c>
      <c r="L22" s="4">
        <v>17.613876000000001</v>
      </c>
      <c r="M22" s="4">
        <v>18.052468999999999</v>
      </c>
      <c r="N22" s="4">
        <v>18.335577000000001</v>
      </c>
      <c r="O22" s="4">
        <v>18.529308</v>
      </c>
      <c r="P22" s="4">
        <v>18.890001000000002</v>
      </c>
      <c r="Q22" s="4">
        <v>18.969521</v>
      </c>
      <c r="R22" s="4">
        <v>18.830662</v>
      </c>
      <c r="S22" s="4">
        <v>19.079972999999999</v>
      </c>
      <c r="T22" s="4">
        <v>19.242659</v>
      </c>
      <c r="U22" s="4">
        <v>19.348675</v>
      </c>
      <c r="V22" s="4">
        <v>19.350054</v>
      </c>
      <c r="W22" s="4">
        <v>19.194942000000001</v>
      </c>
      <c r="X22" s="4">
        <v>19.424488</v>
      </c>
      <c r="Y22" s="4">
        <v>19.514446</v>
      </c>
      <c r="Z22" s="4">
        <v>19.712727000000001</v>
      </c>
      <c r="AA22" s="4">
        <v>20.090333999999999</v>
      </c>
      <c r="AB22" s="4">
        <v>20.439219000000001</v>
      </c>
      <c r="AC22" s="4">
        <v>20.730930000000001</v>
      </c>
      <c r="AD22" s="4">
        <v>21.044079</v>
      </c>
      <c r="AE22" s="5" cm="1">
        <f t="array" ref="AE22:AE24">(AD22:AD24-D22:D24)/D22:D24</f>
        <v>0.86540742387528158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61.367061999999997</v>
      </c>
      <c r="E23" s="4">
        <v>63.173381999999997</v>
      </c>
      <c r="F23" s="4">
        <v>63.389118000000003</v>
      </c>
      <c r="G23" s="4">
        <v>63.350436999999999</v>
      </c>
      <c r="H23" s="4">
        <v>63.672207</v>
      </c>
      <c r="I23" s="4">
        <v>64.165649000000002</v>
      </c>
      <c r="J23" s="4">
        <v>65.547507999999993</v>
      </c>
      <c r="K23" s="4">
        <v>66.626373000000001</v>
      </c>
      <c r="L23" s="4">
        <v>67.705498000000006</v>
      </c>
      <c r="M23" s="4">
        <v>68.144081</v>
      </c>
      <c r="N23" s="4">
        <v>68.427170000000004</v>
      </c>
      <c r="O23" s="4">
        <v>68.620918000000003</v>
      </c>
      <c r="P23" s="4">
        <v>68.981605999999999</v>
      </c>
      <c r="Q23" s="4">
        <v>69.061119000000005</v>
      </c>
      <c r="R23" s="4">
        <v>68.922256000000004</v>
      </c>
      <c r="S23" s="4">
        <v>69.171561999999994</v>
      </c>
      <c r="T23" s="4">
        <v>69.334250999999995</v>
      </c>
      <c r="U23" s="4">
        <v>69.440269000000001</v>
      </c>
      <c r="V23" s="4">
        <v>69.441649999999996</v>
      </c>
      <c r="W23" s="4">
        <v>69.286545000000004</v>
      </c>
      <c r="X23" s="4">
        <v>69.516090000000005</v>
      </c>
      <c r="Y23" s="4">
        <v>69.606041000000005</v>
      </c>
      <c r="Z23" s="4">
        <v>69.804321000000002</v>
      </c>
      <c r="AA23" s="4">
        <v>70.181922999999998</v>
      </c>
      <c r="AB23" s="4">
        <v>70.530822999999998</v>
      </c>
      <c r="AC23" s="4">
        <v>70.822524999999999</v>
      </c>
      <c r="AD23" s="4">
        <v>71.135673999999995</v>
      </c>
      <c r="AE23" s="5">
        <v>0.15918330911784562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11.281224</v>
      </c>
      <c r="E24" s="4">
        <v>13.086239000000001</v>
      </c>
      <c r="F24" s="4">
        <v>13.297516999999999</v>
      </c>
      <c r="G24" s="4">
        <v>13.258841</v>
      </c>
      <c r="H24" s="4">
        <v>13.580606</v>
      </c>
      <c r="I24" s="4">
        <v>14.074038</v>
      </c>
      <c r="J24" s="4">
        <v>15.455894000000001</v>
      </c>
      <c r="K24" s="4">
        <v>16.534765</v>
      </c>
      <c r="L24" s="4">
        <v>17.613876000000001</v>
      </c>
      <c r="M24" s="4">
        <v>18.052468999999999</v>
      </c>
      <c r="N24" s="4">
        <v>18.335577000000001</v>
      </c>
      <c r="O24" s="4">
        <v>18.529308</v>
      </c>
      <c r="P24" s="4">
        <v>18.890001000000002</v>
      </c>
      <c r="Q24" s="4">
        <v>18.969521</v>
      </c>
      <c r="R24" s="4">
        <v>18.830662</v>
      </c>
      <c r="S24" s="4">
        <v>19.079972999999999</v>
      </c>
      <c r="T24" s="4">
        <v>19.242659</v>
      </c>
      <c r="U24" s="4">
        <v>19.348675</v>
      </c>
      <c r="V24" s="4">
        <v>19.350054</v>
      </c>
      <c r="W24" s="4">
        <v>19.194942000000001</v>
      </c>
      <c r="X24" s="4">
        <v>19.424488</v>
      </c>
      <c r="Y24" s="4">
        <v>19.514446</v>
      </c>
      <c r="Z24" s="4">
        <v>19.712727000000001</v>
      </c>
      <c r="AA24" s="4">
        <v>20.090333999999999</v>
      </c>
      <c r="AB24" s="4">
        <v>20.439219000000001</v>
      </c>
      <c r="AC24" s="4">
        <v>20.730930000000001</v>
      </c>
      <c r="AD24" s="4">
        <v>21.044079</v>
      </c>
      <c r="AE24" s="5">
        <v>0.86540742387528158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138.58326700000001</v>
      </c>
      <c r="E2" s="4">
        <v>133.01594499999999</v>
      </c>
      <c r="F2" s="4">
        <v>126.208527</v>
      </c>
      <c r="G2" s="4">
        <v>123.454605</v>
      </c>
      <c r="H2" s="4">
        <v>108.592186</v>
      </c>
      <c r="I2" s="4">
        <v>84.149497999999994</v>
      </c>
      <c r="J2" s="4">
        <v>61.391792000000002</v>
      </c>
      <c r="K2" s="4">
        <v>42.490295000000003</v>
      </c>
      <c r="L2" s="4">
        <v>26.667874999999999</v>
      </c>
      <c r="M2" s="4">
        <v>10.005976</v>
      </c>
      <c r="N2" s="4">
        <v>15.08497</v>
      </c>
      <c r="O2" s="4">
        <v>12.288912</v>
      </c>
      <c r="P2" s="4">
        <v>8.9757630000000006</v>
      </c>
      <c r="Q2" s="4">
        <v>0</v>
      </c>
      <c r="R2" s="4">
        <v>0.14297099999999999</v>
      </c>
      <c r="S2" s="4">
        <v>48.239821999999997</v>
      </c>
      <c r="T2" s="4">
        <v>63.534095999999998</v>
      </c>
      <c r="U2" s="4">
        <v>76.158676</v>
      </c>
      <c r="V2" s="4">
        <v>86.437088000000003</v>
      </c>
      <c r="W2" s="4">
        <v>99.447601000000006</v>
      </c>
      <c r="X2" s="4">
        <v>115.828773</v>
      </c>
      <c r="Y2" s="4">
        <v>132.937286</v>
      </c>
      <c r="Z2" s="4">
        <v>145.666504</v>
      </c>
      <c r="AA2" s="4">
        <v>155.72349500000001</v>
      </c>
      <c r="AB2" s="4">
        <v>160.70457500000001</v>
      </c>
      <c r="AC2" s="4">
        <v>167.73034699999999</v>
      </c>
      <c r="AD2" s="4">
        <v>158.92825300000001</v>
      </c>
      <c r="AE2" s="5" cm="1">
        <f t="array" ref="AE2:AE6">(AD2:AD6-D2:D6)/D2:D6</f>
        <v>0.14680694459310159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 t="e">
        <v>#DIV/0!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3.6364770000000002</v>
      </c>
      <c r="H4" s="4">
        <v>19.720794999999999</v>
      </c>
      <c r="I4" s="4">
        <v>45.389957000000003</v>
      </c>
      <c r="J4" s="4">
        <v>70.710915</v>
      </c>
      <c r="K4" s="4">
        <v>94.898055999999997</v>
      </c>
      <c r="L4" s="4">
        <v>119.97389200000001</v>
      </c>
      <c r="M4" s="4">
        <v>145.655045</v>
      </c>
      <c r="N4" s="4">
        <v>149.77836600000001</v>
      </c>
      <c r="O4" s="4">
        <v>160.50500500000001</v>
      </c>
      <c r="P4" s="4">
        <v>171.18292199999999</v>
      </c>
      <c r="Q4" s="4">
        <v>186.76840200000001</v>
      </c>
      <c r="R4" s="4">
        <v>192.99258399999999</v>
      </c>
      <c r="S4" s="4">
        <v>150.33471700000001</v>
      </c>
      <c r="T4" s="4">
        <v>140.02020300000001</v>
      </c>
      <c r="U4" s="4">
        <v>131.869507</v>
      </c>
      <c r="V4" s="4">
        <v>125.720085</v>
      </c>
      <c r="W4" s="4">
        <v>116.402687</v>
      </c>
      <c r="X4" s="4">
        <v>103.59832</v>
      </c>
      <c r="Y4" s="4">
        <v>89.353699000000006</v>
      </c>
      <c r="Z4" s="4">
        <v>79.183898999999997</v>
      </c>
      <c r="AA4" s="4">
        <v>71.362449999999995</v>
      </c>
      <c r="AB4" s="4">
        <v>68.924377000000007</v>
      </c>
      <c r="AC4" s="4">
        <v>64.552132</v>
      </c>
      <c r="AD4" s="4">
        <v>76.305107000000007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 t="e">
        <v>#DIV/0!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138.58326700000001</v>
      </c>
      <c r="E6" s="4">
        <v>133.01594499999999</v>
      </c>
      <c r="F6" s="4">
        <v>126.208527</v>
      </c>
      <c r="G6" s="4">
        <v>127.091095</v>
      </c>
      <c r="H6" s="4">
        <v>128.312973</v>
      </c>
      <c r="I6" s="4">
        <v>129.53945899999999</v>
      </c>
      <c r="J6" s="4">
        <v>132.10269199999999</v>
      </c>
      <c r="K6" s="4">
        <v>137.388351</v>
      </c>
      <c r="L6" s="4">
        <v>146.64175399999999</v>
      </c>
      <c r="M6" s="4">
        <v>155.66102599999999</v>
      </c>
      <c r="N6" s="4">
        <v>164.86334199999999</v>
      </c>
      <c r="O6" s="4">
        <v>172.79392999999999</v>
      </c>
      <c r="P6" s="4">
        <v>180.15867600000001</v>
      </c>
      <c r="Q6" s="4">
        <v>186.76840200000001</v>
      </c>
      <c r="R6" s="4">
        <v>193.135559</v>
      </c>
      <c r="S6" s="4">
        <v>198.57453899999999</v>
      </c>
      <c r="T6" s="4">
        <v>203.554306</v>
      </c>
      <c r="U6" s="4">
        <v>208.02818300000001</v>
      </c>
      <c r="V6" s="4">
        <v>212.15718100000001</v>
      </c>
      <c r="W6" s="4">
        <v>215.850281</v>
      </c>
      <c r="X6" s="4">
        <v>219.427109</v>
      </c>
      <c r="Y6" s="4">
        <v>222.29098500000001</v>
      </c>
      <c r="Z6" s="4">
        <v>224.85041799999999</v>
      </c>
      <c r="AA6" s="4">
        <v>227.08596800000001</v>
      </c>
      <c r="AB6" s="4">
        <v>229.628952</v>
      </c>
      <c r="AC6" s="4">
        <v>232.28247099999999</v>
      </c>
      <c r="AD6" s="4">
        <v>235.23336800000001</v>
      </c>
      <c r="AE6" s="5">
        <v>0.69741537410862164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190.27917500000001</v>
      </c>
      <c r="E7" s="4">
        <v>182.63505599999999</v>
      </c>
      <c r="F7" s="4">
        <v>173.288239</v>
      </c>
      <c r="G7" s="4">
        <v>169.50784300000001</v>
      </c>
      <c r="H7" s="4">
        <v>149.10124200000001</v>
      </c>
      <c r="I7" s="4">
        <v>115.54975899999999</v>
      </c>
      <c r="J7" s="4">
        <v>84.293403999999995</v>
      </c>
      <c r="K7" s="4">
        <v>58.337550999999998</v>
      </c>
      <c r="L7" s="4">
        <v>36.614860999999998</v>
      </c>
      <c r="M7" s="4">
        <v>13.738896</v>
      </c>
      <c r="N7" s="4">
        <v>20.680727000000001</v>
      </c>
      <c r="O7" s="4">
        <v>16.873280999999999</v>
      </c>
      <c r="P7" s="4">
        <v>12.324011</v>
      </c>
      <c r="Q7" s="4">
        <v>0</v>
      </c>
      <c r="R7" s="4">
        <v>0.19630400000000001</v>
      </c>
      <c r="S7" s="4">
        <v>66.234786999999997</v>
      </c>
      <c r="T7" s="4">
        <v>87.207909000000001</v>
      </c>
      <c r="U7" s="4">
        <v>104.566986</v>
      </c>
      <c r="V7" s="4">
        <v>118.680824</v>
      </c>
      <c r="W7" s="4">
        <v>136.54373200000001</v>
      </c>
      <c r="X7" s="4">
        <v>159.019958</v>
      </c>
      <c r="Y7" s="4">
        <v>182.520126</v>
      </c>
      <c r="Z7" s="4">
        <v>200.00466900000001</v>
      </c>
      <c r="AA7" s="4">
        <v>213.81321700000001</v>
      </c>
      <c r="AB7" s="4">
        <v>220.65086400000001</v>
      </c>
      <c r="AC7" s="4">
        <v>230.29899599999999</v>
      </c>
      <c r="AD7" s="4">
        <v>218.21345500000001</v>
      </c>
      <c r="AE7" s="5" cm="1">
        <f t="array" ref="AE7:AE9">(AD7:AD9-D7:D9)/D7:D9</f>
        <v>0.14680681687841038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0.462177</v>
      </c>
      <c r="E8" s="4">
        <v>0.44361</v>
      </c>
      <c r="F8" s="4">
        <v>0.42090699999999998</v>
      </c>
      <c r="G8" s="4">
        <v>5.4310429999999998</v>
      </c>
      <c r="H8" s="4">
        <v>27.582170000000001</v>
      </c>
      <c r="I8" s="4">
        <v>62.931018999999999</v>
      </c>
      <c r="J8" s="4">
        <v>97.804862999999997</v>
      </c>
      <c r="K8" s="4">
        <v>131.12660199999999</v>
      </c>
      <c r="L8" s="4">
        <v>165.68525700000001</v>
      </c>
      <c r="M8" s="4">
        <v>201.07662999999999</v>
      </c>
      <c r="N8" s="4">
        <v>206.78483600000001</v>
      </c>
      <c r="O8" s="4">
        <v>221.58119199999999</v>
      </c>
      <c r="P8" s="4">
        <v>236.30851699999999</v>
      </c>
      <c r="Q8" s="4">
        <v>257.79077100000001</v>
      </c>
      <c r="R8" s="4">
        <v>266.382294</v>
      </c>
      <c r="S8" s="4">
        <v>207.66333</v>
      </c>
      <c r="T8" s="4">
        <v>193.47752399999999</v>
      </c>
      <c r="U8" s="4">
        <v>182.26947000000001</v>
      </c>
      <c r="V8" s="4">
        <v>173.815887</v>
      </c>
      <c r="W8" s="4">
        <v>160.99876399999999</v>
      </c>
      <c r="X8" s="4">
        <v>143.37991299999999</v>
      </c>
      <c r="Y8" s="4">
        <v>123.775543</v>
      </c>
      <c r="Z8" s="4">
        <v>109.78093</v>
      </c>
      <c r="AA8" s="4">
        <v>99.018767999999994</v>
      </c>
      <c r="AB8" s="4">
        <v>95.670174000000003</v>
      </c>
      <c r="AC8" s="4">
        <v>89.658730000000006</v>
      </c>
      <c r="AD8" s="4">
        <v>105.851646</v>
      </c>
      <c r="AE8" s="5">
        <v>228.0283722469963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190.74134799999999</v>
      </c>
      <c r="E9" s="4">
        <v>183.07865899999999</v>
      </c>
      <c r="F9" s="4">
        <v>173.70915199999999</v>
      </c>
      <c r="G9" s="4">
        <v>174.93888899999999</v>
      </c>
      <c r="H9" s="4">
        <v>176.68341100000001</v>
      </c>
      <c r="I9" s="4">
        <v>178.480774</v>
      </c>
      <c r="J9" s="4">
        <v>182.09826699999999</v>
      </c>
      <c r="K9" s="4">
        <v>189.464157</v>
      </c>
      <c r="L9" s="4">
        <v>202.30010999999999</v>
      </c>
      <c r="M9" s="4">
        <v>214.81552099999999</v>
      </c>
      <c r="N9" s="4">
        <v>227.46556100000001</v>
      </c>
      <c r="O9" s="4">
        <v>238.45446799999999</v>
      </c>
      <c r="P9" s="4">
        <v>248.63252299999999</v>
      </c>
      <c r="Q9" s="4">
        <v>257.79077100000001</v>
      </c>
      <c r="R9" s="4">
        <v>266.57858299999998</v>
      </c>
      <c r="S9" s="4">
        <v>273.89813199999998</v>
      </c>
      <c r="T9" s="4">
        <v>280.68542500000001</v>
      </c>
      <c r="U9" s="4">
        <v>286.836456</v>
      </c>
      <c r="V9" s="4">
        <v>292.49670400000002</v>
      </c>
      <c r="W9" s="4">
        <v>297.54248000000001</v>
      </c>
      <c r="X9" s="4">
        <v>302.39987200000002</v>
      </c>
      <c r="Y9" s="4">
        <v>306.29565400000001</v>
      </c>
      <c r="Z9" s="4">
        <v>309.78558299999997</v>
      </c>
      <c r="AA9" s="4">
        <v>312.83197000000001</v>
      </c>
      <c r="AB9" s="4">
        <v>316.32104500000003</v>
      </c>
      <c r="AC9" s="4">
        <v>319.95773300000002</v>
      </c>
      <c r="AD9" s="4">
        <v>324.06509399999999</v>
      </c>
      <c r="AE9" s="5">
        <v>0.69897663719981684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190.27917500000001</v>
      </c>
      <c r="E10" s="4">
        <v>182.63505599999999</v>
      </c>
      <c r="F10" s="4">
        <v>173.288239</v>
      </c>
      <c r="G10" s="4">
        <v>169.50784300000001</v>
      </c>
      <c r="H10" s="4">
        <v>149.10124200000001</v>
      </c>
      <c r="I10" s="4">
        <v>115.54975899999999</v>
      </c>
      <c r="J10" s="4">
        <v>84.293403999999995</v>
      </c>
      <c r="K10" s="4">
        <v>58.337550999999998</v>
      </c>
      <c r="L10" s="4">
        <v>36.614860999999998</v>
      </c>
      <c r="M10" s="4">
        <v>13.738896</v>
      </c>
      <c r="N10" s="4">
        <v>20.680727000000001</v>
      </c>
      <c r="O10" s="4">
        <v>16.873280999999999</v>
      </c>
      <c r="P10" s="4">
        <v>12.324011</v>
      </c>
      <c r="Q10" s="4">
        <v>0</v>
      </c>
      <c r="R10" s="4">
        <v>0.19630400000000001</v>
      </c>
      <c r="S10" s="4">
        <v>66.234786999999997</v>
      </c>
      <c r="T10" s="4">
        <v>87.207909000000001</v>
      </c>
      <c r="U10" s="4">
        <v>104.566986</v>
      </c>
      <c r="V10" s="4">
        <v>118.680824</v>
      </c>
      <c r="W10" s="4">
        <v>136.54373200000001</v>
      </c>
      <c r="X10" s="4">
        <v>159.019958</v>
      </c>
      <c r="Y10" s="4">
        <v>182.520126</v>
      </c>
      <c r="Z10" s="4">
        <v>200.00466900000001</v>
      </c>
      <c r="AA10" s="4">
        <v>213.81321700000001</v>
      </c>
      <c r="AB10" s="4">
        <v>220.65086400000001</v>
      </c>
      <c r="AC10" s="4">
        <v>230.29899599999999</v>
      </c>
      <c r="AD10" s="4">
        <v>218.21345500000001</v>
      </c>
      <c r="AE10" s="5" cm="1">
        <f t="array" ref="AE10:AE14">(AD10:AD14-D10:D14)/D10:D14</f>
        <v>0.14680681687841038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162.40322900000001</v>
      </c>
      <c r="E11" s="4">
        <v>155.87896699999999</v>
      </c>
      <c r="F11" s="4">
        <v>147.90147400000001</v>
      </c>
      <c r="G11" s="4">
        <v>144.67422500000001</v>
      </c>
      <c r="H11" s="4">
        <v>127.25720200000001</v>
      </c>
      <c r="I11" s="4">
        <v>98.613265999999996</v>
      </c>
      <c r="J11" s="4">
        <v>71.943932000000004</v>
      </c>
      <c r="K11" s="4">
        <v>49.793605999999997</v>
      </c>
      <c r="L11" s="4">
        <v>31.2516</v>
      </c>
      <c r="M11" s="4">
        <v>11.725821</v>
      </c>
      <c r="N11" s="4">
        <v>17.677800999999999</v>
      </c>
      <c r="O11" s="4">
        <v>14.401153000000001</v>
      </c>
      <c r="P11" s="4">
        <v>10.518534000000001</v>
      </c>
      <c r="Q11" s="4">
        <v>0</v>
      </c>
      <c r="R11" s="4">
        <v>0.167546</v>
      </c>
      <c r="S11" s="4">
        <v>56.531371999999998</v>
      </c>
      <c r="T11" s="4">
        <v>74.454453000000001</v>
      </c>
      <c r="U11" s="4">
        <v>89.248962000000006</v>
      </c>
      <c r="V11" s="4">
        <v>101.29405199999999</v>
      </c>
      <c r="W11" s="4">
        <v>116.54083300000001</v>
      </c>
      <c r="X11" s="4">
        <v>135.73762500000001</v>
      </c>
      <c r="Y11" s="4">
        <v>155.786789</v>
      </c>
      <c r="Z11" s="4">
        <v>170.703934</v>
      </c>
      <c r="AA11" s="4">
        <v>182.489532</v>
      </c>
      <c r="AB11" s="4">
        <v>188.32676699999999</v>
      </c>
      <c r="AC11" s="4">
        <v>196.560135</v>
      </c>
      <c r="AD11" s="4">
        <v>186.24513200000001</v>
      </c>
      <c r="AE11" s="5">
        <v>0.14680682857605004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27.87595</v>
      </c>
      <c r="E12" s="4">
        <v>26.756084000000001</v>
      </c>
      <c r="F12" s="4">
        <v>25.386773999999999</v>
      </c>
      <c r="G12" s="4">
        <v>24.832829</v>
      </c>
      <c r="H12" s="4">
        <v>21.843257999999999</v>
      </c>
      <c r="I12" s="4">
        <v>16.926624</v>
      </c>
      <c r="J12" s="4">
        <v>12.348926000000001</v>
      </c>
      <c r="K12" s="4">
        <v>8.5469000000000008</v>
      </c>
      <c r="L12" s="4">
        <v>5.3642289999999999</v>
      </c>
      <c r="M12" s="4">
        <v>2.0126970000000002</v>
      </c>
      <c r="N12" s="4">
        <v>3.0343330000000002</v>
      </c>
      <c r="O12" s="4">
        <v>2.471908</v>
      </c>
      <c r="P12" s="4">
        <v>1.8054699999999999</v>
      </c>
      <c r="Q12" s="4">
        <v>0</v>
      </c>
      <c r="R12" s="4">
        <v>2.8759E-2</v>
      </c>
      <c r="S12" s="4">
        <v>9.7034140000000004</v>
      </c>
      <c r="T12" s="4">
        <v>12.779849</v>
      </c>
      <c r="U12" s="4">
        <v>15.319274999999999</v>
      </c>
      <c r="V12" s="4">
        <v>17.386772000000001</v>
      </c>
      <c r="W12" s="4">
        <v>20.003830000000001</v>
      </c>
      <c r="X12" s="4">
        <v>23.298893</v>
      </c>
      <c r="Y12" s="4">
        <v>26.740262999999999</v>
      </c>
      <c r="Z12" s="4">
        <v>29.300737000000002</v>
      </c>
      <c r="AA12" s="4">
        <v>31.323696000000002</v>
      </c>
      <c r="AB12" s="4">
        <v>32.325637999999998</v>
      </c>
      <c r="AC12" s="4">
        <v>33.738864999999997</v>
      </c>
      <c r="AD12" s="4">
        <v>31.968330000000002</v>
      </c>
      <c r="AE12" s="5">
        <v>0.1468068352827438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0.462177</v>
      </c>
      <c r="E13" s="4">
        <v>0.44361</v>
      </c>
      <c r="F13" s="4">
        <v>0.42090699999999998</v>
      </c>
      <c r="G13" s="4">
        <v>0.41172300000000001</v>
      </c>
      <c r="H13" s="4">
        <v>0.36215700000000001</v>
      </c>
      <c r="I13" s="4">
        <v>0.28064</v>
      </c>
      <c r="J13" s="4">
        <v>0.20474300000000001</v>
      </c>
      <c r="K13" s="4">
        <v>0.141706</v>
      </c>
      <c r="L13" s="4">
        <v>8.8938000000000003E-2</v>
      </c>
      <c r="M13" s="4">
        <v>3.3369999999999997E-2</v>
      </c>
      <c r="N13" s="4">
        <v>5.0309E-2</v>
      </c>
      <c r="O13" s="4">
        <v>4.0984E-2</v>
      </c>
      <c r="P13" s="4">
        <v>2.9933999999999999E-2</v>
      </c>
      <c r="Q13" s="4">
        <v>0</v>
      </c>
      <c r="R13" s="4">
        <v>4.7699999999999999E-4</v>
      </c>
      <c r="S13" s="4">
        <v>0.160881</v>
      </c>
      <c r="T13" s="4">
        <v>0.21188699999999999</v>
      </c>
      <c r="U13" s="4">
        <v>0.25398999999999999</v>
      </c>
      <c r="V13" s="4">
        <v>0.288269</v>
      </c>
      <c r="W13" s="4">
        <v>0.33165899999999998</v>
      </c>
      <c r="X13" s="4">
        <v>0.386291</v>
      </c>
      <c r="Y13" s="4">
        <v>0.44334800000000002</v>
      </c>
      <c r="Z13" s="4">
        <v>0.48580000000000001</v>
      </c>
      <c r="AA13" s="4">
        <v>0.51934000000000002</v>
      </c>
      <c r="AB13" s="4">
        <v>0.53595199999999998</v>
      </c>
      <c r="AC13" s="4">
        <v>0.55938299999999996</v>
      </c>
      <c r="AD13" s="4">
        <v>0.53002800000000005</v>
      </c>
      <c r="AE13" s="5">
        <v>0.14680739197320516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190.74134799999999</v>
      </c>
      <c r="E14" s="4">
        <v>183.07865899999999</v>
      </c>
      <c r="F14" s="4">
        <v>173.70915199999999</v>
      </c>
      <c r="G14" s="4">
        <v>169.91957099999999</v>
      </c>
      <c r="H14" s="4">
        <v>149.46339399999999</v>
      </c>
      <c r="I14" s="4">
        <v>115.830399</v>
      </c>
      <c r="J14" s="4">
        <v>84.498146000000006</v>
      </c>
      <c r="K14" s="4">
        <v>58.479255999999999</v>
      </c>
      <c r="L14" s="4">
        <v>36.703800000000001</v>
      </c>
      <c r="M14" s="4">
        <v>13.772266</v>
      </c>
      <c r="N14" s="4">
        <v>20.731034999999999</v>
      </c>
      <c r="O14" s="4">
        <v>16.914265</v>
      </c>
      <c r="P14" s="4">
        <v>12.353945</v>
      </c>
      <c r="Q14" s="4">
        <v>0</v>
      </c>
      <c r="R14" s="4">
        <v>0.19678100000000001</v>
      </c>
      <c r="S14" s="4">
        <v>66.395668000000001</v>
      </c>
      <c r="T14" s="4">
        <v>87.419792000000001</v>
      </c>
      <c r="U14" s="4">
        <v>104.820976</v>
      </c>
      <c r="V14" s="4">
        <v>118.969093</v>
      </c>
      <c r="W14" s="4">
        <v>136.87539699999999</v>
      </c>
      <c r="X14" s="4">
        <v>159.40625</v>
      </c>
      <c r="Y14" s="4">
        <v>182.96347</v>
      </c>
      <c r="Z14" s="4">
        <v>200.49046300000001</v>
      </c>
      <c r="AA14" s="4">
        <v>214.33255</v>
      </c>
      <c r="AB14" s="4">
        <v>221.186813</v>
      </c>
      <c r="AC14" s="4">
        <v>230.858383</v>
      </c>
      <c r="AD14" s="4">
        <v>218.743484</v>
      </c>
      <c r="AE14" s="5">
        <v>0.14680684756406362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5.0193199999999996</v>
      </c>
      <c r="H15" s="4">
        <v>27.220013000000002</v>
      </c>
      <c r="I15" s="4">
        <v>62.650379000000001</v>
      </c>
      <c r="J15" s="4">
        <v>97.600121000000001</v>
      </c>
      <c r="K15" s="4">
        <v>130.98490899999999</v>
      </c>
      <c r="L15" s="4">
        <v>165.596329</v>
      </c>
      <c r="M15" s="4">
        <v>201.04325900000001</v>
      </c>
      <c r="N15" s="4">
        <v>206.73452800000001</v>
      </c>
      <c r="O15" s="4">
        <v>221.54020700000001</v>
      </c>
      <c r="P15" s="4">
        <v>236.27858000000001</v>
      </c>
      <c r="Q15" s="4">
        <v>257.79077100000001</v>
      </c>
      <c r="R15" s="4">
        <v>266.38180499999999</v>
      </c>
      <c r="S15" s="4">
        <v>207.502441</v>
      </c>
      <c r="T15" s="4">
        <v>193.265625</v>
      </c>
      <c r="U15" s="4">
        <v>182.015488</v>
      </c>
      <c r="V15" s="4">
        <v>173.52761799999999</v>
      </c>
      <c r="W15" s="4">
        <v>160.66709900000001</v>
      </c>
      <c r="X15" s="4">
        <v>142.99362199999999</v>
      </c>
      <c r="Y15" s="4">
        <v>123.33219099999999</v>
      </c>
      <c r="Z15" s="4">
        <v>109.295135</v>
      </c>
      <c r="AA15" s="4">
        <v>98.499427999999995</v>
      </c>
      <c r="AB15" s="4">
        <v>95.134215999999995</v>
      </c>
      <c r="AC15" s="4">
        <v>89.099350000000001</v>
      </c>
      <c r="AD15" s="4">
        <v>105.321617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138.53247099999999</v>
      </c>
      <c r="E16" s="4">
        <v>132.585464</v>
      </c>
      <c r="F16" s="4">
        <v>125.509209</v>
      </c>
      <c r="G16" s="4">
        <v>125.86421199999999</v>
      </c>
      <c r="H16" s="4">
        <v>126.09359000000001</v>
      </c>
      <c r="I16" s="4">
        <v>126.04016900000001</v>
      </c>
      <c r="J16" s="4">
        <v>127.26428199999999</v>
      </c>
      <c r="K16" s="4">
        <v>129.61497499999999</v>
      </c>
      <c r="L16" s="4">
        <v>132.217163</v>
      </c>
      <c r="M16" s="4">
        <v>135.22854599999999</v>
      </c>
      <c r="N16" s="4">
        <v>138.52950999999999</v>
      </c>
      <c r="O16" s="4">
        <v>141.03801000000001</v>
      </c>
      <c r="P16" s="4">
        <v>143.37982199999999</v>
      </c>
      <c r="Q16" s="4">
        <v>145.42761200000001</v>
      </c>
      <c r="R16" s="4">
        <v>147.72100800000001</v>
      </c>
      <c r="S16" s="4">
        <v>149.440414</v>
      </c>
      <c r="T16" s="4">
        <v>150.995148</v>
      </c>
      <c r="U16" s="4">
        <v>152.59182699999999</v>
      </c>
      <c r="V16" s="4">
        <v>153.89627100000001</v>
      </c>
      <c r="W16" s="4">
        <v>155.04742400000001</v>
      </c>
      <c r="X16" s="4">
        <v>156.40396100000001</v>
      </c>
      <c r="Y16" s="4">
        <v>157.22439600000001</v>
      </c>
      <c r="Z16" s="4">
        <v>157.999359</v>
      </c>
      <c r="AA16" s="4">
        <v>158.54089400000001</v>
      </c>
      <c r="AB16" s="4">
        <v>159.701797</v>
      </c>
      <c r="AC16" s="4">
        <v>160.85552999999999</v>
      </c>
      <c r="AD16" s="4">
        <v>162.23493999999999</v>
      </c>
      <c r="AE16" s="5" cm="1">
        <f t="array" ref="AE16:AE20">(AD16:AD20-D16:D20)/D16:D20</f>
        <v>0.17109684703451228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1.2747850000000001</v>
      </c>
      <c r="E17" s="4">
        <v>1.2747850000000001</v>
      </c>
      <c r="F17" s="4">
        <v>1.2747850000000001</v>
      </c>
      <c r="G17" s="4">
        <v>1.2747850000000001</v>
      </c>
      <c r="H17" s="4">
        <v>1.2747850000000001</v>
      </c>
      <c r="I17" s="4">
        <v>1.2747850000000001</v>
      </c>
      <c r="J17" s="4">
        <v>1.2747850000000001</v>
      </c>
      <c r="K17" s="4">
        <v>1.2747850000000001</v>
      </c>
      <c r="L17" s="4">
        <v>1.2747850000000001</v>
      </c>
      <c r="M17" s="4">
        <v>1.2747850000000001</v>
      </c>
      <c r="N17" s="4">
        <v>1.2747850000000001</v>
      </c>
      <c r="O17" s="4">
        <v>1.2747850000000001</v>
      </c>
      <c r="P17" s="4">
        <v>1.2747850000000001</v>
      </c>
      <c r="Q17" s="4">
        <v>1.2747850000000001</v>
      </c>
      <c r="R17" s="4">
        <v>1.2747850000000001</v>
      </c>
      <c r="S17" s="4">
        <v>1.2747850000000001</v>
      </c>
      <c r="T17" s="4">
        <v>1.2747850000000001</v>
      </c>
      <c r="U17" s="4">
        <v>1.2747850000000001</v>
      </c>
      <c r="V17" s="4">
        <v>1.2747850000000001</v>
      </c>
      <c r="W17" s="4">
        <v>1.2747850000000001</v>
      </c>
      <c r="X17" s="4">
        <v>1.2747850000000001</v>
      </c>
      <c r="Y17" s="4">
        <v>1.2747850000000001</v>
      </c>
      <c r="Z17" s="4">
        <v>1.2747850000000001</v>
      </c>
      <c r="AA17" s="4">
        <v>1.2747850000000001</v>
      </c>
      <c r="AB17" s="4">
        <v>1.2747850000000001</v>
      </c>
      <c r="AC17" s="4">
        <v>1.2747850000000001</v>
      </c>
      <c r="AD17" s="4">
        <v>1.2747850000000001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137.25769</v>
      </c>
      <c r="E18" s="4">
        <v>131.31068400000001</v>
      </c>
      <c r="F18" s="4">
        <v>124.234421</v>
      </c>
      <c r="G18" s="4">
        <v>124.58942399999999</v>
      </c>
      <c r="H18" s="4">
        <v>124.81880200000001</v>
      </c>
      <c r="I18" s="4">
        <v>124.765381</v>
      </c>
      <c r="J18" s="4">
        <v>125.98949399999999</v>
      </c>
      <c r="K18" s="4">
        <v>128.34019499999999</v>
      </c>
      <c r="L18" s="4">
        <v>130.94238300000001</v>
      </c>
      <c r="M18" s="4">
        <v>133.953766</v>
      </c>
      <c r="N18" s="4">
        <v>137.25473</v>
      </c>
      <c r="O18" s="4">
        <v>139.763229</v>
      </c>
      <c r="P18" s="4">
        <v>142.105042</v>
      </c>
      <c r="Q18" s="4">
        <v>144.15283199999999</v>
      </c>
      <c r="R18" s="4">
        <v>146.44622799999999</v>
      </c>
      <c r="S18" s="4">
        <v>148.16563400000001</v>
      </c>
      <c r="T18" s="4">
        <v>149.72036700000001</v>
      </c>
      <c r="U18" s="4">
        <v>151.317047</v>
      </c>
      <c r="V18" s="4">
        <v>152.62148999999999</v>
      </c>
      <c r="W18" s="4">
        <v>153.77264400000001</v>
      </c>
      <c r="X18" s="4">
        <v>155.12918099999999</v>
      </c>
      <c r="Y18" s="4">
        <v>155.94961499999999</v>
      </c>
      <c r="Z18" s="4">
        <v>156.72457900000001</v>
      </c>
      <c r="AA18" s="4">
        <v>157.26611299999999</v>
      </c>
      <c r="AB18" s="4">
        <v>158.42701700000001</v>
      </c>
      <c r="AC18" s="4">
        <v>159.58074999999999</v>
      </c>
      <c r="AD18" s="4">
        <v>160.960159</v>
      </c>
      <c r="AE18" s="5">
        <v>0.17268590925579477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5.0775000000000001E-2</v>
      </c>
      <c r="E19" s="4">
        <v>0.29156799999999999</v>
      </c>
      <c r="F19" s="4">
        <v>0.65741000000000005</v>
      </c>
      <c r="G19" s="4">
        <v>1.2395240000000001</v>
      </c>
      <c r="H19" s="4">
        <v>2.2002389999999998</v>
      </c>
      <c r="I19" s="4">
        <v>3.415124</v>
      </c>
      <c r="J19" s="4">
        <v>4.7524800000000003</v>
      </c>
      <c r="K19" s="4">
        <v>7.7375189999999998</v>
      </c>
      <c r="L19" s="4">
        <v>14.397544999999999</v>
      </c>
      <c r="M19" s="4">
        <v>20.359376999999999</v>
      </c>
      <c r="N19" s="4">
        <v>26.206164999999999</v>
      </c>
      <c r="O19" s="4">
        <v>31.625114</v>
      </c>
      <c r="P19" s="4">
        <v>36.551414000000001</v>
      </c>
      <c r="Q19" s="4">
        <v>41.071418999999999</v>
      </c>
      <c r="R19" s="4">
        <v>45.174503000000001</v>
      </c>
      <c r="S19" s="4">
        <v>48.838650000000001</v>
      </c>
      <c r="T19" s="4">
        <v>52.219334000000003</v>
      </c>
      <c r="U19" s="4">
        <v>55.103287000000002</v>
      </c>
      <c r="V19" s="4">
        <v>57.865456000000002</v>
      </c>
      <c r="W19" s="4">
        <v>60.307388000000003</v>
      </c>
      <c r="X19" s="4">
        <v>62.451636999999998</v>
      </c>
      <c r="Y19" s="4">
        <v>64.433593999999999</v>
      </c>
      <c r="Z19" s="4">
        <v>66.234245000000001</v>
      </c>
      <c r="AA19" s="4">
        <v>67.940856999999994</v>
      </c>
      <c r="AB19" s="4">
        <v>69.522896000000003</v>
      </c>
      <c r="AC19" s="4">
        <v>71.086838</v>
      </c>
      <c r="AD19" s="4">
        <v>72.618645000000001</v>
      </c>
      <c r="AE19" s="5">
        <v>1429.2047267355981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2.7439999999999999E-2</v>
      </c>
      <c r="U20" s="4">
        <v>3.4942000000000001E-2</v>
      </c>
      <c r="V20" s="4">
        <v>3.5222999999999997E-2</v>
      </c>
      <c r="W20" s="4">
        <v>3.5664000000000001E-2</v>
      </c>
      <c r="X20" s="4">
        <v>0</v>
      </c>
      <c r="Y20" s="4">
        <v>0</v>
      </c>
      <c r="Z20" s="4">
        <v>0</v>
      </c>
      <c r="AA20" s="4">
        <v>2.9096E-2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7.9046989999999999</v>
      </c>
      <c r="E21" s="4">
        <v>9.9852170000000005</v>
      </c>
      <c r="F21" s="4">
        <v>10.348103</v>
      </c>
      <c r="G21" s="4">
        <v>10.29646</v>
      </c>
      <c r="H21" s="4">
        <v>10.564449</v>
      </c>
      <c r="I21" s="4">
        <v>10.931253999999999</v>
      </c>
      <c r="J21" s="4">
        <v>12.112223</v>
      </c>
      <c r="K21" s="4">
        <v>13.13832</v>
      </c>
      <c r="L21" s="4">
        <v>14.090680000000001</v>
      </c>
      <c r="M21" s="4">
        <v>14.62951</v>
      </c>
      <c r="N21" s="4">
        <v>14.897523</v>
      </c>
      <c r="O21" s="4">
        <v>14.665685</v>
      </c>
      <c r="P21" s="4">
        <v>14.759864</v>
      </c>
      <c r="Q21" s="4">
        <v>14.079190000000001</v>
      </c>
      <c r="R21" s="4">
        <v>14.572507</v>
      </c>
      <c r="S21" s="4">
        <v>15.427711</v>
      </c>
      <c r="T21" s="4">
        <v>15.394546999999999</v>
      </c>
      <c r="U21" s="4">
        <v>15.427713000000001</v>
      </c>
      <c r="V21" s="4">
        <v>15.380651</v>
      </c>
      <c r="W21" s="4">
        <v>15.178084999999999</v>
      </c>
      <c r="X21" s="4">
        <v>15.251757</v>
      </c>
      <c r="Y21" s="4">
        <v>15.20463</v>
      </c>
      <c r="Z21" s="4">
        <v>15.330007</v>
      </c>
      <c r="AA21" s="4">
        <v>15.624112999999999</v>
      </c>
      <c r="AB21" s="4">
        <v>15.976758</v>
      </c>
      <c r="AC21" s="4">
        <v>16.552696000000001</v>
      </c>
      <c r="AD21" s="4">
        <v>16.630980000000001</v>
      </c>
      <c r="AE21" s="5">
        <f>(AD21-D21)/D21</f>
        <v>1.1039358993935127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10.368220000000001</v>
      </c>
      <c r="E22" s="4">
        <v>12.448739</v>
      </c>
      <c r="F22" s="4">
        <v>12.811624999999999</v>
      </c>
      <c r="G22" s="4">
        <v>12.759981</v>
      </c>
      <c r="H22" s="4">
        <v>13.02797</v>
      </c>
      <c r="I22" s="4">
        <v>13.394776</v>
      </c>
      <c r="J22" s="4">
        <v>14.575745</v>
      </c>
      <c r="K22" s="4">
        <v>15.601842</v>
      </c>
      <c r="L22" s="4">
        <v>16.554203000000001</v>
      </c>
      <c r="M22" s="4">
        <v>17.093031</v>
      </c>
      <c r="N22" s="4">
        <v>17.361044</v>
      </c>
      <c r="O22" s="4">
        <v>17.129207999999998</v>
      </c>
      <c r="P22" s="4">
        <v>17.223385</v>
      </c>
      <c r="Q22" s="4">
        <v>16.542711000000001</v>
      </c>
      <c r="R22" s="4">
        <v>17.03603</v>
      </c>
      <c r="S22" s="4">
        <v>17.891231999999999</v>
      </c>
      <c r="T22" s="4">
        <v>17.858067999999999</v>
      </c>
      <c r="U22" s="4">
        <v>17.891235000000002</v>
      </c>
      <c r="V22" s="4">
        <v>17.844172</v>
      </c>
      <c r="W22" s="4">
        <v>17.641607</v>
      </c>
      <c r="X22" s="4">
        <v>17.715278999999999</v>
      </c>
      <c r="Y22" s="4">
        <v>17.668151999999999</v>
      </c>
      <c r="Z22" s="4">
        <v>17.793527999999998</v>
      </c>
      <c r="AA22" s="4">
        <v>18.087634999999999</v>
      </c>
      <c r="AB22" s="4">
        <v>18.440280999999999</v>
      </c>
      <c r="AC22" s="4">
        <v>19.016217999999999</v>
      </c>
      <c r="AD22" s="4">
        <v>19.094501000000001</v>
      </c>
      <c r="AE22" s="5" cm="1">
        <f t="array" ref="AE22:AE24">(AD22:AD24-D22:D24)/D22:D24</f>
        <v>0.8416373302264033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60.458278999999997</v>
      </c>
      <c r="E23" s="4">
        <v>62.539799000000002</v>
      </c>
      <c r="F23" s="4">
        <v>62.903239999999997</v>
      </c>
      <c r="G23" s="4">
        <v>62.851601000000002</v>
      </c>
      <c r="H23" s="4">
        <v>63.119582999999999</v>
      </c>
      <c r="I23" s="4">
        <v>63.486389000000003</v>
      </c>
      <c r="J23" s="4">
        <v>64.667357999999993</v>
      </c>
      <c r="K23" s="4">
        <v>65.693450999999996</v>
      </c>
      <c r="L23" s="4">
        <v>66.645813000000004</v>
      </c>
      <c r="M23" s="4">
        <v>67.184646999999998</v>
      </c>
      <c r="N23" s="4">
        <v>67.437218000000001</v>
      </c>
      <c r="O23" s="4">
        <v>67.174651999999995</v>
      </c>
      <c r="P23" s="4">
        <v>67.313805000000002</v>
      </c>
      <c r="Q23" s="4">
        <v>66.643332999999998</v>
      </c>
      <c r="R23" s="4">
        <v>67.121368000000004</v>
      </c>
      <c r="S23" s="4">
        <v>67.982840999999993</v>
      </c>
      <c r="T23" s="4">
        <v>67.949669</v>
      </c>
      <c r="U23" s="4">
        <v>67.982849000000002</v>
      </c>
      <c r="V23" s="4">
        <v>67.935783000000001</v>
      </c>
      <c r="W23" s="4">
        <v>67.733215000000001</v>
      </c>
      <c r="X23" s="4">
        <v>67.806884999999994</v>
      </c>
      <c r="Y23" s="4">
        <v>67.759758000000005</v>
      </c>
      <c r="Z23" s="4">
        <v>67.885131999999999</v>
      </c>
      <c r="AA23" s="4">
        <v>68.179237000000001</v>
      </c>
      <c r="AB23" s="4">
        <v>68.531891000000002</v>
      </c>
      <c r="AC23" s="4">
        <v>69.106048999999999</v>
      </c>
      <c r="AD23" s="4">
        <v>69.186104</v>
      </c>
      <c r="AE23" s="5">
        <v>0.14436112215499888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10.368220000000001</v>
      </c>
      <c r="E24" s="4">
        <v>12.448739</v>
      </c>
      <c r="F24" s="4">
        <v>12.811624999999999</v>
      </c>
      <c r="G24" s="4">
        <v>12.759981</v>
      </c>
      <c r="H24" s="4">
        <v>13.02797</v>
      </c>
      <c r="I24" s="4">
        <v>13.394776</v>
      </c>
      <c r="J24" s="4">
        <v>14.575745</v>
      </c>
      <c r="K24" s="4">
        <v>15.601842</v>
      </c>
      <c r="L24" s="4">
        <v>16.554203000000001</v>
      </c>
      <c r="M24" s="4">
        <v>17.093031</v>
      </c>
      <c r="N24" s="4">
        <v>17.361044</v>
      </c>
      <c r="O24" s="4">
        <v>17.129207999999998</v>
      </c>
      <c r="P24" s="4">
        <v>17.223385</v>
      </c>
      <c r="Q24" s="4">
        <v>16.542711000000001</v>
      </c>
      <c r="R24" s="4">
        <v>17.03603</v>
      </c>
      <c r="S24" s="4">
        <v>17.891231999999999</v>
      </c>
      <c r="T24" s="4">
        <v>17.858067999999999</v>
      </c>
      <c r="U24" s="4">
        <v>17.891235000000002</v>
      </c>
      <c r="V24" s="4">
        <v>17.844172</v>
      </c>
      <c r="W24" s="4">
        <v>17.641607</v>
      </c>
      <c r="X24" s="4">
        <v>17.715278999999999</v>
      </c>
      <c r="Y24" s="4">
        <v>17.668151999999999</v>
      </c>
      <c r="Z24" s="4">
        <v>17.793527999999998</v>
      </c>
      <c r="AA24" s="4">
        <v>18.087634999999999</v>
      </c>
      <c r="AB24" s="4">
        <v>18.440280999999999</v>
      </c>
      <c r="AC24" s="4">
        <v>19.016217999999999</v>
      </c>
      <c r="AD24" s="4">
        <v>19.094501000000001</v>
      </c>
      <c r="AE24" s="5">
        <v>0.8416373302264033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91.718238999999997</v>
      </c>
      <c r="E2" s="4">
        <v>101.815834</v>
      </c>
      <c r="F2" s="4">
        <v>101.879639</v>
      </c>
      <c r="G2" s="4">
        <v>104.89258599999999</v>
      </c>
      <c r="H2" s="4">
        <v>106.281975</v>
      </c>
      <c r="I2" s="4">
        <v>108.412621</v>
      </c>
      <c r="J2" s="4">
        <v>109.38826</v>
      </c>
      <c r="K2" s="4">
        <v>114.71120500000001</v>
      </c>
      <c r="L2" s="4">
        <v>126.088173</v>
      </c>
      <c r="M2" s="4">
        <v>136.97895800000001</v>
      </c>
      <c r="N2" s="4">
        <v>146.424103</v>
      </c>
      <c r="O2" s="4">
        <v>154.28892500000001</v>
      </c>
      <c r="P2" s="4">
        <v>161.46893299999999</v>
      </c>
      <c r="Q2" s="4">
        <v>169.68364</v>
      </c>
      <c r="R2" s="4">
        <v>177.43443300000001</v>
      </c>
      <c r="S2" s="4">
        <v>184.35496499999999</v>
      </c>
      <c r="T2" s="4">
        <v>190.170929</v>
      </c>
      <c r="U2" s="4">
        <v>195.27848800000001</v>
      </c>
      <c r="V2" s="4">
        <v>200.07704200000001</v>
      </c>
      <c r="W2" s="4">
        <v>204.677246</v>
      </c>
      <c r="X2" s="4">
        <v>209.55363500000001</v>
      </c>
      <c r="Y2" s="4">
        <v>214.01535000000001</v>
      </c>
      <c r="Z2" s="4">
        <v>218.173035</v>
      </c>
      <c r="AA2" s="4">
        <v>221.06134</v>
      </c>
      <c r="AB2" s="4">
        <v>224.33284</v>
      </c>
      <c r="AC2" s="4">
        <v>227.617065</v>
      </c>
      <c r="AD2" s="4">
        <v>231.054382</v>
      </c>
      <c r="AE2" s="5" cm="1">
        <f t="array" ref="AE2:AE6">(AD2:AD6-D2:D6)/D2:D6</f>
        <v>1.5191759514702414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13.463258</v>
      </c>
      <c r="E3" s="4">
        <v>0</v>
      </c>
      <c r="F3" s="4">
        <v>0</v>
      </c>
      <c r="G3" s="4">
        <v>0</v>
      </c>
      <c r="H3" s="4">
        <v>0</v>
      </c>
      <c r="I3" s="4">
        <v>0.142572</v>
      </c>
      <c r="J3" s="4">
        <v>1.8699589999999999</v>
      </c>
      <c r="K3" s="4">
        <v>1.6807890000000001</v>
      </c>
      <c r="L3" s="4">
        <v>1.039471</v>
      </c>
      <c r="M3" s="4">
        <v>7.7596999999999999E-2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5">
        <v>-1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0.45237500000000003</v>
      </c>
      <c r="H4" s="4">
        <v>0.70248699999999997</v>
      </c>
      <c r="I4" s="4">
        <v>1.040062</v>
      </c>
      <c r="J4" s="4">
        <v>1.4488380000000001</v>
      </c>
      <c r="K4" s="4">
        <v>1.55061</v>
      </c>
      <c r="L4" s="4">
        <v>1.313437</v>
      </c>
      <c r="M4" s="4">
        <v>1.379311</v>
      </c>
      <c r="N4" s="4">
        <v>2.0187759999999999</v>
      </c>
      <c r="O4" s="4">
        <v>3.1220840000000001</v>
      </c>
      <c r="P4" s="4">
        <v>3.9354239999999998</v>
      </c>
      <c r="Q4" s="4">
        <v>3.3978869999999999</v>
      </c>
      <c r="R4" s="4">
        <v>3.0789970000000002</v>
      </c>
      <c r="S4" s="4">
        <v>2.720269</v>
      </c>
      <c r="T4" s="4">
        <v>2.3464710000000002</v>
      </c>
      <c r="U4" s="4">
        <v>2.169559</v>
      </c>
      <c r="V4" s="4">
        <v>2.2138529999999998</v>
      </c>
      <c r="W4" s="4">
        <v>2.0714579999999998</v>
      </c>
      <c r="X4" s="4">
        <v>1.5658449999999999</v>
      </c>
      <c r="Y4" s="4">
        <v>0.68188300000000002</v>
      </c>
      <c r="Z4" s="4">
        <v>2.3112000000000001E-2</v>
      </c>
      <c r="AA4" s="4">
        <v>2.3268E-2</v>
      </c>
      <c r="AB4" s="4">
        <v>2.4201E-2</v>
      </c>
      <c r="AC4" s="4">
        <v>2.4201E-2</v>
      </c>
      <c r="AD4" s="4">
        <v>2.4201E-2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5" t="e">
        <v>#DIV/0!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105.181511</v>
      </c>
      <c r="E6" s="4">
        <v>101.815834</v>
      </c>
      <c r="F6" s="4">
        <v>101.879639</v>
      </c>
      <c r="G6" s="4">
        <v>105.344955</v>
      </c>
      <c r="H6" s="4">
        <v>106.984459</v>
      </c>
      <c r="I6" s="4">
        <v>109.595253</v>
      </c>
      <c r="J6" s="4">
        <v>112.707054</v>
      </c>
      <c r="K6" s="4">
        <v>117.942612</v>
      </c>
      <c r="L6" s="4">
        <v>128.44107099999999</v>
      </c>
      <c r="M6" s="4">
        <v>138.43585200000001</v>
      </c>
      <c r="N6" s="4">
        <v>148.442871</v>
      </c>
      <c r="O6" s="4">
        <v>157.411011</v>
      </c>
      <c r="P6" s="4">
        <v>165.404358</v>
      </c>
      <c r="Q6" s="4">
        <v>173.08152799999999</v>
      </c>
      <c r="R6" s="4">
        <v>180.513443</v>
      </c>
      <c r="S6" s="4">
        <v>187.07522599999999</v>
      </c>
      <c r="T6" s="4">
        <v>192.51741000000001</v>
      </c>
      <c r="U6" s="4">
        <v>197.44804400000001</v>
      </c>
      <c r="V6" s="4">
        <v>202.290909</v>
      </c>
      <c r="W6" s="4">
        <v>206.74870300000001</v>
      </c>
      <c r="X6" s="4">
        <v>211.11947599999999</v>
      </c>
      <c r="Y6" s="4">
        <v>214.69721999999999</v>
      </c>
      <c r="Z6" s="4">
        <v>218.196136</v>
      </c>
      <c r="AA6" s="4">
        <v>221.08459500000001</v>
      </c>
      <c r="AB6" s="4">
        <v>224.35704000000001</v>
      </c>
      <c r="AC6" s="4">
        <v>227.641266</v>
      </c>
      <c r="AD6" s="4">
        <v>231.07856799999999</v>
      </c>
      <c r="AE6" s="5">
        <v>1.1969504507308322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145.67124899999999</v>
      </c>
      <c r="E7" s="4">
        <v>139.79632599999999</v>
      </c>
      <c r="F7" s="4">
        <v>139.88394199999999</v>
      </c>
      <c r="G7" s="4">
        <v>144.02075199999999</v>
      </c>
      <c r="H7" s="4">
        <v>145.928391</v>
      </c>
      <c r="I7" s="4">
        <v>149.06298799999999</v>
      </c>
      <c r="J7" s="4">
        <v>152.935104</v>
      </c>
      <c r="K7" s="4">
        <v>159.966339</v>
      </c>
      <c r="L7" s="4">
        <v>174.646805</v>
      </c>
      <c r="M7" s="4">
        <v>188.19004799999999</v>
      </c>
      <c r="N7" s="4">
        <v>201.044693</v>
      </c>
      <c r="O7" s="4">
        <v>211.84355199999999</v>
      </c>
      <c r="P7" s="4">
        <v>221.701965</v>
      </c>
      <c r="Q7" s="4">
        <v>232.98091099999999</v>
      </c>
      <c r="R7" s="4">
        <v>243.62303199999999</v>
      </c>
      <c r="S7" s="4">
        <v>253.12506099999999</v>
      </c>
      <c r="T7" s="4">
        <v>261.11059599999999</v>
      </c>
      <c r="U7" s="4">
        <v>268.12332199999997</v>
      </c>
      <c r="V7" s="4">
        <v>274.71203600000001</v>
      </c>
      <c r="W7" s="4">
        <v>281.02825899999999</v>
      </c>
      <c r="X7" s="4">
        <v>287.72369400000002</v>
      </c>
      <c r="Y7" s="4">
        <v>293.84970099999998</v>
      </c>
      <c r="Z7" s="4">
        <v>299.55841099999998</v>
      </c>
      <c r="AA7" s="4">
        <v>303.52410900000001</v>
      </c>
      <c r="AB7" s="4">
        <v>308.01599099999999</v>
      </c>
      <c r="AC7" s="4">
        <v>312.52535999999998</v>
      </c>
      <c r="AD7" s="4">
        <v>317.24487299999998</v>
      </c>
      <c r="AE7" s="5" cm="1">
        <f t="array" ref="AE7:AE9">(AD7:AD9-D7:D9)/D7:D9</f>
        <v>1.1778139143984412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0.82024900000000001</v>
      </c>
      <c r="E8" s="4">
        <v>0.339557</v>
      </c>
      <c r="F8" s="4">
        <v>0.33977000000000002</v>
      </c>
      <c r="G8" s="4">
        <v>0.97421800000000003</v>
      </c>
      <c r="H8" s="4">
        <v>1.3240730000000001</v>
      </c>
      <c r="I8" s="4">
        <v>1.80257</v>
      </c>
      <c r="J8" s="4">
        <v>2.4360409999999999</v>
      </c>
      <c r="K8" s="4">
        <v>2.5870380000000002</v>
      </c>
      <c r="L8" s="4">
        <v>2.2731170000000001</v>
      </c>
      <c r="M8" s="4">
        <v>2.3636119999999998</v>
      </c>
      <c r="N8" s="4">
        <v>3.2747820000000001</v>
      </c>
      <c r="O8" s="4">
        <v>4.8238729999999999</v>
      </c>
      <c r="P8" s="4">
        <v>5.9704480000000002</v>
      </c>
      <c r="Q8" s="4">
        <v>5.2558980000000002</v>
      </c>
      <c r="R8" s="4">
        <v>4.8415929999999996</v>
      </c>
      <c r="S8" s="4">
        <v>4.3695310000000003</v>
      </c>
      <c r="T8" s="4">
        <v>3.872986</v>
      </c>
      <c r="U8" s="4">
        <v>3.6458330000000001</v>
      </c>
      <c r="V8" s="4">
        <v>3.7229749999999999</v>
      </c>
      <c r="W8" s="4">
        <v>3.5417730000000001</v>
      </c>
      <c r="X8" s="4">
        <v>2.8601529999999999</v>
      </c>
      <c r="Y8" s="4">
        <v>1.654927</v>
      </c>
      <c r="Z8" s="4">
        <v>0.75951199999999996</v>
      </c>
      <c r="AA8" s="4">
        <v>0.76935900000000002</v>
      </c>
      <c r="AB8" s="4">
        <v>0.78155799999999997</v>
      </c>
      <c r="AC8" s="4">
        <v>0.79251099999999997</v>
      </c>
      <c r="AD8" s="4">
        <v>0.803975</v>
      </c>
      <c r="AE8" s="5">
        <v>-1.9840316781855279E-2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146.491501</v>
      </c>
      <c r="E9" s="4">
        <v>140.13587999999999</v>
      </c>
      <c r="F9" s="4">
        <v>140.22370900000001</v>
      </c>
      <c r="G9" s="4">
        <v>144.99496500000001</v>
      </c>
      <c r="H9" s="4">
        <v>147.25245699999999</v>
      </c>
      <c r="I9" s="4">
        <v>150.865555</v>
      </c>
      <c r="J9" s="4">
        <v>155.37114</v>
      </c>
      <c r="K9" s="4">
        <v>162.55337499999999</v>
      </c>
      <c r="L9" s="4">
        <v>176.91992200000001</v>
      </c>
      <c r="M9" s="4">
        <v>190.553665</v>
      </c>
      <c r="N9" s="4">
        <v>204.31947299999999</v>
      </c>
      <c r="O9" s="4">
        <v>216.667419</v>
      </c>
      <c r="P9" s="4">
        <v>227.67240899999999</v>
      </c>
      <c r="Q9" s="4">
        <v>238.236816</v>
      </c>
      <c r="R9" s="4">
        <v>248.46463</v>
      </c>
      <c r="S9" s="4">
        <v>257.494598</v>
      </c>
      <c r="T9" s="4">
        <v>264.98358200000001</v>
      </c>
      <c r="U9" s="4">
        <v>271.76916499999999</v>
      </c>
      <c r="V9" s="4">
        <v>278.43499800000001</v>
      </c>
      <c r="W9" s="4">
        <v>284.57003800000001</v>
      </c>
      <c r="X9" s="4">
        <v>290.58383199999997</v>
      </c>
      <c r="Y9" s="4">
        <v>295.504639</v>
      </c>
      <c r="Z9" s="4">
        <v>300.31793199999998</v>
      </c>
      <c r="AA9" s="4">
        <v>304.29345699999999</v>
      </c>
      <c r="AB9" s="4">
        <v>308.79754600000001</v>
      </c>
      <c r="AC9" s="4">
        <v>313.31787100000003</v>
      </c>
      <c r="AD9" s="4">
        <v>318.04885899999999</v>
      </c>
      <c r="AE9" s="5">
        <v>1.171107926595687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145.67124899999999</v>
      </c>
      <c r="E10" s="4">
        <v>139.79632599999999</v>
      </c>
      <c r="F10" s="4">
        <v>139.88394199999999</v>
      </c>
      <c r="G10" s="4">
        <v>144.02075199999999</v>
      </c>
      <c r="H10" s="4">
        <v>145.928391</v>
      </c>
      <c r="I10" s="4">
        <v>149.06298799999999</v>
      </c>
      <c r="J10" s="4">
        <v>152.935104</v>
      </c>
      <c r="K10" s="4">
        <v>159.966339</v>
      </c>
      <c r="L10" s="4">
        <v>174.646805</v>
      </c>
      <c r="M10" s="4">
        <v>188.19004799999999</v>
      </c>
      <c r="N10" s="4">
        <v>201.044693</v>
      </c>
      <c r="O10" s="4">
        <v>211.84355199999999</v>
      </c>
      <c r="P10" s="4">
        <v>221.701965</v>
      </c>
      <c r="Q10" s="4">
        <v>232.98091099999999</v>
      </c>
      <c r="R10" s="4">
        <v>243.62303199999999</v>
      </c>
      <c r="S10" s="4">
        <v>253.12506099999999</v>
      </c>
      <c r="T10" s="4">
        <v>261.11059599999999</v>
      </c>
      <c r="U10" s="4">
        <v>268.12332199999997</v>
      </c>
      <c r="V10" s="4">
        <v>274.71203600000001</v>
      </c>
      <c r="W10" s="4">
        <v>281.02825899999999</v>
      </c>
      <c r="X10" s="4">
        <v>287.72369400000002</v>
      </c>
      <c r="Y10" s="4">
        <v>293.84970099999998</v>
      </c>
      <c r="Z10" s="4">
        <v>299.55841099999998</v>
      </c>
      <c r="AA10" s="4">
        <v>303.52410900000001</v>
      </c>
      <c r="AB10" s="4">
        <v>308.01599099999999</v>
      </c>
      <c r="AC10" s="4">
        <v>312.52535999999998</v>
      </c>
      <c r="AD10" s="4">
        <v>317.24487299999998</v>
      </c>
      <c r="AE10" s="5" cm="1">
        <f t="array" ref="AE10:AE14">(AD10:AD14-D10:D14)/D10:D14</f>
        <v>1.1778139143984412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124.31345399999999</v>
      </c>
      <c r="E11" s="4">
        <v>119.316124</v>
      </c>
      <c r="F11" s="4">
        <v>119.3909</v>
      </c>
      <c r="G11" s="4">
        <v>122.92171500000001</v>
      </c>
      <c r="H11" s="4">
        <v>124.549904</v>
      </c>
      <c r="I11" s="4">
        <v>127.22500599999999</v>
      </c>
      <c r="J11" s="4">
        <v>130.52775600000001</v>
      </c>
      <c r="K11" s="4">
        <v>136.529144</v>
      </c>
      <c r="L11" s="4">
        <v>149.05989099999999</v>
      </c>
      <c r="M11" s="4">
        <v>160.62013200000001</v>
      </c>
      <c r="N11" s="4">
        <v>171.591736</v>
      </c>
      <c r="O11" s="4">
        <v>180.80841100000001</v>
      </c>
      <c r="P11" s="4">
        <v>189.22250399999999</v>
      </c>
      <c r="Q11" s="4">
        <v>198.84916699999999</v>
      </c>
      <c r="R11" s="4">
        <v>207.93218999999999</v>
      </c>
      <c r="S11" s="4">
        <v>216.042236</v>
      </c>
      <c r="T11" s="4">
        <v>222.85786400000001</v>
      </c>
      <c r="U11" s="4">
        <v>228.84333799999999</v>
      </c>
      <c r="V11" s="4">
        <v>234.46665999999999</v>
      </c>
      <c r="W11" s="4">
        <v>239.85754399999999</v>
      </c>
      <c r="X11" s="4">
        <v>245.57209800000001</v>
      </c>
      <c r="Y11" s="4">
        <v>250.80070499999999</v>
      </c>
      <c r="Z11" s="4">
        <v>255.67301900000001</v>
      </c>
      <c r="AA11" s="4">
        <v>259.05777</v>
      </c>
      <c r="AB11" s="4">
        <v>262.891571</v>
      </c>
      <c r="AC11" s="4">
        <v>266.740295</v>
      </c>
      <c r="AD11" s="4">
        <v>270.76843300000002</v>
      </c>
      <c r="AE11" s="5">
        <v>1.1781104481257518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21.357803000000001</v>
      </c>
      <c r="E12" s="4">
        <v>20.4802</v>
      </c>
      <c r="F12" s="4">
        <v>20.493034000000002</v>
      </c>
      <c r="G12" s="4">
        <v>21.099087000000001</v>
      </c>
      <c r="H12" s="4">
        <v>21.378558999999999</v>
      </c>
      <c r="I12" s="4">
        <v>21.837942000000002</v>
      </c>
      <c r="J12" s="4">
        <v>22.407392999999999</v>
      </c>
      <c r="K12" s="4">
        <v>23.437228999999999</v>
      </c>
      <c r="L12" s="4">
        <v>25.587145</v>
      </c>
      <c r="M12" s="4">
        <v>27.570004000000001</v>
      </c>
      <c r="N12" s="4">
        <v>29.453126999999999</v>
      </c>
      <c r="O12" s="4">
        <v>31.035136999999999</v>
      </c>
      <c r="P12" s="4">
        <v>32.479388999999998</v>
      </c>
      <c r="Q12" s="4">
        <v>34.131771000000001</v>
      </c>
      <c r="R12" s="4">
        <v>35.690842000000004</v>
      </c>
      <c r="S12" s="4">
        <v>37.082901</v>
      </c>
      <c r="T12" s="4">
        <v>38.252780999999999</v>
      </c>
      <c r="U12" s="4">
        <v>39.280166999999999</v>
      </c>
      <c r="V12" s="4">
        <v>40.245392000000002</v>
      </c>
      <c r="W12" s="4">
        <v>41.170715000000001</v>
      </c>
      <c r="X12" s="4">
        <v>42.151600000000002</v>
      </c>
      <c r="Y12" s="4">
        <v>43.049072000000002</v>
      </c>
      <c r="Z12" s="4">
        <v>43.885387000000001</v>
      </c>
      <c r="AA12" s="4">
        <v>44.466366000000001</v>
      </c>
      <c r="AB12" s="4">
        <v>45.124428000000002</v>
      </c>
      <c r="AC12" s="4">
        <v>45.785049000000001</v>
      </c>
      <c r="AD12" s="4">
        <v>46.476460000000003</v>
      </c>
      <c r="AE12" s="5">
        <v>1.176088055498967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0.82024900000000001</v>
      </c>
      <c r="E13" s="4">
        <v>0.339557</v>
      </c>
      <c r="F13" s="4">
        <v>0.33977000000000002</v>
      </c>
      <c r="G13" s="4">
        <v>0.34981800000000002</v>
      </c>
      <c r="H13" s="4">
        <v>0.35445199999999999</v>
      </c>
      <c r="I13" s="4">
        <v>0.36700500000000003</v>
      </c>
      <c r="J13" s="4">
        <v>0.43625399999999998</v>
      </c>
      <c r="K13" s="4">
        <v>0.44677899999999998</v>
      </c>
      <c r="L13" s="4">
        <v>0.46021899999999999</v>
      </c>
      <c r="M13" s="4">
        <v>0.45979199999999998</v>
      </c>
      <c r="N13" s="4">
        <v>0.48832700000000001</v>
      </c>
      <c r="O13" s="4">
        <v>0.51455600000000001</v>
      </c>
      <c r="P13" s="4">
        <v>0.53850200000000004</v>
      </c>
      <c r="Q13" s="4">
        <v>0.56589800000000001</v>
      </c>
      <c r="R13" s="4">
        <v>0.59174700000000002</v>
      </c>
      <c r="S13" s="4">
        <v>0.61482700000000001</v>
      </c>
      <c r="T13" s="4">
        <v>0.63422299999999998</v>
      </c>
      <c r="U13" s="4">
        <v>0.65125699999999997</v>
      </c>
      <c r="V13" s="4">
        <v>0.66725999999999996</v>
      </c>
      <c r="W13" s="4">
        <v>0.68260200000000004</v>
      </c>
      <c r="X13" s="4">
        <v>0.69886499999999996</v>
      </c>
      <c r="Y13" s="4">
        <v>0.71374499999999996</v>
      </c>
      <c r="Z13" s="4">
        <v>0.72761100000000001</v>
      </c>
      <c r="AA13" s="4">
        <v>0.73724299999999998</v>
      </c>
      <c r="AB13" s="4">
        <v>0.74815399999999999</v>
      </c>
      <c r="AC13" s="4">
        <v>0.75910699999999998</v>
      </c>
      <c r="AD13" s="4">
        <v>0.77056999999999998</v>
      </c>
      <c r="AE13" s="5">
        <v>-6.0565755032922962E-2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146.491501</v>
      </c>
      <c r="E14" s="4">
        <v>140.13587999999999</v>
      </c>
      <c r="F14" s="4">
        <v>140.22370900000001</v>
      </c>
      <c r="G14" s="4">
        <v>144.370575</v>
      </c>
      <c r="H14" s="4">
        <v>146.282837</v>
      </c>
      <c r="I14" s="4">
        <v>149.429993</v>
      </c>
      <c r="J14" s="4">
        <v>153.371353</v>
      </c>
      <c r="K14" s="4">
        <v>160.413116</v>
      </c>
      <c r="L14" s="4">
        <v>175.10702499999999</v>
      </c>
      <c r="M14" s="4">
        <v>188.64984100000001</v>
      </c>
      <c r="N14" s="4">
        <v>201.53301999999999</v>
      </c>
      <c r="O14" s="4">
        <v>212.35810900000001</v>
      </c>
      <c r="P14" s="4">
        <v>222.24046300000001</v>
      </c>
      <c r="Q14" s="4">
        <v>233.54681400000001</v>
      </c>
      <c r="R14" s="4">
        <v>244.21478300000001</v>
      </c>
      <c r="S14" s="4">
        <v>253.73988299999999</v>
      </c>
      <c r="T14" s="4">
        <v>261.74481200000002</v>
      </c>
      <c r="U14" s="4">
        <v>268.77456699999999</v>
      </c>
      <c r="V14" s="4">
        <v>275.37930299999999</v>
      </c>
      <c r="W14" s="4">
        <v>281.71087599999998</v>
      </c>
      <c r="X14" s="4">
        <v>288.42254600000001</v>
      </c>
      <c r="Y14" s="4">
        <v>294.563446</v>
      </c>
      <c r="Z14" s="4">
        <v>300.28601099999997</v>
      </c>
      <c r="AA14" s="4">
        <v>304.26135299999999</v>
      </c>
      <c r="AB14" s="4">
        <v>308.76413000000002</v>
      </c>
      <c r="AC14" s="4">
        <v>313.28445399999998</v>
      </c>
      <c r="AD14" s="4">
        <v>318.01544200000001</v>
      </c>
      <c r="AE14" s="5">
        <v>1.1708798109727883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0.62439900000000004</v>
      </c>
      <c r="H15" s="4">
        <v>0.96962099999999996</v>
      </c>
      <c r="I15" s="4">
        <v>1.435565</v>
      </c>
      <c r="J15" s="4">
        <v>1.999787</v>
      </c>
      <c r="K15" s="4">
        <v>2.1402600000000001</v>
      </c>
      <c r="L15" s="4">
        <v>1.8128979999999999</v>
      </c>
      <c r="M15" s="4">
        <v>1.903821</v>
      </c>
      <c r="N15" s="4">
        <v>2.7864550000000001</v>
      </c>
      <c r="O15" s="4">
        <v>4.3093170000000001</v>
      </c>
      <c r="P15" s="4">
        <v>5.4319470000000001</v>
      </c>
      <c r="Q15" s="4">
        <v>4.6900009999999996</v>
      </c>
      <c r="R15" s="4">
        <v>4.2498459999999998</v>
      </c>
      <c r="S15" s="4">
        <v>3.7547039999999998</v>
      </c>
      <c r="T15" s="4">
        <v>3.2387630000000001</v>
      </c>
      <c r="U15" s="4">
        <v>2.9945759999999999</v>
      </c>
      <c r="V15" s="4">
        <v>3.0557150000000002</v>
      </c>
      <c r="W15" s="4">
        <v>2.8591709999999999</v>
      </c>
      <c r="X15" s="4">
        <v>2.1612879999999999</v>
      </c>
      <c r="Y15" s="4">
        <v>0.94118199999999996</v>
      </c>
      <c r="Z15" s="4">
        <v>3.1900999999999999E-2</v>
      </c>
      <c r="AA15" s="4">
        <v>3.2115999999999999E-2</v>
      </c>
      <c r="AB15" s="4">
        <v>3.3404999999999997E-2</v>
      </c>
      <c r="AC15" s="4">
        <v>3.3404999999999997E-2</v>
      </c>
      <c r="AD15" s="4">
        <v>3.3404999999999997E-2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105.123062</v>
      </c>
      <c r="E16" s="4">
        <v>101.38273599999999</v>
      </c>
      <c r="F16" s="4">
        <v>101.10354599999999</v>
      </c>
      <c r="G16" s="4">
        <v>103.873558</v>
      </c>
      <c r="H16" s="4">
        <v>104.33822600000001</v>
      </c>
      <c r="I16" s="4">
        <v>105.453873</v>
      </c>
      <c r="J16" s="4">
        <v>106.914207</v>
      </c>
      <c r="K16" s="4">
        <v>108.50803399999999</v>
      </c>
      <c r="L16" s="4">
        <v>110.59641999999999</v>
      </c>
      <c r="M16" s="4">
        <v>113.106438</v>
      </c>
      <c r="N16" s="4">
        <v>115.699409</v>
      </c>
      <c r="O16" s="4">
        <v>117.740295</v>
      </c>
      <c r="P16" s="4">
        <v>119.235535</v>
      </c>
      <c r="Q16" s="4">
        <v>121.01647199999999</v>
      </c>
      <c r="R16" s="4">
        <v>123.023399</v>
      </c>
      <c r="S16" s="4">
        <v>124.492676</v>
      </c>
      <c r="T16" s="4">
        <v>125.343056</v>
      </c>
      <c r="U16" s="4">
        <v>126.168694</v>
      </c>
      <c r="V16" s="4">
        <v>127.12612900000001</v>
      </c>
      <c r="W16" s="4">
        <v>128.037476</v>
      </c>
      <c r="X16" s="4">
        <v>129.15231299999999</v>
      </c>
      <c r="Y16" s="4">
        <v>129.773743</v>
      </c>
      <c r="Z16" s="4">
        <v>130.49632299999999</v>
      </c>
      <c r="AA16" s="4">
        <v>130.82470699999999</v>
      </c>
      <c r="AB16" s="4">
        <v>131.798126</v>
      </c>
      <c r="AC16" s="4">
        <v>132.663544</v>
      </c>
      <c r="AD16" s="4">
        <v>133.665436</v>
      </c>
      <c r="AE16" s="5" cm="1">
        <f t="array" ref="AE16:AE20">(AD16:AD20-D16:D20)/D16:D20</f>
        <v>0.27151391385460211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16.818604000000001</v>
      </c>
      <c r="E17" s="4">
        <v>16.818604000000001</v>
      </c>
      <c r="F17" s="4">
        <v>16.818604000000001</v>
      </c>
      <c r="G17" s="4">
        <v>16.818604000000001</v>
      </c>
      <c r="H17" s="4">
        <v>16.818604000000001</v>
      </c>
      <c r="I17" s="4">
        <v>16.818604000000001</v>
      </c>
      <c r="J17" s="4">
        <v>16.818604000000001</v>
      </c>
      <c r="K17" s="4">
        <v>16.818604000000001</v>
      </c>
      <c r="L17" s="4">
        <v>16.818604000000001</v>
      </c>
      <c r="M17" s="4">
        <v>16.818604000000001</v>
      </c>
      <c r="N17" s="4">
        <v>16.818604000000001</v>
      </c>
      <c r="O17" s="4">
        <v>16.818604000000001</v>
      </c>
      <c r="P17" s="4">
        <v>16.818604000000001</v>
      </c>
      <c r="Q17" s="4">
        <v>16.818604000000001</v>
      </c>
      <c r="R17" s="4">
        <v>16.818604000000001</v>
      </c>
      <c r="S17" s="4">
        <v>16.818604000000001</v>
      </c>
      <c r="T17" s="4">
        <v>16.818604000000001</v>
      </c>
      <c r="U17" s="4">
        <v>16.818604000000001</v>
      </c>
      <c r="V17" s="4">
        <v>16.818604000000001</v>
      </c>
      <c r="W17" s="4">
        <v>16.818604000000001</v>
      </c>
      <c r="X17" s="4">
        <v>16.818604000000001</v>
      </c>
      <c r="Y17" s="4">
        <v>16.818604000000001</v>
      </c>
      <c r="Z17" s="4">
        <v>16.818604000000001</v>
      </c>
      <c r="AA17" s="4">
        <v>16.818604000000001</v>
      </c>
      <c r="AB17" s="4">
        <v>16.818604000000001</v>
      </c>
      <c r="AC17" s="4">
        <v>16.818604000000001</v>
      </c>
      <c r="AD17" s="4">
        <v>16.818604000000001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88.304458999999994</v>
      </c>
      <c r="E18" s="4">
        <v>84.564132999999998</v>
      </c>
      <c r="F18" s="4">
        <v>84.284942999999998</v>
      </c>
      <c r="G18" s="4">
        <v>87.054955000000007</v>
      </c>
      <c r="H18" s="4">
        <v>87.519622999999996</v>
      </c>
      <c r="I18" s="4">
        <v>88.635268999999994</v>
      </c>
      <c r="J18" s="4">
        <v>90.095603999999994</v>
      </c>
      <c r="K18" s="4">
        <v>91.689430000000002</v>
      </c>
      <c r="L18" s="4">
        <v>93.777816999999999</v>
      </c>
      <c r="M18" s="4">
        <v>96.287834000000004</v>
      </c>
      <c r="N18" s="4">
        <v>98.880806000000007</v>
      </c>
      <c r="O18" s="4">
        <v>100.92169199999999</v>
      </c>
      <c r="P18" s="4">
        <v>102.41693100000001</v>
      </c>
      <c r="Q18" s="4">
        <v>104.197868</v>
      </c>
      <c r="R18" s="4">
        <v>106.204796</v>
      </c>
      <c r="S18" s="4">
        <v>107.674072</v>
      </c>
      <c r="T18" s="4">
        <v>108.524452</v>
      </c>
      <c r="U18" s="4">
        <v>109.35008999999999</v>
      </c>
      <c r="V18" s="4">
        <v>110.307526</v>
      </c>
      <c r="W18" s="4">
        <v>111.218872</v>
      </c>
      <c r="X18" s="4">
        <v>112.33371</v>
      </c>
      <c r="Y18" s="4">
        <v>112.955139</v>
      </c>
      <c r="Z18" s="4">
        <v>113.677719</v>
      </c>
      <c r="AA18" s="4">
        <v>114.00610399999999</v>
      </c>
      <c r="AB18" s="4">
        <v>114.979523</v>
      </c>
      <c r="AC18" s="4">
        <v>115.84493999999999</v>
      </c>
      <c r="AD18" s="4">
        <v>116.84683200000001</v>
      </c>
      <c r="AE18" s="5">
        <v>0.32322685992561273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5.8432999999999999E-2</v>
      </c>
      <c r="E19" s="4">
        <v>0.34107199999999999</v>
      </c>
      <c r="F19" s="4">
        <v>0.77581500000000003</v>
      </c>
      <c r="G19" s="4">
        <v>1.474974</v>
      </c>
      <c r="H19" s="4">
        <v>2.6282169999999998</v>
      </c>
      <c r="I19" s="4">
        <v>4.0876619999999999</v>
      </c>
      <c r="J19" s="4">
        <v>5.7421470000000001</v>
      </c>
      <c r="K19" s="4">
        <v>9.4106760000000005</v>
      </c>
      <c r="L19" s="4">
        <v>17.807182000000001</v>
      </c>
      <c r="M19" s="4">
        <v>25.247931000000001</v>
      </c>
      <c r="N19" s="4">
        <v>32.606358</v>
      </c>
      <c r="O19" s="4">
        <v>39.500056999999998</v>
      </c>
      <c r="P19" s="4">
        <v>45.902897000000003</v>
      </c>
      <c r="Q19" s="4">
        <v>51.749904999999998</v>
      </c>
      <c r="R19" s="4">
        <v>57.154057000000002</v>
      </c>
      <c r="S19" s="4">
        <v>62.166618</v>
      </c>
      <c r="T19" s="4">
        <v>66.721100000000007</v>
      </c>
      <c r="U19" s="4">
        <v>70.810706999999994</v>
      </c>
      <c r="V19" s="4">
        <v>74.614891</v>
      </c>
      <c r="W19" s="4">
        <v>78.087181000000001</v>
      </c>
      <c r="X19" s="4">
        <v>81.252585999999994</v>
      </c>
      <c r="Y19" s="4">
        <v>84.183173999999994</v>
      </c>
      <c r="Z19" s="4">
        <v>86.974227999999997</v>
      </c>
      <c r="AA19" s="4">
        <v>89.579575000000006</v>
      </c>
      <c r="AB19" s="4">
        <v>92.023193000000006</v>
      </c>
      <c r="AC19" s="4">
        <v>94.460121000000001</v>
      </c>
      <c r="AD19" s="4">
        <v>96.884506000000002</v>
      </c>
      <c r="AE19" s="5">
        <v>1657.0443584960556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7.032076</v>
      </c>
      <c r="E21" s="4">
        <v>9.0695870000000003</v>
      </c>
      <c r="F21" s="4">
        <v>9.6211529999999996</v>
      </c>
      <c r="G21" s="4">
        <v>9.6302269999999996</v>
      </c>
      <c r="H21" s="4">
        <v>9.9446879999999993</v>
      </c>
      <c r="I21" s="4">
        <v>12.199433000000001</v>
      </c>
      <c r="J21" s="4">
        <v>13.651491999999999</v>
      </c>
      <c r="K21" s="4">
        <v>15.51193</v>
      </c>
      <c r="L21" s="4">
        <v>16.217337000000001</v>
      </c>
      <c r="M21" s="4">
        <v>16.050276</v>
      </c>
      <c r="N21" s="4">
        <v>14.412756999999999</v>
      </c>
      <c r="O21" s="4">
        <v>14.618525999999999</v>
      </c>
      <c r="P21" s="4">
        <v>14.932835000000001</v>
      </c>
      <c r="Q21" s="4">
        <v>14.928117</v>
      </c>
      <c r="R21" s="4">
        <v>14.745587</v>
      </c>
      <c r="S21" s="4">
        <v>14.790563000000001</v>
      </c>
      <c r="T21" s="4">
        <v>14.867919000000001</v>
      </c>
      <c r="U21" s="4">
        <v>14.949698</v>
      </c>
      <c r="V21" s="4">
        <v>14.927459000000001</v>
      </c>
      <c r="W21" s="4">
        <v>14.772278</v>
      </c>
      <c r="X21" s="4">
        <v>14.769691</v>
      </c>
      <c r="Y21" s="4">
        <v>14.775384000000001</v>
      </c>
      <c r="Z21" s="4">
        <v>14.914598</v>
      </c>
      <c r="AA21" s="4">
        <v>15.114742</v>
      </c>
      <c r="AB21" s="4">
        <v>15.347818</v>
      </c>
      <c r="AC21" s="4">
        <v>15.613318</v>
      </c>
      <c r="AD21" s="4">
        <v>15.904292</v>
      </c>
      <c r="AE21" s="5">
        <f>(AD21-D21)/D21</f>
        <v>1.261678059224616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9.4955979999999993</v>
      </c>
      <c r="E22" s="4">
        <v>11.533108</v>
      </c>
      <c r="F22" s="4">
        <v>12.084674</v>
      </c>
      <c r="G22" s="4">
        <v>12.093748</v>
      </c>
      <c r="H22" s="4">
        <v>12.408208</v>
      </c>
      <c r="I22" s="4">
        <v>14.662955</v>
      </c>
      <c r="J22" s="4">
        <v>16.115013000000001</v>
      </c>
      <c r="K22" s="4">
        <v>17.975452000000001</v>
      </c>
      <c r="L22" s="4">
        <v>18.680859000000002</v>
      </c>
      <c r="M22" s="4">
        <v>18.513798000000001</v>
      </c>
      <c r="N22" s="4">
        <v>16.876280000000001</v>
      </c>
      <c r="O22" s="4">
        <v>17.082046999999999</v>
      </c>
      <c r="P22" s="4">
        <v>17.396356999999998</v>
      </c>
      <c r="Q22" s="4">
        <v>17.391639999999999</v>
      </c>
      <c r="R22" s="4">
        <v>17.209108000000001</v>
      </c>
      <c r="S22" s="4">
        <v>17.254086000000001</v>
      </c>
      <c r="T22" s="4">
        <v>17.331440000000001</v>
      </c>
      <c r="U22" s="4">
        <v>17.413219000000002</v>
      </c>
      <c r="V22" s="4">
        <v>17.390982000000001</v>
      </c>
      <c r="W22" s="4">
        <v>17.235800000000001</v>
      </c>
      <c r="X22" s="4">
        <v>17.233212999999999</v>
      </c>
      <c r="Y22" s="4">
        <v>17.238904999999999</v>
      </c>
      <c r="Z22" s="4">
        <v>17.378119999999999</v>
      </c>
      <c r="AA22" s="4">
        <v>17.578264000000001</v>
      </c>
      <c r="AB22" s="4">
        <v>17.811337999999999</v>
      </c>
      <c r="AC22" s="4">
        <v>18.076841000000002</v>
      </c>
      <c r="AD22" s="4">
        <v>18.367815</v>
      </c>
      <c r="AE22" s="5" cm="1">
        <f t="array" ref="AE22:AE24">(AD22:AD24-D22:D24)/D22:D24</f>
        <v>0.93435052747599479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59.586517000000001</v>
      </c>
      <c r="E23" s="4">
        <v>61.624592</v>
      </c>
      <c r="F23" s="4">
        <v>62.176291999999997</v>
      </c>
      <c r="G23" s="4">
        <v>62.185367999999997</v>
      </c>
      <c r="H23" s="4">
        <v>62.499836000000002</v>
      </c>
      <c r="I23" s="4">
        <v>64.754622999999995</v>
      </c>
      <c r="J23" s="4">
        <v>66.206551000000005</v>
      </c>
      <c r="K23" s="4">
        <v>68.066833000000003</v>
      </c>
      <c r="L23" s="4">
        <v>68.772307999999995</v>
      </c>
      <c r="M23" s="4">
        <v>68.594452000000004</v>
      </c>
      <c r="N23" s="4">
        <v>66.967895999999996</v>
      </c>
      <c r="O23" s="4">
        <v>67.173659999999998</v>
      </c>
      <c r="P23" s="4">
        <v>67.487967999999995</v>
      </c>
      <c r="Q23" s="4">
        <v>67.483260999999999</v>
      </c>
      <c r="R23" s="4">
        <v>67.300728000000007</v>
      </c>
      <c r="S23" s="4">
        <v>67.345680000000002</v>
      </c>
      <c r="T23" s="4">
        <v>67.423034999999999</v>
      </c>
      <c r="U23" s="4">
        <v>67.504829000000001</v>
      </c>
      <c r="V23" s="4">
        <v>67.482590000000002</v>
      </c>
      <c r="W23" s="4">
        <v>67.327408000000005</v>
      </c>
      <c r="X23" s="4">
        <v>67.324837000000002</v>
      </c>
      <c r="Y23" s="4">
        <v>67.330544000000003</v>
      </c>
      <c r="Z23" s="4">
        <v>67.469748999999993</v>
      </c>
      <c r="AA23" s="4">
        <v>67.669891000000007</v>
      </c>
      <c r="AB23" s="4">
        <v>67.902968999999999</v>
      </c>
      <c r="AC23" s="4">
        <v>68.168471999999994</v>
      </c>
      <c r="AD23" s="4">
        <v>68.459441999999996</v>
      </c>
      <c r="AE23" s="5">
        <v>0.14890826728469453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9.4955979999999993</v>
      </c>
      <c r="E24" s="4">
        <v>11.533108</v>
      </c>
      <c r="F24" s="4">
        <v>12.084674</v>
      </c>
      <c r="G24" s="4">
        <v>12.093748</v>
      </c>
      <c r="H24" s="4">
        <v>12.408208</v>
      </c>
      <c r="I24" s="4">
        <v>14.662955</v>
      </c>
      <c r="J24" s="4">
        <v>16.115013000000001</v>
      </c>
      <c r="K24" s="4">
        <v>17.975452000000001</v>
      </c>
      <c r="L24" s="4">
        <v>18.680859000000002</v>
      </c>
      <c r="M24" s="4">
        <v>18.513798000000001</v>
      </c>
      <c r="N24" s="4">
        <v>16.876280000000001</v>
      </c>
      <c r="O24" s="4">
        <v>17.082046999999999</v>
      </c>
      <c r="P24" s="4">
        <v>17.396356999999998</v>
      </c>
      <c r="Q24" s="4">
        <v>17.391639999999999</v>
      </c>
      <c r="R24" s="4">
        <v>17.209108000000001</v>
      </c>
      <c r="S24" s="4">
        <v>17.254086000000001</v>
      </c>
      <c r="T24" s="4">
        <v>17.331440000000001</v>
      </c>
      <c r="U24" s="4">
        <v>17.413219000000002</v>
      </c>
      <c r="V24" s="4">
        <v>17.390982000000001</v>
      </c>
      <c r="W24" s="4">
        <v>17.235800000000001</v>
      </c>
      <c r="X24" s="4">
        <v>17.233212999999999</v>
      </c>
      <c r="Y24" s="4">
        <v>17.238904999999999</v>
      </c>
      <c r="Z24" s="4">
        <v>17.378119999999999</v>
      </c>
      <c r="AA24" s="4">
        <v>17.578264000000001</v>
      </c>
      <c r="AB24" s="4">
        <v>17.811337999999999</v>
      </c>
      <c r="AC24" s="4">
        <v>18.076841000000002</v>
      </c>
      <c r="AD24" s="4">
        <v>18.367815</v>
      </c>
      <c r="AE24" s="5">
        <v>0.93435052747599479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6"/>
  <sheetViews>
    <sheetView tabSelected="1" topLeftCell="H1" zoomScale="85" zoomScaleNormal="85" workbookViewId="0">
      <selection activeCell="B32" sqref="B32"/>
    </sheetView>
  </sheetViews>
  <sheetFormatPr defaultColWidth="8.7109375" defaultRowHeight="15" x14ac:dyDescent="0.25"/>
  <cols>
    <col min="1" max="1" width="52.140625" style="2" bestFit="1" customWidth="1"/>
    <col min="2" max="2" width="68.7109375" style="2" bestFit="1" customWidth="1"/>
    <col min="3" max="30" width="8.7109375" style="2"/>
    <col min="31" max="31" width="17.5703125" style="2" bestFit="1" customWidth="1"/>
    <col min="32" max="16384" width="8.7109375" style="2"/>
  </cols>
  <sheetData>
    <row r="1" spans="1:31" s="1" customFormat="1" ht="15.75" thickBot="1" x14ac:dyDescent="0.3">
      <c r="A1" s="3" t="s">
        <v>31</v>
      </c>
      <c r="B1" s="3" t="s">
        <v>32</v>
      </c>
      <c r="C1" s="3" t="s">
        <v>0</v>
      </c>
      <c r="D1" s="3">
        <v>2024</v>
      </c>
      <c r="E1" s="3">
        <v>2025</v>
      </c>
      <c r="F1" s="3">
        <v>2026</v>
      </c>
      <c r="G1" s="3">
        <v>2027</v>
      </c>
      <c r="H1" s="3">
        <v>2028</v>
      </c>
      <c r="I1" s="3">
        <v>2029</v>
      </c>
      <c r="J1" s="3">
        <v>2030</v>
      </c>
      <c r="K1" s="3">
        <v>2031</v>
      </c>
      <c r="L1" s="3">
        <v>2032</v>
      </c>
      <c r="M1" s="3">
        <v>2033</v>
      </c>
      <c r="N1" s="3">
        <v>2034</v>
      </c>
      <c r="O1" s="3">
        <v>2035</v>
      </c>
      <c r="P1" s="3">
        <v>2036</v>
      </c>
      <c r="Q1" s="3">
        <v>2037</v>
      </c>
      <c r="R1" s="3">
        <v>2038</v>
      </c>
      <c r="S1" s="3">
        <v>2039</v>
      </c>
      <c r="T1" s="3">
        <v>2040</v>
      </c>
      <c r="U1" s="3">
        <v>2041</v>
      </c>
      <c r="V1" s="3">
        <v>2042</v>
      </c>
      <c r="W1" s="3">
        <v>2043</v>
      </c>
      <c r="X1" s="3">
        <v>2044</v>
      </c>
      <c r="Y1" s="3">
        <v>2045</v>
      </c>
      <c r="Z1" s="3">
        <v>2046</v>
      </c>
      <c r="AA1" s="3">
        <v>2047</v>
      </c>
      <c r="AB1" s="3">
        <v>2048</v>
      </c>
      <c r="AC1" s="3">
        <v>2049</v>
      </c>
      <c r="AD1" s="3">
        <v>2050</v>
      </c>
      <c r="AE1" s="3" t="s">
        <v>1</v>
      </c>
    </row>
    <row r="2" spans="1:31" ht="15.75" thickTop="1" x14ac:dyDescent="0.25">
      <c r="A2" s="4" t="s">
        <v>27</v>
      </c>
      <c r="B2" s="4" t="s">
        <v>2</v>
      </c>
      <c r="C2" s="4" t="s">
        <v>3</v>
      </c>
      <c r="D2" s="4">
        <v>253.87153599999999</v>
      </c>
      <c r="E2" s="4">
        <v>230.113327</v>
      </c>
      <c r="F2" s="4">
        <v>223.76371800000001</v>
      </c>
      <c r="G2" s="4">
        <v>224.53801000000001</v>
      </c>
      <c r="H2" s="4">
        <v>225.693207</v>
      </c>
      <c r="I2" s="4">
        <v>226.788467</v>
      </c>
      <c r="J2" s="4">
        <v>229.665604</v>
      </c>
      <c r="K2" s="4">
        <v>236.41229200000001</v>
      </c>
      <c r="L2" s="4">
        <v>248.69845599999999</v>
      </c>
      <c r="M2" s="4">
        <v>260.66754200000003</v>
      </c>
      <c r="N2" s="4">
        <v>268.03143299999999</v>
      </c>
      <c r="O2" s="4">
        <v>267.19787600000001</v>
      </c>
      <c r="P2" s="4">
        <v>276.163116</v>
      </c>
      <c r="Q2" s="4">
        <v>309.97174100000001</v>
      </c>
      <c r="R2" s="4">
        <v>319.50802599999997</v>
      </c>
      <c r="S2" s="4">
        <v>327.59136999999998</v>
      </c>
      <c r="T2" s="4">
        <v>334.10934400000002</v>
      </c>
      <c r="U2" s="4">
        <v>340.15811200000002</v>
      </c>
      <c r="V2" s="4">
        <v>345.62619000000001</v>
      </c>
      <c r="W2" s="4">
        <v>350.49951199999998</v>
      </c>
      <c r="X2" s="4">
        <v>355.59445199999999</v>
      </c>
      <c r="Y2" s="4">
        <v>360.66348299999999</v>
      </c>
      <c r="Z2" s="4">
        <v>370.02105699999998</v>
      </c>
      <c r="AA2" s="4">
        <v>384.45864899999998</v>
      </c>
      <c r="AB2" s="4">
        <v>387.24014299999999</v>
      </c>
      <c r="AC2" s="4">
        <v>390.90213</v>
      </c>
      <c r="AD2" s="4">
        <v>395.06256100000002</v>
      </c>
      <c r="AE2" s="5" cm="1">
        <f t="array" ref="AE2:AE6">(AD2:AD6-D2:D6)/D2:D6</f>
        <v>0.55615145842895919</v>
      </c>
    </row>
    <row r="3" spans="1:31" x14ac:dyDescent="0.25">
      <c r="A3" s="4" t="s">
        <v>27</v>
      </c>
      <c r="B3" s="4" t="s">
        <v>4</v>
      </c>
      <c r="C3" s="4" t="s">
        <v>3</v>
      </c>
      <c r="D3" s="4">
        <v>17.502251000000001</v>
      </c>
      <c r="E3" s="4">
        <v>30.965451999999999</v>
      </c>
      <c r="F3" s="4">
        <v>26.926515999999999</v>
      </c>
      <c r="G3" s="4">
        <v>26.926515999999999</v>
      </c>
      <c r="H3" s="4">
        <v>26.926515999999999</v>
      </c>
      <c r="I3" s="4">
        <v>26.926515999999999</v>
      </c>
      <c r="J3" s="4">
        <v>26.926515999999999</v>
      </c>
      <c r="K3" s="4">
        <v>26.926515999999999</v>
      </c>
      <c r="L3" s="4">
        <v>26.926515999999999</v>
      </c>
      <c r="M3" s="4">
        <v>26.926515999999999</v>
      </c>
      <c r="N3" s="4">
        <v>31.658629999999999</v>
      </c>
      <c r="O3" s="4">
        <v>43.080523999999997</v>
      </c>
      <c r="P3" s="4">
        <v>43.080523999999997</v>
      </c>
      <c r="Q3" s="4">
        <v>17.887761999999999</v>
      </c>
      <c r="R3" s="4">
        <v>16.818643999999999</v>
      </c>
      <c r="S3" s="4">
        <v>16.154007</v>
      </c>
      <c r="T3" s="4">
        <v>16.154007</v>
      </c>
      <c r="U3" s="4">
        <v>16.154007</v>
      </c>
      <c r="V3" s="4">
        <v>16.154007</v>
      </c>
      <c r="W3" s="4">
        <v>16.154007</v>
      </c>
      <c r="X3" s="4">
        <v>16.154007</v>
      </c>
      <c r="Y3" s="4">
        <v>16.154007</v>
      </c>
      <c r="Z3" s="4">
        <v>11.421889999999999</v>
      </c>
      <c r="AA3" s="4">
        <v>0</v>
      </c>
      <c r="AB3" s="4">
        <v>0</v>
      </c>
      <c r="AC3" s="4">
        <v>0</v>
      </c>
      <c r="AD3" s="4">
        <v>0</v>
      </c>
      <c r="AE3" s="5">
        <v>-1</v>
      </c>
    </row>
    <row r="4" spans="1:31" x14ac:dyDescent="0.25">
      <c r="A4" s="4" t="s">
        <v>27</v>
      </c>
      <c r="B4" s="4" t="s">
        <v>5</v>
      </c>
      <c r="C4" s="4" t="s">
        <v>3</v>
      </c>
      <c r="D4" s="4">
        <v>0</v>
      </c>
      <c r="E4" s="4">
        <v>0</v>
      </c>
      <c r="F4" s="4">
        <v>0</v>
      </c>
      <c r="G4" s="4">
        <v>0</v>
      </c>
      <c r="H4" s="4">
        <v>6.021E-2</v>
      </c>
      <c r="I4" s="4">
        <v>0.18118500000000001</v>
      </c>
      <c r="J4" s="4">
        <v>0.23782</v>
      </c>
      <c r="K4" s="4">
        <v>7.3774000000000006E-2</v>
      </c>
      <c r="L4" s="4">
        <v>0.12772</v>
      </c>
      <c r="M4" s="4">
        <v>6.9722000000000006E-2</v>
      </c>
      <c r="N4" s="4">
        <v>0.14554600000000001</v>
      </c>
      <c r="O4" s="4">
        <v>0.21171200000000001</v>
      </c>
      <c r="P4" s="4">
        <v>0.57169800000000004</v>
      </c>
      <c r="Q4" s="4">
        <v>0.60840899999999998</v>
      </c>
      <c r="R4" s="4">
        <v>0.59613700000000003</v>
      </c>
      <c r="S4" s="4">
        <v>0.50775599999999999</v>
      </c>
      <c r="T4" s="4">
        <v>0.483066</v>
      </c>
      <c r="U4" s="4">
        <v>0.477294</v>
      </c>
      <c r="V4" s="4">
        <v>0.48757</v>
      </c>
      <c r="W4" s="4">
        <v>0.432948</v>
      </c>
      <c r="X4" s="4">
        <v>0.308307</v>
      </c>
      <c r="Y4" s="4">
        <v>0.262706</v>
      </c>
      <c r="Z4" s="4">
        <v>0.140072</v>
      </c>
      <c r="AA4" s="4">
        <v>0.14269399999999999</v>
      </c>
      <c r="AB4" s="4">
        <v>0.129583</v>
      </c>
      <c r="AC4" s="4">
        <v>0.12433900000000001</v>
      </c>
      <c r="AD4" s="4">
        <v>0.123131</v>
      </c>
      <c r="AE4" s="5" t="e">
        <v>#DIV/0!</v>
      </c>
    </row>
    <row r="5" spans="1:31" x14ac:dyDescent="0.25">
      <c r="A5" s="4" t="s">
        <v>27</v>
      </c>
      <c r="B5" s="4" t="s">
        <v>6</v>
      </c>
      <c r="C5" s="4" t="s">
        <v>3</v>
      </c>
      <c r="D5" s="4">
        <v>187.996689</v>
      </c>
      <c r="E5" s="4">
        <v>191.60708600000001</v>
      </c>
      <c r="F5" s="4">
        <v>193.82986500000001</v>
      </c>
      <c r="G5" s="4">
        <v>194.227844</v>
      </c>
      <c r="H5" s="4">
        <v>194.662262</v>
      </c>
      <c r="I5" s="4">
        <v>195.14544699999999</v>
      </c>
      <c r="J5" s="4">
        <v>195.57553100000001</v>
      </c>
      <c r="K5" s="4">
        <v>195.91459699999999</v>
      </c>
      <c r="L5" s="4">
        <v>196.22045900000001</v>
      </c>
      <c r="M5" s="4">
        <v>196.39692700000001</v>
      </c>
      <c r="N5" s="4">
        <v>196.43983499999999</v>
      </c>
      <c r="O5" s="4">
        <v>196.51158100000001</v>
      </c>
      <c r="P5" s="4">
        <v>196.64593500000001</v>
      </c>
      <c r="Q5" s="4">
        <v>196.71286000000001</v>
      </c>
      <c r="R5" s="4">
        <v>196.68705700000001</v>
      </c>
      <c r="S5" s="4">
        <v>196.602295</v>
      </c>
      <c r="T5" s="4">
        <v>196.52307099999999</v>
      </c>
      <c r="U5" s="4">
        <v>196.42437699999999</v>
      </c>
      <c r="V5" s="4">
        <v>196.270859</v>
      </c>
      <c r="W5" s="4">
        <v>196.320267</v>
      </c>
      <c r="X5" s="4">
        <v>196.09869399999999</v>
      </c>
      <c r="Y5" s="4">
        <v>194.873672</v>
      </c>
      <c r="Z5" s="4">
        <v>193.86134300000001</v>
      </c>
      <c r="AA5" s="4">
        <v>193.90116900000001</v>
      </c>
      <c r="AB5" s="4">
        <v>194.30926500000001</v>
      </c>
      <c r="AC5" s="4">
        <v>194.06126399999999</v>
      </c>
      <c r="AD5" s="4">
        <v>193.86300700000001</v>
      </c>
      <c r="AE5" s="5">
        <v>3.1204368710983026E-2</v>
      </c>
    </row>
    <row r="6" spans="1:31" x14ac:dyDescent="0.25">
      <c r="A6" s="4" t="s">
        <v>27</v>
      </c>
      <c r="B6" s="6" t="s">
        <v>7</v>
      </c>
      <c r="C6" s="4" t="s">
        <v>3</v>
      </c>
      <c r="D6" s="4">
        <v>459.37048299999998</v>
      </c>
      <c r="E6" s="4">
        <v>452.68585200000001</v>
      </c>
      <c r="F6" s="4">
        <v>444.520081</v>
      </c>
      <c r="G6" s="4">
        <v>445.69238300000001</v>
      </c>
      <c r="H6" s="4">
        <v>447.34222399999999</v>
      </c>
      <c r="I6" s="4">
        <v>449.04162600000001</v>
      </c>
      <c r="J6" s="4">
        <v>452.40548699999999</v>
      </c>
      <c r="K6" s="4">
        <v>459.32720899999998</v>
      </c>
      <c r="L6" s="4">
        <v>471.97314499999999</v>
      </c>
      <c r="M6" s="4">
        <v>484.06072999999998</v>
      </c>
      <c r="N6" s="4">
        <v>496.27545199999997</v>
      </c>
      <c r="O6" s="4">
        <v>507.00170900000001</v>
      </c>
      <c r="P6" s="4">
        <v>516.46130400000004</v>
      </c>
      <c r="Q6" s="4">
        <v>525.18078600000001</v>
      </c>
      <c r="R6" s="4">
        <v>533.60986300000002</v>
      </c>
      <c r="S6" s="4">
        <v>540.85534700000005</v>
      </c>
      <c r="T6" s="4">
        <v>547.26953100000003</v>
      </c>
      <c r="U6" s="4">
        <v>553.21374500000002</v>
      </c>
      <c r="V6" s="4">
        <v>558.538635</v>
      </c>
      <c r="W6" s="4">
        <v>563.40673800000002</v>
      </c>
      <c r="X6" s="4">
        <v>568.15551800000003</v>
      </c>
      <c r="Y6" s="4">
        <v>571.95385699999997</v>
      </c>
      <c r="Z6" s="4">
        <v>575.44433600000002</v>
      </c>
      <c r="AA6" s="4">
        <v>578.50250200000005</v>
      </c>
      <c r="AB6" s="4">
        <v>581.67895499999997</v>
      </c>
      <c r="AC6" s="4">
        <v>585.08770800000002</v>
      </c>
      <c r="AD6" s="4">
        <v>589.04870600000004</v>
      </c>
      <c r="AE6" s="5">
        <v>0.28229550613072385</v>
      </c>
    </row>
    <row r="7" spans="1:31" x14ac:dyDescent="0.25">
      <c r="A7" s="4" t="s">
        <v>8</v>
      </c>
      <c r="B7" s="4" t="s">
        <v>9</v>
      </c>
      <c r="C7" s="4" t="s">
        <v>3</v>
      </c>
      <c r="D7" s="4">
        <v>374.23455799999999</v>
      </c>
      <c r="E7" s="4">
        <v>361.35296599999998</v>
      </c>
      <c r="F7" s="4">
        <v>346.71304300000003</v>
      </c>
      <c r="G7" s="4">
        <v>347.776184</v>
      </c>
      <c r="H7" s="4">
        <v>349.36230499999999</v>
      </c>
      <c r="I7" s="4">
        <v>350.86615</v>
      </c>
      <c r="J7" s="4">
        <v>354.81655899999998</v>
      </c>
      <c r="K7" s="4">
        <v>364.079926</v>
      </c>
      <c r="L7" s="4">
        <v>380.94921900000003</v>
      </c>
      <c r="M7" s="4">
        <v>397.38314800000001</v>
      </c>
      <c r="N7" s="4">
        <v>414.43206800000002</v>
      </c>
      <c r="O7" s="4">
        <v>430.03378300000003</v>
      </c>
      <c r="P7" s="4">
        <v>442.34338400000001</v>
      </c>
      <c r="Q7" s="4">
        <v>451.82714800000002</v>
      </c>
      <c r="R7" s="4">
        <v>463.35171500000001</v>
      </c>
      <c r="S7" s="4">
        <v>473.47467</v>
      </c>
      <c r="T7" s="4">
        <v>482.42687999999998</v>
      </c>
      <c r="U7" s="4">
        <v>490.73202500000002</v>
      </c>
      <c r="V7" s="4">
        <v>498.23989899999998</v>
      </c>
      <c r="W7" s="4">
        <v>504.93099999999998</v>
      </c>
      <c r="X7" s="4">
        <v>511.93136600000003</v>
      </c>
      <c r="Y7" s="4">
        <v>518.88647500000002</v>
      </c>
      <c r="Z7" s="4">
        <v>524.79669200000001</v>
      </c>
      <c r="AA7" s="4">
        <v>527.87365699999998</v>
      </c>
      <c r="AB7" s="4">
        <v>531.69281000000001</v>
      </c>
      <c r="AC7" s="4">
        <v>536.72119099999998</v>
      </c>
      <c r="AD7" s="4">
        <v>542.43341099999998</v>
      </c>
      <c r="AE7" s="5" cm="1">
        <f t="array" ref="AE7:AE9">(AD7:AD9-D7:D9)/D7:D9</f>
        <v>0.4494476776781261</v>
      </c>
    </row>
    <row r="8" spans="1:31" x14ac:dyDescent="0.25">
      <c r="A8" s="4" t="s">
        <v>8</v>
      </c>
      <c r="B8" s="4" t="s">
        <v>10</v>
      </c>
      <c r="C8" s="4" t="s">
        <v>3</v>
      </c>
      <c r="D8" s="4">
        <v>1.515344</v>
      </c>
      <c r="E8" s="4">
        <v>1.950475</v>
      </c>
      <c r="F8" s="4">
        <v>1.7749900000000001</v>
      </c>
      <c r="G8" s="4">
        <v>1.7775719999999999</v>
      </c>
      <c r="H8" s="4">
        <v>1.8645309999999999</v>
      </c>
      <c r="I8" s="4">
        <v>2.035161</v>
      </c>
      <c r="J8" s="4">
        <v>2.1229279999999999</v>
      </c>
      <c r="K8" s="4">
        <v>1.9190020000000001</v>
      </c>
      <c r="L8" s="4">
        <v>2.0344359999999999</v>
      </c>
      <c r="M8" s="4">
        <v>1.9943</v>
      </c>
      <c r="N8" s="4">
        <v>2.3043079999999998</v>
      </c>
      <c r="O8" s="4">
        <v>2.8292310000000001</v>
      </c>
      <c r="P8" s="4">
        <v>3.3560089999999998</v>
      </c>
      <c r="Q8" s="4">
        <v>2.5569359999999999</v>
      </c>
      <c r="R8" s="4">
        <v>2.5309550000000001</v>
      </c>
      <c r="S8" s="4">
        <v>2.4105310000000002</v>
      </c>
      <c r="T8" s="4">
        <v>2.3981889999999999</v>
      </c>
      <c r="U8" s="4">
        <v>2.4103949999999998</v>
      </c>
      <c r="V8" s="4">
        <v>2.442815</v>
      </c>
      <c r="W8" s="4">
        <v>2.3836740000000001</v>
      </c>
      <c r="X8" s="4">
        <v>2.2286269999999999</v>
      </c>
      <c r="Y8" s="4">
        <v>2.1825920000000001</v>
      </c>
      <c r="Z8" s="4">
        <v>1.863739</v>
      </c>
      <c r="AA8" s="4">
        <v>1.4791319999999999</v>
      </c>
      <c r="AB8" s="4">
        <v>1.4703120000000001</v>
      </c>
      <c r="AC8" s="4">
        <v>1.4752860000000001</v>
      </c>
      <c r="AD8" s="4">
        <v>1.4874940000000001</v>
      </c>
      <c r="AE8" s="5">
        <v>-1.83786651743762E-2</v>
      </c>
    </row>
    <row r="9" spans="1:31" x14ac:dyDescent="0.25">
      <c r="A9" s="4" t="s">
        <v>8</v>
      </c>
      <c r="B9" s="4" t="s">
        <v>11</v>
      </c>
      <c r="C9" s="4" t="s">
        <v>3</v>
      </c>
      <c r="D9" s="4">
        <v>375.749908</v>
      </c>
      <c r="E9" s="4">
        <v>363.30343599999998</v>
      </c>
      <c r="F9" s="4">
        <v>348.48803700000002</v>
      </c>
      <c r="G9" s="4">
        <v>349.553741</v>
      </c>
      <c r="H9" s="4">
        <v>351.22683699999999</v>
      </c>
      <c r="I9" s="4">
        <v>352.90130599999998</v>
      </c>
      <c r="J9" s="4">
        <v>356.93948399999999</v>
      </c>
      <c r="K9" s="4">
        <v>365.99893200000002</v>
      </c>
      <c r="L9" s="4">
        <v>382.98364299999997</v>
      </c>
      <c r="M9" s="4">
        <v>399.37744099999998</v>
      </c>
      <c r="N9" s="4">
        <v>416.73638899999997</v>
      </c>
      <c r="O9" s="4">
        <v>432.86300699999998</v>
      </c>
      <c r="P9" s="4">
        <v>445.69940200000002</v>
      </c>
      <c r="Q9" s="4">
        <v>454.384094</v>
      </c>
      <c r="R9" s="4">
        <v>465.88265999999999</v>
      </c>
      <c r="S9" s="4">
        <v>475.88519300000002</v>
      </c>
      <c r="T9" s="4">
        <v>484.82507299999997</v>
      </c>
      <c r="U9" s="4">
        <v>493.142426</v>
      </c>
      <c r="V9" s="4">
        <v>500.68270899999999</v>
      </c>
      <c r="W9" s="4">
        <v>507.31466699999999</v>
      </c>
      <c r="X9" s="4">
        <v>514.15997300000004</v>
      </c>
      <c r="Y9" s="4">
        <v>521.06909199999996</v>
      </c>
      <c r="Z9" s="4">
        <v>526.66046100000005</v>
      </c>
      <c r="AA9" s="4">
        <v>529.35278300000004</v>
      </c>
      <c r="AB9" s="4">
        <v>533.16314699999998</v>
      </c>
      <c r="AC9" s="4">
        <v>538.19647199999997</v>
      </c>
      <c r="AD9" s="4">
        <v>543.92089799999997</v>
      </c>
      <c r="AE9" s="5">
        <v>0.44756096121253064</v>
      </c>
    </row>
    <row r="10" spans="1:31" x14ac:dyDescent="0.25">
      <c r="A10" s="4" t="s">
        <v>28</v>
      </c>
      <c r="B10" s="4" t="s">
        <v>9</v>
      </c>
      <c r="C10" s="4" t="s">
        <v>3</v>
      </c>
      <c r="D10" s="4">
        <v>374.23455799999999</v>
      </c>
      <c r="E10" s="4">
        <v>361.35296599999998</v>
      </c>
      <c r="F10" s="4">
        <v>346.71304300000003</v>
      </c>
      <c r="G10" s="4">
        <v>347.776184</v>
      </c>
      <c r="H10" s="4">
        <v>349.36230499999999</v>
      </c>
      <c r="I10" s="4">
        <v>350.86615</v>
      </c>
      <c r="J10" s="4">
        <v>354.81655899999998</v>
      </c>
      <c r="K10" s="4">
        <v>364.079926</v>
      </c>
      <c r="L10" s="4">
        <v>380.94921900000003</v>
      </c>
      <c r="M10" s="4">
        <v>397.38314800000001</v>
      </c>
      <c r="N10" s="4">
        <v>414.43206800000002</v>
      </c>
      <c r="O10" s="4">
        <v>430.03378300000003</v>
      </c>
      <c r="P10" s="4">
        <v>442.34338400000001</v>
      </c>
      <c r="Q10" s="4">
        <v>451.82714800000002</v>
      </c>
      <c r="R10" s="4">
        <v>463.35171500000001</v>
      </c>
      <c r="S10" s="4">
        <v>473.47467</v>
      </c>
      <c r="T10" s="4">
        <v>482.42687999999998</v>
      </c>
      <c r="U10" s="4">
        <v>490.73202500000002</v>
      </c>
      <c r="V10" s="4">
        <v>498.23989899999998</v>
      </c>
      <c r="W10" s="4">
        <v>504.93099999999998</v>
      </c>
      <c r="X10" s="4">
        <v>511.93136600000003</v>
      </c>
      <c r="Y10" s="4">
        <v>518.88647500000002</v>
      </c>
      <c r="Z10" s="4">
        <v>524.79669200000001</v>
      </c>
      <c r="AA10" s="4">
        <v>527.87365699999998</v>
      </c>
      <c r="AB10" s="4">
        <v>531.69281000000001</v>
      </c>
      <c r="AC10" s="4">
        <v>536.72119099999998</v>
      </c>
      <c r="AD10" s="4">
        <v>542.43341099999998</v>
      </c>
      <c r="AE10" s="5" cm="1">
        <f t="array" ref="AE10:AE14">(AD10:AD14-D10:D14)/D10:D14</f>
        <v>0.4494476776781261</v>
      </c>
    </row>
    <row r="11" spans="1:31" x14ac:dyDescent="0.25">
      <c r="A11" s="4" t="s">
        <v>28</v>
      </c>
      <c r="B11" s="4" t="s">
        <v>12</v>
      </c>
      <c r="C11" s="4" t="s">
        <v>3</v>
      </c>
      <c r="D11" s="4">
        <v>319.38711499999999</v>
      </c>
      <c r="E11" s="4">
        <v>308.37573200000003</v>
      </c>
      <c r="F11" s="4">
        <v>295.885651</v>
      </c>
      <c r="G11" s="4">
        <v>296.79302999999999</v>
      </c>
      <c r="H11" s="4">
        <v>298.14675899999997</v>
      </c>
      <c r="I11" s="4">
        <v>299.43029799999999</v>
      </c>
      <c r="J11" s="4">
        <v>302.80197099999998</v>
      </c>
      <c r="K11" s="4">
        <v>310.708282</v>
      </c>
      <c r="L11" s="4">
        <v>325.10623199999998</v>
      </c>
      <c r="M11" s="4">
        <v>339.13256799999999</v>
      </c>
      <c r="N11" s="4">
        <v>353.67785600000002</v>
      </c>
      <c r="O11" s="4">
        <v>366.97958399999999</v>
      </c>
      <c r="P11" s="4">
        <v>377.48580900000002</v>
      </c>
      <c r="Q11" s="4">
        <v>385.61187699999999</v>
      </c>
      <c r="R11" s="4">
        <v>395.45074499999998</v>
      </c>
      <c r="S11" s="4">
        <v>404.09255999999999</v>
      </c>
      <c r="T11" s="4">
        <v>411.73089599999997</v>
      </c>
      <c r="U11" s="4">
        <v>418.81933600000002</v>
      </c>
      <c r="V11" s="4">
        <v>425.22732500000001</v>
      </c>
      <c r="W11" s="4">
        <v>430.93820199999999</v>
      </c>
      <c r="X11" s="4">
        <v>436.908905</v>
      </c>
      <c r="Y11" s="4">
        <v>442.84921300000002</v>
      </c>
      <c r="Z11" s="4">
        <v>447.89950599999997</v>
      </c>
      <c r="AA11" s="4">
        <v>450.5401</v>
      </c>
      <c r="AB11" s="4">
        <v>453.79968300000002</v>
      </c>
      <c r="AC11" s="4">
        <v>458.091095</v>
      </c>
      <c r="AD11" s="4">
        <v>462.96664399999997</v>
      </c>
      <c r="AE11" s="5">
        <v>0.44954703009856856</v>
      </c>
    </row>
    <row r="12" spans="1:31" x14ac:dyDescent="0.25">
      <c r="A12" s="4" t="s">
        <v>28</v>
      </c>
      <c r="B12" s="4" t="s">
        <v>13</v>
      </c>
      <c r="C12" s="4" t="s">
        <v>3</v>
      </c>
      <c r="D12" s="4">
        <v>54.847468999999997</v>
      </c>
      <c r="E12" s="4">
        <v>52.977238</v>
      </c>
      <c r="F12" s="4">
        <v>50.827407999999998</v>
      </c>
      <c r="G12" s="4">
        <v>50.983158000000003</v>
      </c>
      <c r="H12" s="4">
        <v>51.215522999999997</v>
      </c>
      <c r="I12" s="4">
        <v>51.435836999999999</v>
      </c>
      <c r="J12" s="4">
        <v>52.014572000000001</v>
      </c>
      <c r="K12" s="4">
        <v>53.371657999999996</v>
      </c>
      <c r="L12" s="4">
        <v>55.843018000000001</v>
      </c>
      <c r="M12" s="4">
        <v>58.250591</v>
      </c>
      <c r="N12" s="4">
        <v>60.754210999999998</v>
      </c>
      <c r="O12" s="4">
        <v>63.054226</v>
      </c>
      <c r="P12" s="4">
        <v>64.857581999999994</v>
      </c>
      <c r="Q12" s="4">
        <v>66.215294</v>
      </c>
      <c r="R12" s="4">
        <v>67.902518999999998</v>
      </c>
      <c r="S12" s="4">
        <v>69.384888000000004</v>
      </c>
      <c r="T12" s="4">
        <v>70.695976000000002</v>
      </c>
      <c r="U12" s="4">
        <v>71.912682000000004</v>
      </c>
      <c r="V12" s="4">
        <v>73.012589000000006</v>
      </c>
      <c r="W12" s="4">
        <v>73.992844000000005</v>
      </c>
      <c r="X12" s="4">
        <v>75.017692999999994</v>
      </c>
      <c r="Y12" s="4">
        <v>76.037330999999995</v>
      </c>
      <c r="Z12" s="4">
        <v>76.897223999999994</v>
      </c>
      <c r="AA12" s="4">
        <v>77.333648999999994</v>
      </c>
      <c r="AB12" s="4">
        <v>77.893142999999995</v>
      </c>
      <c r="AC12" s="4">
        <v>78.629752999999994</v>
      </c>
      <c r="AD12" s="4">
        <v>79.466621000000004</v>
      </c>
      <c r="AE12" s="5">
        <v>0.44886578084396217</v>
      </c>
    </row>
    <row r="13" spans="1:31" x14ac:dyDescent="0.25">
      <c r="A13" s="4" t="s">
        <v>28</v>
      </c>
      <c r="B13" s="4" t="s">
        <v>14</v>
      </c>
      <c r="C13" s="4" t="s">
        <v>3</v>
      </c>
      <c r="D13" s="4">
        <v>1.515344</v>
      </c>
      <c r="E13" s="4">
        <v>1.950475</v>
      </c>
      <c r="F13" s="4">
        <v>1.7749900000000001</v>
      </c>
      <c r="G13" s="4">
        <v>1.7775719999999999</v>
      </c>
      <c r="H13" s="4">
        <v>1.781425</v>
      </c>
      <c r="I13" s="4">
        <v>1.7850779999999999</v>
      </c>
      <c r="J13" s="4">
        <v>1.794673</v>
      </c>
      <c r="K13" s="4">
        <v>1.8171729999999999</v>
      </c>
      <c r="L13" s="4">
        <v>1.8581479999999999</v>
      </c>
      <c r="M13" s="4">
        <v>1.8980649999999999</v>
      </c>
      <c r="N13" s="4">
        <v>2.103415</v>
      </c>
      <c r="O13" s="4">
        <v>2.5370119999999998</v>
      </c>
      <c r="P13" s="4">
        <v>2.5669110000000002</v>
      </c>
      <c r="Q13" s="4">
        <v>1.7171670000000001</v>
      </c>
      <c r="R13" s="4">
        <v>1.7081249999999999</v>
      </c>
      <c r="S13" s="4">
        <v>1.7096899999999999</v>
      </c>
      <c r="T13" s="4">
        <v>1.731428</v>
      </c>
      <c r="U13" s="4">
        <v>1.751601</v>
      </c>
      <c r="V13" s="4">
        <v>1.7698370000000001</v>
      </c>
      <c r="W13" s="4">
        <v>1.786089</v>
      </c>
      <c r="X13" s="4">
        <v>1.8030809999999999</v>
      </c>
      <c r="Y13" s="4">
        <v>1.8199860000000001</v>
      </c>
      <c r="Z13" s="4">
        <v>1.6704019999999999</v>
      </c>
      <c r="AA13" s="4">
        <v>1.282176</v>
      </c>
      <c r="AB13" s="4">
        <v>1.291452</v>
      </c>
      <c r="AC13" s="4">
        <v>1.3036650000000001</v>
      </c>
      <c r="AD13" s="4">
        <v>1.3175399999999999</v>
      </c>
      <c r="AE13" s="5">
        <v>-0.1305340569534047</v>
      </c>
    </row>
    <row r="14" spans="1:31" x14ac:dyDescent="0.25">
      <c r="A14" s="4" t="s">
        <v>28</v>
      </c>
      <c r="B14" s="4" t="s">
        <v>15</v>
      </c>
      <c r="C14" s="4" t="s">
        <v>3</v>
      </c>
      <c r="D14" s="4">
        <v>375.749908</v>
      </c>
      <c r="E14" s="4">
        <v>363.30343599999998</v>
      </c>
      <c r="F14" s="4">
        <v>348.48803700000002</v>
      </c>
      <c r="G14" s="4">
        <v>349.553741</v>
      </c>
      <c r="H14" s="4">
        <v>351.14373799999998</v>
      </c>
      <c r="I14" s="4">
        <v>352.65121499999998</v>
      </c>
      <c r="J14" s="4">
        <v>356.61123700000002</v>
      </c>
      <c r="K14" s="4">
        <v>365.89709499999998</v>
      </c>
      <c r="L14" s="4">
        <v>382.80737299999998</v>
      </c>
      <c r="M14" s="4">
        <v>399.28121900000002</v>
      </c>
      <c r="N14" s="4">
        <v>416.53549199999998</v>
      </c>
      <c r="O14" s="4">
        <v>432.57080100000002</v>
      </c>
      <c r="P14" s="4">
        <v>444.91030899999998</v>
      </c>
      <c r="Q14" s="4">
        <v>453.54431199999999</v>
      </c>
      <c r="R14" s="4">
        <v>465.059845</v>
      </c>
      <c r="S14" s="4">
        <v>475.18435699999998</v>
      </c>
      <c r="T14" s="4">
        <v>484.15829500000001</v>
      </c>
      <c r="U14" s="4">
        <v>492.48361199999999</v>
      </c>
      <c r="V14" s="4">
        <v>500.00973499999998</v>
      </c>
      <c r="W14" s="4">
        <v>506.71710200000001</v>
      </c>
      <c r="X14" s="4">
        <v>513.73443599999996</v>
      </c>
      <c r="Y14" s="4">
        <v>520.70648200000005</v>
      </c>
      <c r="Z14" s="4">
        <v>526.46710199999995</v>
      </c>
      <c r="AA14" s="4">
        <v>529.15582300000005</v>
      </c>
      <c r="AB14" s="4">
        <v>532.98425299999997</v>
      </c>
      <c r="AC14" s="4">
        <v>538.02484100000004</v>
      </c>
      <c r="AD14" s="4">
        <v>543.75097700000003</v>
      </c>
      <c r="AE14" s="5">
        <v>0.44710874287160179</v>
      </c>
    </row>
    <row r="15" spans="1:31" x14ac:dyDescent="0.25">
      <c r="A15" s="4" t="s">
        <v>29</v>
      </c>
      <c r="B15" s="4" t="s">
        <v>14</v>
      </c>
      <c r="C15" s="4" t="s">
        <v>3</v>
      </c>
      <c r="D15" s="4">
        <v>0</v>
      </c>
      <c r="E15" s="4">
        <v>0</v>
      </c>
      <c r="F15" s="4">
        <v>0</v>
      </c>
      <c r="G15" s="4">
        <v>0</v>
      </c>
      <c r="H15" s="4">
        <v>8.3105999999999999E-2</v>
      </c>
      <c r="I15" s="4">
        <v>0.25008399999999997</v>
      </c>
      <c r="J15" s="4">
        <v>0.32825500000000002</v>
      </c>
      <c r="K15" s="4">
        <v>0.101828</v>
      </c>
      <c r="L15" s="4">
        <v>0.176288</v>
      </c>
      <c r="M15" s="4">
        <v>9.6235000000000001E-2</v>
      </c>
      <c r="N15" s="4">
        <v>0.20089299999999999</v>
      </c>
      <c r="O15" s="4">
        <v>0.29221900000000001</v>
      </c>
      <c r="P15" s="4">
        <v>0.78909799999999997</v>
      </c>
      <c r="Q15" s="4">
        <v>0.83976899999999999</v>
      </c>
      <c r="R15" s="4">
        <v>0.82282999999999995</v>
      </c>
      <c r="S15" s="4">
        <v>0.70084000000000002</v>
      </c>
      <c r="T15" s="4">
        <v>0.66676100000000005</v>
      </c>
      <c r="U15" s="4">
        <v>0.65879399999999999</v>
      </c>
      <c r="V15" s="4">
        <v>0.67297799999999997</v>
      </c>
      <c r="W15" s="4">
        <v>0.597584</v>
      </c>
      <c r="X15" s="4">
        <v>0.42554599999999998</v>
      </c>
      <c r="Y15" s="4">
        <v>0.36260599999999998</v>
      </c>
      <c r="Z15" s="4">
        <v>0.19333700000000001</v>
      </c>
      <c r="AA15" s="4">
        <v>0.19695599999999999</v>
      </c>
      <c r="AB15" s="4">
        <v>0.17885999999999999</v>
      </c>
      <c r="AC15" s="4">
        <v>0.171621</v>
      </c>
      <c r="AD15" s="4">
        <v>0.16995399999999999</v>
      </c>
      <c r="AE15" s="5" t="e">
        <f>(AD15-D15)/D15</f>
        <v>#DIV/0!</v>
      </c>
    </row>
    <row r="16" spans="1:31" x14ac:dyDescent="0.25">
      <c r="A16" s="4" t="s">
        <v>16</v>
      </c>
      <c r="B16" s="4" t="s">
        <v>17</v>
      </c>
      <c r="C16" s="4" t="s">
        <v>3</v>
      </c>
      <c r="D16" s="4">
        <v>459.30084199999999</v>
      </c>
      <c r="E16" s="4">
        <v>452.11322000000001</v>
      </c>
      <c r="F16" s="4">
        <v>443.56072999999998</v>
      </c>
      <c r="G16" s="4">
        <v>443.98980699999998</v>
      </c>
      <c r="H16" s="4">
        <v>444.26702899999998</v>
      </c>
      <c r="I16" s="4">
        <v>444.20245399999999</v>
      </c>
      <c r="J16" s="4">
        <v>445.68194599999998</v>
      </c>
      <c r="K16" s="4">
        <v>448.52304099999998</v>
      </c>
      <c r="L16" s="4">
        <v>451.668091</v>
      </c>
      <c r="M16" s="4">
        <v>455.30767800000001</v>
      </c>
      <c r="N16" s="4">
        <v>459.29727200000002</v>
      </c>
      <c r="O16" s="4">
        <v>462.32910199999998</v>
      </c>
      <c r="P16" s="4">
        <v>465.15945399999998</v>
      </c>
      <c r="Q16" s="4">
        <v>467.63445999999999</v>
      </c>
      <c r="R16" s="4">
        <v>470.40628099999998</v>
      </c>
      <c r="S16" s="4">
        <v>472.484375</v>
      </c>
      <c r="T16" s="4">
        <v>474.36346400000002</v>
      </c>
      <c r="U16" s="4">
        <v>476.29321299999998</v>
      </c>
      <c r="V16" s="4">
        <v>477.86981200000002</v>
      </c>
      <c r="W16" s="4">
        <v>479.26110799999998</v>
      </c>
      <c r="X16" s="4">
        <v>480.90063500000002</v>
      </c>
      <c r="Y16" s="4">
        <v>481.89221199999997</v>
      </c>
      <c r="Z16" s="4">
        <v>482.82885700000003</v>
      </c>
      <c r="AA16" s="4">
        <v>483.48336799999998</v>
      </c>
      <c r="AB16" s="4">
        <v>484.88644399999998</v>
      </c>
      <c r="AC16" s="4">
        <v>486.28088400000001</v>
      </c>
      <c r="AD16" s="4">
        <v>487.948059</v>
      </c>
      <c r="AE16" s="5" cm="1">
        <f t="array" ref="AE16:AE20">(AD16:AD20-D16:D20)/D16:D20</f>
        <v>6.2371357464221705E-2</v>
      </c>
    </row>
    <row r="17" spans="1:31" x14ac:dyDescent="0.25">
      <c r="A17" s="4" t="s">
        <v>16</v>
      </c>
      <c r="B17" s="4" t="s">
        <v>18</v>
      </c>
      <c r="C17" s="4" t="s">
        <v>3</v>
      </c>
      <c r="D17" s="4">
        <v>293.40902699999998</v>
      </c>
      <c r="E17" s="4">
        <v>293.40902699999998</v>
      </c>
      <c r="F17" s="4">
        <v>293.40902699999998</v>
      </c>
      <c r="G17" s="4">
        <v>293.40902699999998</v>
      </c>
      <c r="H17" s="4">
        <v>293.40902699999998</v>
      </c>
      <c r="I17" s="4">
        <v>293.40902699999998</v>
      </c>
      <c r="J17" s="4">
        <v>293.40902699999998</v>
      </c>
      <c r="K17" s="4">
        <v>293.40902699999998</v>
      </c>
      <c r="L17" s="4">
        <v>293.40902699999998</v>
      </c>
      <c r="M17" s="4">
        <v>293.40902699999998</v>
      </c>
      <c r="N17" s="4">
        <v>293.40902699999998</v>
      </c>
      <c r="O17" s="4">
        <v>293.40902699999998</v>
      </c>
      <c r="P17" s="4">
        <v>293.40902699999998</v>
      </c>
      <c r="Q17" s="4">
        <v>293.40902699999998</v>
      </c>
      <c r="R17" s="4">
        <v>293.40902699999998</v>
      </c>
      <c r="S17" s="4">
        <v>293.40902699999998</v>
      </c>
      <c r="T17" s="4">
        <v>293.40902699999998</v>
      </c>
      <c r="U17" s="4">
        <v>293.40902699999998</v>
      </c>
      <c r="V17" s="4">
        <v>293.40902699999998</v>
      </c>
      <c r="W17" s="4">
        <v>293.40902699999998</v>
      </c>
      <c r="X17" s="4">
        <v>293.40902699999998</v>
      </c>
      <c r="Y17" s="4">
        <v>293.40902699999998</v>
      </c>
      <c r="Z17" s="4">
        <v>293.40902699999998</v>
      </c>
      <c r="AA17" s="4">
        <v>293.40902699999998</v>
      </c>
      <c r="AB17" s="4">
        <v>293.40902699999998</v>
      </c>
      <c r="AC17" s="4">
        <v>293.40902699999998</v>
      </c>
      <c r="AD17" s="4">
        <v>293.40902699999998</v>
      </c>
      <c r="AE17" s="5">
        <v>0</v>
      </c>
    </row>
    <row r="18" spans="1:31" x14ac:dyDescent="0.25">
      <c r="A18" s="4" t="s">
        <v>16</v>
      </c>
      <c r="B18" s="4" t="s">
        <v>19</v>
      </c>
      <c r="C18" s="4" t="s">
        <v>3</v>
      </c>
      <c r="D18" s="4">
        <v>165.89181500000001</v>
      </c>
      <c r="E18" s="4">
        <v>158.704193</v>
      </c>
      <c r="F18" s="4">
        <v>150.151703</v>
      </c>
      <c r="G18" s="4">
        <v>150.58078</v>
      </c>
      <c r="H18" s="4">
        <v>150.858002</v>
      </c>
      <c r="I18" s="4">
        <v>150.79342700000001</v>
      </c>
      <c r="J18" s="4">
        <v>152.272919</v>
      </c>
      <c r="K18" s="4">
        <v>155.114014</v>
      </c>
      <c r="L18" s="4">
        <v>158.259064</v>
      </c>
      <c r="M18" s="4">
        <v>161.898651</v>
      </c>
      <c r="N18" s="4">
        <v>165.88824500000001</v>
      </c>
      <c r="O18" s="4">
        <v>168.920074</v>
      </c>
      <c r="P18" s="4">
        <v>171.750427</v>
      </c>
      <c r="Q18" s="4">
        <v>174.22543300000001</v>
      </c>
      <c r="R18" s="4">
        <v>176.997253</v>
      </c>
      <c r="S18" s="4">
        <v>179.07534799999999</v>
      </c>
      <c r="T18" s="4">
        <v>180.95443700000001</v>
      </c>
      <c r="U18" s="4">
        <v>182.884186</v>
      </c>
      <c r="V18" s="4">
        <v>184.46078499999999</v>
      </c>
      <c r="W18" s="4">
        <v>185.852081</v>
      </c>
      <c r="X18" s="4">
        <v>187.49160800000001</v>
      </c>
      <c r="Y18" s="4">
        <v>188.48318499999999</v>
      </c>
      <c r="Z18" s="4">
        <v>189.41982999999999</v>
      </c>
      <c r="AA18" s="4">
        <v>190.074341</v>
      </c>
      <c r="AB18" s="4">
        <v>191.477417</v>
      </c>
      <c r="AC18" s="4">
        <v>192.87185700000001</v>
      </c>
      <c r="AD18" s="4">
        <v>194.53903199999999</v>
      </c>
      <c r="AE18" s="5">
        <v>0.17268613885501211</v>
      </c>
    </row>
    <row r="19" spans="1:31" x14ac:dyDescent="0.25">
      <c r="A19" s="4" t="s">
        <v>16</v>
      </c>
      <c r="B19" s="4" t="s">
        <v>20</v>
      </c>
      <c r="C19" s="4" t="s">
        <v>3</v>
      </c>
      <c r="D19" s="4">
        <v>6.9554000000000005E-2</v>
      </c>
      <c r="E19" s="4">
        <v>0.40476600000000001</v>
      </c>
      <c r="F19" s="4">
        <v>0.90995000000000004</v>
      </c>
      <c r="G19" s="4">
        <v>1.7235659999999999</v>
      </c>
      <c r="H19" s="4">
        <v>3.0611359999999999</v>
      </c>
      <c r="I19" s="4">
        <v>4.74322</v>
      </c>
      <c r="J19" s="4">
        <v>6.6288720000000003</v>
      </c>
      <c r="K19" s="4">
        <v>10.775399</v>
      </c>
      <c r="L19" s="4">
        <v>20.286259000000001</v>
      </c>
      <c r="M19" s="4">
        <v>28.600479</v>
      </c>
      <c r="N19" s="4">
        <v>36.748435999999998</v>
      </c>
      <c r="O19" s="4">
        <v>44.224452999999997</v>
      </c>
      <c r="P19" s="4">
        <v>51.017445000000002</v>
      </c>
      <c r="Q19" s="4">
        <v>57.181792999999999</v>
      </c>
      <c r="R19" s="4">
        <v>62.808619999999998</v>
      </c>
      <c r="S19" s="4">
        <v>67.969329999999999</v>
      </c>
      <c r="T19" s="4">
        <v>72.490463000000005</v>
      </c>
      <c r="U19" s="4">
        <v>76.471847999999994</v>
      </c>
      <c r="V19" s="4">
        <v>80.176299999999998</v>
      </c>
      <c r="W19" s="4">
        <v>83.491219000000001</v>
      </c>
      <c r="X19" s="4">
        <v>86.473633000000007</v>
      </c>
      <c r="Y19" s="4">
        <v>89.119315999999998</v>
      </c>
      <c r="Z19" s="4">
        <v>91.686156999999994</v>
      </c>
      <c r="AA19" s="4">
        <v>94.09787</v>
      </c>
      <c r="AB19" s="4">
        <v>96.182036999999994</v>
      </c>
      <c r="AC19" s="4">
        <v>98.334778</v>
      </c>
      <c r="AD19" s="4">
        <v>100.52840399999999</v>
      </c>
      <c r="AE19" s="5">
        <v>1444.3288667797681</v>
      </c>
    </row>
    <row r="20" spans="1:31" x14ac:dyDescent="0.25">
      <c r="A20" s="4" t="s">
        <v>16</v>
      </c>
      <c r="B20" s="4" t="s">
        <v>21</v>
      </c>
      <c r="C20" s="4" t="s">
        <v>3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6.6654000000000005E-2</v>
      </c>
      <c r="N20" s="4">
        <v>7.4491000000000002E-2</v>
      </c>
      <c r="O20" s="4">
        <v>0.21359400000000001</v>
      </c>
      <c r="P20" s="4">
        <v>0</v>
      </c>
      <c r="Q20" s="4">
        <v>0</v>
      </c>
      <c r="R20" s="4">
        <v>6.3848000000000002E-2</v>
      </c>
      <c r="S20" s="4">
        <v>1.2095E-2</v>
      </c>
      <c r="T20" s="4">
        <v>0</v>
      </c>
      <c r="U20" s="4">
        <v>7.4491000000000002E-2</v>
      </c>
      <c r="V20" s="4">
        <v>0</v>
      </c>
      <c r="W20" s="4">
        <v>0</v>
      </c>
      <c r="X20" s="4">
        <v>0</v>
      </c>
      <c r="Y20" s="4">
        <v>7.3880000000000001E-2</v>
      </c>
      <c r="Z20" s="4">
        <v>7.3880000000000001E-2</v>
      </c>
      <c r="AA20" s="4">
        <v>7.4491000000000002E-2</v>
      </c>
      <c r="AB20" s="4">
        <v>7.3880000000000001E-2</v>
      </c>
      <c r="AC20" s="4">
        <v>6.0560999999999997E-2</v>
      </c>
      <c r="AD20" s="4">
        <v>4.0863999999999998E-2</v>
      </c>
      <c r="AE20" s="5" t="e">
        <v>#DIV/0!</v>
      </c>
    </row>
    <row r="21" spans="1:31" x14ac:dyDescent="0.25">
      <c r="A21" s="4" t="s">
        <v>22</v>
      </c>
      <c r="B21" s="4" t="s">
        <v>24</v>
      </c>
      <c r="C21" s="4" t="s">
        <v>23</v>
      </c>
      <c r="D21" s="4">
        <v>6.3186790000000004</v>
      </c>
      <c r="E21" s="4">
        <v>8.6219330000000003</v>
      </c>
      <c r="F21" s="4">
        <v>9.0571800000000007</v>
      </c>
      <c r="G21" s="4">
        <v>9.0462059999999997</v>
      </c>
      <c r="H21" s="4">
        <v>9.4383979999999994</v>
      </c>
      <c r="I21" s="4">
        <v>9.9700600000000001</v>
      </c>
      <c r="J21" s="4">
        <v>11.313750000000001</v>
      </c>
      <c r="K21" s="4">
        <v>12.378658</v>
      </c>
      <c r="L21" s="4">
        <v>13.298126999999999</v>
      </c>
      <c r="M21" s="4">
        <v>13.791539</v>
      </c>
      <c r="N21" s="4">
        <v>14.1424</v>
      </c>
      <c r="O21" s="4">
        <v>14.416976</v>
      </c>
      <c r="P21" s="4">
        <v>14.871957</v>
      </c>
      <c r="Q21" s="4">
        <v>17.771626999999999</v>
      </c>
      <c r="R21" s="4">
        <v>17.656227000000001</v>
      </c>
      <c r="S21" s="4">
        <v>15.068854999999999</v>
      </c>
      <c r="T21" s="4">
        <v>15.165264000000001</v>
      </c>
      <c r="U21" s="4">
        <v>15.264547</v>
      </c>
      <c r="V21" s="4">
        <v>15.239288999999999</v>
      </c>
      <c r="W21" s="4">
        <v>15.032367000000001</v>
      </c>
      <c r="X21" s="4">
        <v>15.269515</v>
      </c>
      <c r="Y21" s="4">
        <v>15.311904</v>
      </c>
      <c r="Z21" s="4">
        <v>15.484197</v>
      </c>
      <c r="AA21" s="4">
        <v>15.835134999999999</v>
      </c>
      <c r="AB21" s="4">
        <v>16.239896999999999</v>
      </c>
      <c r="AC21" s="4">
        <v>16.576998</v>
      </c>
      <c r="AD21" s="4">
        <v>16.880367</v>
      </c>
      <c r="AE21" s="5">
        <f>(AD21-D21)/D21</f>
        <v>1.6715025403252799</v>
      </c>
    </row>
    <row r="22" spans="1:31" x14ac:dyDescent="0.25">
      <c r="A22" s="4" t="s">
        <v>25</v>
      </c>
      <c r="B22" s="4" t="s">
        <v>26</v>
      </c>
      <c r="C22" s="4" t="s">
        <v>23</v>
      </c>
      <c r="D22" s="4">
        <v>8.7821999999999996</v>
      </c>
      <c r="E22" s="4">
        <v>11.085455</v>
      </c>
      <c r="F22" s="4">
        <v>11.520702</v>
      </c>
      <c r="G22" s="4">
        <v>11.509727</v>
      </c>
      <c r="H22" s="4">
        <v>11.901918999999999</v>
      </c>
      <c r="I22" s="4">
        <v>12.433581</v>
      </c>
      <c r="J22" s="4">
        <v>13.777272</v>
      </c>
      <c r="K22" s="4">
        <v>14.842181</v>
      </c>
      <c r="L22" s="4">
        <v>15.761649</v>
      </c>
      <c r="M22" s="4">
        <v>16.25506</v>
      </c>
      <c r="N22" s="4">
        <v>16.605920999999999</v>
      </c>
      <c r="O22" s="4">
        <v>16.880496999999998</v>
      </c>
      <c r="P22" s="4">
        <v>17.33548</v>
      </c>
      <c r="Q22" s="4">
        <v>20.235149</v>
      </c>
      <c r="R22" s="4">
        <v>20.119748999999999</v>
      </c>
      <c r="S22" s="4">
        <v>17.532374999999998</v>
      </c>
      <c r="T22" s="4">
        <v>17.628786000000002</v>
      </c>
      <c r="U22" s="4">
        <v>17.728069000000001</v>
      </c>
      <c r="V22" s="4">
        <v>17.702812000000002</v>
      </c>
      <c r="W22" s="4">
        <v>17.495888000000001</v>
      </c>
      <c r="X22" s="4">
        <v>17.733035999999998</v>
      </c>
      <c r="Y22" s="4">
        <v>17.775424999999998</v>
      </c>
      <c r="Z22" s="4">
        <v>17.94772</v>
      </c>
      <c r="AA22" s="4">
        <v>18.298656000000001</v>
      </c>
      <c r="AB22" s="4">
        <v>18.703419</v>
      </c>
      <c r="AC22" s="4">
        <v>19.040517999999999</v>
      </c>
      <c r="AD22" s="4">
        <v>19.343886999999999</v>
      </c>
      <c r="AE22" s="5" cm="1">
        <f t="array" ref="AE22:AE24">(AD22:AD24-D22:D24)/D22:D24</f>
        <v>1.2026242854865523</v>
      </c>
    </row>
    <row r="23" spans="1:31" x14ac:dyDescent="0.25">
      <c r="A23" s="4" t="s">
        <v>25</v>
      </c>
      <c r="B23" s="4" t="s">
        <v>20</v>
      </c>
      <c r="C23" s="4" t="s">
        <v>23</v>
      </c>
      <c r="D23" s="4">
        <v>58.873168999999997</v>
      </c>
      <c r="E23" s="4">
        <v>61.176735000000001</v>
      </c>
      <c r="F23" s="4">
        <v>61.612301000000002</v>
      </c>
      <c r="G23" s="4">
        <v>61.601311000000003</v>
      </c>
      <c r="H23" s="4">
        <v>61.993499999999997</v>
      </c>
      <c r="I23" s="4">
        <v>62.525185</v>
      </c>
      <c r="J23" s="4">
        <v>63.868876999999998</v>
      </c>
      <c r="K23" s="4">
        <v>64.933791999999997</v>
      </c>
      <c r="L23" s="4">
        <v>65.853271000000007</v>
      </c>
      <c r="M23" s="4">
        <v>66.346664000000004</v>
      </c>
      <c r="N23" s="4">
        <v>66.697502</v>
      </c>
      <c r="O23" s="4">
        <v>66.972076000000001</v>
      </c>
      <c r="P23" s="4">
        <v>67.427077999999995</v>
      </c>
      <c r="Q23" s="4">
        <v>70.326537999999999</v>
      </c>
      <c r="R23" s="4">
        <v>70.210982999999999</v>
      </c>
      <c r="S23" s="4">
        <v>67.623962000000006</v>
      </c>
      <c r="T23" s="4">
        <v>67.720366999999996</v>
      </c>
      <c r="U23" s="4">
        <v>67.819671999999997</v>
      </c>
      <c r="V23" s="4">
        <v>67.794417999999993</v>
      </c>
      <c r="W23" s="4">
        <v>67.587494000000007</v>
      </c>
      <c r="X23" s="4">
        <v>67.824637999999993</v>
      </c>
      <c r="Y23" s="4">
        <v>67.867012000000003</v>
      </c>
      <c r="Z23" s="4">
        <v>68.039314000000005</v>
      </c>
      <c r="AA23" s="4">
        <v>68.390251000000006</v>
      </c>
      <c r="AB23" s="4">
        <v>68.795021000000006</v>
      </c>
      <c r="AC23" s="4">
        <v>69.132118000000006</v>
      </c>
      <c r="AD23" s="4">
        <v>69.435562000000004</v>
      </c>
      <c r="AE23" s="5">
        <v>0.17940928235067502</v>
      </c>
    </row>
    <row r="24" spans="1:31" x14ac:dyDescent="0.25">
      <c r="A24" s="4" t="s">
        <v>25</v>
      </c>
      <c r="B24" s="4" t="s">
        <v>21</v>
      </c>
      <c r="C24" s="4" t="s">
        <v>23</v>
      </c>
      <c r="D24" s="4">
        <v>8.7821999999999996</v>
      </c>
      <c r="E24" s="4">
        <v>11.085455</v>
      </c>
      <c r="F24" s="4">
        <v>11.520702</v>
      </c>
      <c r="G24" s="4">
        <v>11.509727</v>
      </c>
      <c r="H24" s="4">
        <v>11.901918999999999</v>
      </c>
      <c r="I24" s="4">
        <v>12.433581</v>
      </c>
      <c r="J24" s="4">
        <v>13.777272</v>
      </c>
      <c r="K24" s="4">
        <v>14.842181</v>
      </c>
      <c r="L24" s="4">
        <v>15.761649</v>
      </c>
      <c r="M24" s="4">
        <v>16.25506</v>
      </c>
      <c r="N24" s="4">
        <v>16.605920999999999</v>
      </c>
      <c r="O24" s="4">
        <v>16.880496999999998</v>
      </c>
      <c r="P24" s="4">
        <v>17.33548</v>
      </c>
      <c r="Q24" s="4">
        <v>20.235149</v>
      </c>
      <c r="R24" s="4">
        <v>20.119748999999999</v>
      </c>
      <c r="S24" s="4">
        <v>17.532374999999998</v>
      </c>
      <c r="T24" s="4">
        <v>17.628786000000002</v>
      </c>
      <c r="U24" s="4">
        <v>17.728069000000001</v>
      </c>
      <c r="V24" s="4">
        <v>17.702812000000002</v>
      </c>
      <c r="W24" s="4">
        <v>17.495888000000001</v>
      </c>
      <c r="X24" s="4">
        <v>17.733035999999998</v>
      </c>
      <c r="Y24" s="4">
        <v>17.775424999999998</v>
      </c>
      <c r="Z24" s="4">
        <v>17.94772</v>
      </c>
      <c r="AA24" s="4">
        <v>18.298656000000001</v>
      </c>
      <c r="AB24" s="4">
        <v>18.703419</v>
      </c>
      <c r="AC24" s="4">
        <v>19.040517999999999</v>
      </c>
      <c r="AD24" s="4">
        <v>19.343886999999999</v>
      </c>
      <c r="AE24" s="5">
        <v>1.2026242854865523</v>
      </c>
    </row>
    <row r="26" spans="1:31" x14ac:dyDescent="0.25">
      <c r="R2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East North Central</vt:lpstr>
      <vt:lpstr>East South Central</vt:lpstr>
      <vt:lpstr>Middle Atlantic</vt:lpstr>
      <vt:lpstr>Mountain</vt:lpstr>
      <vt:lpstr>New England</vt:lpstr>
      <vt:lpstr>Pacific</vt:lpstr>
      <vt:lpstr>South Atlantic</vt:lpstr>
      <vt:lpstr>West North Central</vt:lpstr>
      <vt:lpstr>West South Central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Aboud Beroual</cp:lastModifiedBy>
  <dcterms:created xsi:type="dcterms:W3CDTF">2025-07-02T16:34:45Z</dcterms:created>
  <dcterms:modified xsi:type="dcterms:W3CDTF">2025-07-08T15:57:39Z</dcterms:modified>
</cp:coreProperties>
</file>