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Abboud\Desktop\hydrogen-dashboard\data\"/>
    </mc:Choice>
  </mc:AlternateContent>
  <xr:revisionPtr revIDLastSave="0" documentId="13_ncr:1_{B7D36ED4-8CDD-45EA-A881-F580596AECDE}" xr6:coauthVersionLast="47" xr6:coauthVersionMax="47" xr10:uidLastSave="{00000000-0000-0000-0000-000000000000}"/>
  <bookViews>
    <workbookView xWindow="-105" yWindow="0" windowWidth="13005" windowHeight="20985" tabRatio="928" firstSheet="1" xr2:uid="{00000000-000D-0000-FFFF-FFFF00000000}"/>
  </bookViews>
  <sheets>
    <sheet name="FRCC" sheetId="1" r:id="rId1"/>
    <sheet name="ISNE" sheetId="2" r:id="rId2"/>
    <sheet name="NYCW" sheetId="3" r:id="rId3"/>
    <sheet name="PJMC" sheetId="4" r:id="rId4"/>
    <sheet name="PJMD" sheetId="5" r:id="rId5"/>
    <sheet name="PJME" sheetId="6" r:id="rId6"/>
    <sheet name="SRCE" sheetId="7" r:id="rId7"/>
    <sheet name="SRSE" sheetId="8" r:id="rId8"/>
    <sheet name="TRE" sheetId="9" r:id="rId9"/>
    <sheet name="BASN" sheetId="10" r:id="rId10"/>
    <sheet name="CANO" sheetId="11" r:id="rId11"/>
    <sheet name="CASO" sheetId="12" r:id="rId12"/>
    <sheet name="RMRG" sheetId="13" r:id="rId13"/>
    <sheet name="SRSG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34" i="2" l="1" a="1"/>
  <c r="AE34" i="2" s="1"/>
  <c r="AE34" i="3" a="1"/>
  <c r="AE34" i="3" s="1"/>
  <c r="AE34" i="4" a="1"/>
  <c r="AE34" i="4" s="1"/>
  <c r="AE34" i="5" a="1"/>
  <c r="AE34" i="5" s="1"/>
  <c r="AE34" i="6" a="1"/>
  <c r="AE34" i="6" s="1"/>
  <c r="AE34" i="7" a="1"/>
  <c r="AE34" i="7" s="1"/>
  <c r="AE34" i="8" a="1"/>
  <c r="AE34" i="8" s="1"/>
  <c r="AE34" i="9" a="1"/>
  <c r="AE34" i="9" s="1"/>
  <c r="AE34" i="10" a="1"/>
  <c r="AE34" i="10" s="1"/>
  <c r="AE34" i="11" a="1"/>
  <c r="AE34" i="11" s="1"/>
  <c r="AE34" i="12" a="1"/>
  <c r="AE34" i="12" s="1"/>
  <c r="AE34" i="13" a="1"/>
  <c r="AE34" i="13" s="1"/>
  <c r="AE34" i="14" a="1"/>
  <c r="AE34" i="14" s="1"/>
  <c r="AE34" i="1" a="1"/>
  <c r="AE34" i="1" s="1"/>
  <c r="AE31" i="2" a="1"/>
  <c r="AE31" i="2" s="1"/>
  <c r="AE31" i="3" a="1"/>
  <c r="AE31" i="3" s="1"/>
  <c r="AE31" i="4" a="1"/>
  <c r="AE31" i="4" s="1"/>
  <c r="AE31" i="5" a="1"/>
  <c r="AE31" i="5" s="1"/>
  <c r="AE31" i="6" a="1"/>
  <c r="AE31" i="6" s="1"/>
  <c r="AE31" i="7" a="1"/>
  <c r="AE31" i="7" s="1"/>
  <c r="AE31" i="8" a="1"/>
  <c r="AE31" i="8" s="1"/>
  <c r="AE31" i="9" a="1"/>
  <c r="AE31" i="9" s="1"/>
  <c r="AE31" i="10" a="1"/>
  <c r="AE31" i="10" s="1"/>
  <c r="AE31" i="11" a="1"/>
  <c r="AE31" i="11" s="1"/>
  <c r="AE31" i="12" a="1"/>
  <c r="AE31" i="12" s="1"/>
  <c r="AE31" i="13" a="1"/>
  <c r="AE31" i="13" s="1"/>
  <c r="AE31" i="14" a="1"/>
  <c r="AE31" i="14" s="1"/>
  <c r="AE31" i="1" a="1"/>
  <c r="AE31" i="1" s="1"/>
  <c r="AE28" i="2" a="1"/>
  <c r="AE28" i="2" s="1"/>
  <c r="AE28" i="3" a="1"/>
  <c r="AE28" i="3" s="1"/>
  <c r="AE28" i="4" a="1"/>
  <c r="AE28" i="4" s="1"/>
  <c r="AE28" i="5" a="1"/>
  <c r="AE28" i="5" s="1"/>
  <c r="AE28" i="6" a="1"/>
  <c r="AE28" i="6" s="1"/>
  <c r="AE28" i="7" a="1"/>
  <c r="AE28" i="7" s="1"/>
  <c r="AE28" i="8" a="1"/>
  <c r="AE28" i="8" s="1"/>
  <c r="AE28" i="9" a="1"/>
  <c r="AE28" i="9" s="1"/>
  <c r="AE28" i="10" a="1"/>
  <c r="AE28" i="10" s="1"/>
  <c r="AE28" i="11" a="1"/>
  <c r="AE28" i="11" s="1"/>
  <c r="AE28" i="12" a="1"/>
  <c r="AE28" i="12" s="1"/>
  <c r="AE28" i="13" a="1"/>
  <c r="AE28" i="13" s="1"/>
  <c r="AE28" i="14" a="1"/>
  <c r="AE28" i="14" s="1"/>
  <c r="AE28" i="1" a="1"/>
  <c r="AE28" i="1" s="1"/>
  <c r="AE23" i="2" a="1"/>
  <c r="AE23" i="2" s="1"/>
  <c r="AE23" i="3" a="1"/>
  <c r="AE23" i="3" s="1"/>
  <c r="AE23" i="4" a="1"/>
  <c r="AE23" i="4" s="1"/>
  <c r="AE23" i="5" a="1"/>
  <c r="AE23" i="5" s="1"/>
  <c r="AE23" i="6" a="1"/>
  <c r="AE23" i="6" s="1"/>
  <c r="AE23" i="7" a="1"/>
  <c r="AE23" i="7" s="1"/>
  <c r="AE23" i="8" a="1"/>
  <c r="AE23" i="8" s="1"/>
  <c r="AE23" i="9" a="1"/>
  <c r="AE23" i="9" s="1"/>
  <c r="AE23" i="10" a="1"/>
  <c r="AE23" i="10" s="1"/>
  <c r="AE23" i="11" a="1"/>
  <c r="AE23" i="11" s="1"/>
  <c r="AE23" i="12" a="1"/>
  <c r="AE23" i="12" s="1"/>
  <c r="AE23" i="13" a="1"/>
  <c r="AE23" i="13" s="1"/>
  <c r="AE23" i="14" a="1"/>
  <c r="AE23" i="14" s="1"/>
  <c r="AE23" i="1" a="1"/>
  <c r="AE23" i="1" s="1"/>
  <c r="AE18" i="2" a="1"/>
  <c r="AE18" i="2" s="1"/>
  <c r="AE18" i="3" a="1"/>
  <c r="AE18" i="3" s="1"/>
  <c r="AE18" i="4" a="1"/>
  <c r="AE18" i="4" s="1"/>
  <c r="AE18" i="5" a="1"/>
  <c r="AE18" i="5" s="1"/>
  <c r="AE18" i="6" a="1"/>
  <c r="AE18" i="6" s="1"/>
  <c r="AE18" i="7" a="1"/>
  <c r="AE18" i="7" s="1"/>
  <c r="AE18" i="8" a="1"/>
  <c r="AE18" i="8" s="1"/>
  <c r="AE18" i="9" a="1"/>
  <c r="AE18" i="9" s="1"/>
  <c r="AE18" i="10" a="1"/>
  <c r="AE18" i="10" s="1"/>
  <c r="AE18" i="11" a="1"/>
  <c r="AE18" i="11" s="1"/>
  <c r="AE18" i="12" a="1"/>
  <c r="AE18" i="12" s="1"/>
  <c r="AE18" i="13" a="1"/>
  <c r="AE18" i="13" s="1"/>
  <c r="AE18" i="14" a="1"/>
  <c r="AE18" i="14" s="1"/>
  <c r="AE18" i="1" a="1"/>
  <c r="AE18" i="1" s="1"/>
  <c r="AE2" i="2" a="1"/>
  <c r="AE2" i="2" s="1"/>
  <c r="AE2" i="3" a="1"/>
  <c r="AE2" i="3" s="1"/>
  <c r="AE2" i="4" a="1"/>
  <c r="AE2" i="4" s="1"/>
  <c r="AE2" i="5" a="1"/>
  <c r="AE2" i="5" s="1"/>
  <c r="AE2" i="6" a="1"/>
  <c r="AE2" i="6" s="1"/>
  <c r="AE2" i="7" a="1"/>
  <c r="AE2" i="7" s="1"/>
  <c r="AE2" i="8" a="1"/>
  <c r="AE2" i="8" s="1"/>
  <c r="AE2" i="9" a="1"/>
  <c r="AE2" i="9" s="1"/>
  <c r="AE2" i="10" a="1"/>
  <c r="AE2" i="10" s="1"/>
  <c r="AE2" i="11" a="1"/>
  <c r="AE2" i="11" s="1"/>
  <c r="AE2" i="12" a="1"/>
  <c r="AE2" i="12" s="1"/>
  <c r="AE2" i="13" a="1"/>
  <c r="AE2" i="13" s="1"/>
  <c r="AE2" i="14" a="1"/>
  <c r="AE2" i="14" s="1"/>
  <c r="AE2" i="1" a="1"/>
  <c r="AE2" i="1" s="1"/>
  <c r="E43" i="2"/>
  <c r="F43" i="2"/>
  <c r="G43" i="2"/>
  <c r="H43" i="2"/>
  <c r="I43" i="2"/>
  <c r="J43" i="2"/>
  <c r="K43" i="2"/>
  <c r="L43" i="2"/>
  <c r="M43" i="2"/>
  <c r="N43" i="2"/>
  <c r="O43" i="2"/>
  <c r="P43" i="2"/>
  <c r="Q43" i="2"/>
  <c r="R43" i="2"/>
  <c r="S43" i="2"/>
  <c r="T43" i="2"/>
  <c r="U43" i="2"/>
  <c r="V43" i="2"/>
  <c r="W43" i="2"/>
  <c r="X43" i="2"/>
  <c r="Y43" i="2"/>
  <c r="Z43" i="2"/>
  <c r="AA43" i="2"/>
  <c r="AB43" i="2"/>
  <c r="AC43" i="2"/>
  <c r="AD43" i="2"/>
  <c r="E43" i="3"/>
  <c r="F43" i="3"/>
  <c r="G43" i="3"/>
  <c r="H43" i="3"/>
  <c r="I43" i="3"/>
  <c r="J43" i="3"/>
  <c r="K43" i="3"/>
  <c r="L43" i="3"/>
  <c r="M43" i="3"/>
  <c r="N43" i="3"/>
  <c r="O43" i="3"/>
  <c r="P43" i="3"/>
  <c r="Q43" i="3"/>
  <c r="R43" i="3"/>
  <c r="S43" i="3"/>
  <c r="T43" i="3"/>
  <c r="U43" i="3"/>
  <c r="V43" i="3"/>
  <c r="W43" i="3"/>
  <c r="X43" i="3"/>
  <c r="Y43" i="3"/>
  <c r="Z43" i="3"/>
  <c r="AA43" i="3"/>
  <c r="AB43" i="3"/>
  <c r="AC43" i="3"/>
  <c r="AD43" i="3"/>
  <c r="E43" i="4"/>
  <c r="F43" i="4"/>
  <c r="G43" i="4"/>
  <c r="H43" i="4"/>
  <c r="I43" i="4"/>
  <c r="J43" i="4"/>
  <c r="K43" i="4"/>
  <c r="L43" i="4"/>
  <c r="M43" i="4"/>
  <c r="N43" i="4"/>
  <c r="O43" i="4"/>
  <c r="P43" i="4"/>
  <c r="Q43" i="4"/>
  <c r="R43" i="4"/>
  <c r="S43" i="4"/>
  <c r="T43" i="4"/>
  <c r="U43" i="4"/>
  <c r="V43" i="4"/>
  <c r="W43" i="4"/>
  <c r="X43" i="4"/>
  <c r="Y43" i="4"/>
  <c r="Z43" i="4"/>
  <c r="AA43" i="4"/>
  <c r="AB43" i="4"/>
  <c r="AC43" i="4"/>
  <c r="AD43" i="4"/>
  <c r="E43" i="5"/>
  <c r="F43" i="5"/>
  <c r="G43" i="5"/>
  <c r="H43" i="5"/>
  <c r="I43" i="5"/>
  <c r="J43" i="5"/>
  <c r="K43" i="5"/>
  <c r="L43" i="5"/>
  <c r="M43" i="5"/>
  <c r="N43" i="5"/>
  <c r="O43" i="5"/>
  <c r="P43" i="5"/>
  <c r="Q43" i="5"/>
  <c r="R43" i="5"/>
  <c r="S43" i="5"/>
  <c r="T43" i="5"/>
  <c r="U43" i="5"/>
  <c r="V43" i="5"/>
  <c r="W43" i="5"/>
  <c r="X43" i="5"/>
  <c r="Y43" i="5"/>
  <c r="Z43" i="5"/>
  <c r="AA43" i="5"/>
  <c r="AB43" i="5"/>
  <c r="AC43" i="5"/>
  <c r="AD43" i="5"/>
  <c r="E43" i="6"/>
  <c r="F43" i="6"/>
  <c r="G43" i="6"/>
  <c r="H43" i="6"/>
  <c r="I43" i="6"/>
  <c r="J43" i="6"/>
  <c r="K43" i="6"/>
  <c r="L43" i="6"/>
  <c r="M43" i="6"/>
  <c r="N43" i="6"/>
  <c r="O43" i="6"/>
  <c r="P43" i="6"/>
  <c r="Q43" i="6"/>
  <c r="R43" i="6"/>
  <c r="S43" i="6"/>
  <c r="T43" i="6"/>
  <c r="U43" i="6"/>
  <c r="V43" i="6"/>
  <c r="W43" i="6"/>
  <c r="X43" i="6"/>
  <c r="Y43" i="6"/>
  <c r="Z43" i="6"/>
  <c r="AA43" i="6"/>
  <c r="AB43" i="6"/>
  <c r="AC43" i="6"/>
  <c r="AD43" i="6"/>
  <c r="E43" i="7"/>
  <c r="F43" i="7"/>
  <c r="G43" i="7"/>
  <c r="H43" i="7"/>
  <c r="I43" i="7"/>
  <c r="J43" i="7"/>
  <c r="K43" i="7"/>
  <c r="L43" i="7"/>
  <c r="M43" i="7"/>
  <c r="N43" i="7"/>
  <c r="O43" i="7"/>
  <c r="P43" i="7"/>
  <c r="Q43" i="7"/>
  <c r="R43" i="7"/>
  <c r="S43" i="7"/>
  <c r="T43" i="7"/>
  <c r="U43" i="7"/>
  <c r="V43" i="7"/>
  <c r="W43" i="7"/>
  <c r="X43" i="7"/>
  <c r="Y43" i="7"/>
  <c r="Z43" i="7"/>
  <c r="AA43" i="7"/>
  <c r="AB43" i="7"/>
  <c r="AC43" i="7"/>
  <c r="AD43" i="7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E43" i="9"/>
  <c r="F43" i="9"/>
  <c r="G43" i="9"/>
  <c r="H43" i="9"/>
  <c r="I43" i="9"/>
  <c r="J43" i="9"/>
  <c r="K43" i="9"/>
  <c r="L43" i="9"/>
  <c r="M43" i="9"/>
  <c r="N43" i="9"/>
  <c r="O43" i="9"/>
  <c r="P43" i="9"/>
  <c r="Q43" i="9"/>
  <c r="R43" i="9"/>
  <c r="S43" i="9"/>
  <c r="T43" i="9"/>
  <c r="U43" i="9"/>
  <c r="V43" i="9"/>
  <c r="W43" i="9"/>
  <c r="X43" i="9"/>
  <c r="Y43" i="9"/>
  <c r="Z43" i="9"/>
  <c r="AA43" i="9"/>
  <c r="AB43" i="9"/>
  <c r="AC43" i="9"/>
  <c r="AD43" i="9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E43" i="12"/>
  <c r="F43" i="12"/>
  <c r="G43" i="12"/>
  <c r="H43" i="12"/>
  <c r="I43" i="12"/>
  <c r="J43" i="12"/>
  <c r="K43" i="12"/>
  <c r="L43" i="12"/>
  <c r="M43" i="12"/>
  <c r="N43" i="12"/>
  <c r="O43" i="12"/>
  <c r="P43" i="12"/>
  <c r="Q43" i="12"/>
  <c r="R43" i="12"/>
  <c r="S43" i="12"/>
  <c r="T43" i="12"/>
  <c r="U43" i="12"/>
  <c r="V43" i="12"/>
  <c r="W43" i="12"/>
  <c r="X43" i="12"/>
  <c r="Y43" i="12"/>
  <c r="Z43" i="12"/>
  <c r="AA43" i="12"/>
  <c r="AB43" i="12"/>
  <c r="AC43" i="12"/>
  <c r="AD43" i="12"/>
  <c r="E43" i="13"/>
  <c r="F43" i="13"/>
  <c r="G43" i="13"/>
  <c r="H43" i="13"/>
  <c r="I43" i="13"/>
  <c r="J43" i="13"/>
  <c r="K43" i="13"/>
  <c r="L43" i="13"/>
  <c r="M43" i="13"/>
  <c r="N43" i="13"/>
  <c r="O43" i="13"/>
  <c r="P43" i="13"/>
  <c r="Q43" i="13"/>
  <c r="R43" i="13"/>
  <c r="S43" i="13"/>
  <c r="T43" i="13"/>
  <c r="U43" i="13"/>
  <c r="V43" i="13"/>
  <c r="W43" i="13"/>
  <c r="X43" i="13"/>
  <c r="Y43" i="13"/>
  <c r="Z43" i="13"/>
  <c r="AA43" i="13"/>
  <c r="AB43" i="13"/>
  <c r="AC43" i="13"/>
  <c r="AD43" i="13"/>
  <c r="E43" i="14"/>
  <c r="F43" i="14"/>
  <c r="G43" i="14"/>
  <c r="H43" i="14"/>
  <c r="I43" i="14"/>
  <c r="J43" i="14"/>
  <c r="K43" i="14"/>
  <c r="L43" i="14"/>
  <c r="M43" i="14"/>
  <c r="N43" i="14"/>
  <c r="O43" i="14"/>
  <c r="P43" i="14"/>
  <c r="Q43" i="14"/>
  <c r="R43" i="14"/>
  <c r="S43" i="14"/>
  <c r="T43" i="14"/>
  <c r="U43" i="14"/>
  <c r="V43" i="14"/>
  <c r="W43" i="14"/>
  <c r="X43" i="14"/>
  <c r="Y43" i="14"/>
  <c r="Z43" i="14"/>
  <c r="AA43" i="14"/>
  <c r="AB43" i="14"/>
  <c r="AC43" i="14"/>
  <c r="AD43" i="14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D43" i="2"/>
  <c r="D43" i="3"/>
  <c r="D43" i="4"/>
  <c r="D43" i="5"/>
  <c r="D43" i="6"/>
  <c r="D43" i="7"/>
  <c r="D43" i="8"/>
  <c r="D43" i="9"/>
  <c r="D43" i="10"/>
  <c r="D43" i="11"/>
  <c r="D43" i="12"/>
  <c r="D43" i="13"/>
  <c r="D43" i="14"/>
  <c r="D43" i="1"/>
  <c r="E39" i="2" a="1"/>
  <c r="E39" i="2" s="1"/>
  <c r="F39" i="2" a="1"/>
  <c r="F39" i="2" s="1"/>
  <c r="G39" i="2" a="1"/>
  <c r="G39" i="2" s="1"/>
  <c r="H39" i="2" a="1"/>
  <c r="H39" i="2" s="1"/>
  <c r="I39" i="2" a="1"/>
  <c r="I39" i="2" s="1"/>
  <c r="J39" i="2" a="1"/>
  <c r="J39" i="2" s="1"/>
  <c r="K39" i="2" a="1"/>
  <c r="K39" i="2" s="1"/>
  <c r="L39" i="2" a="1"/>
  <c r="L39" i="2" s="1"/>
  <c r="M39" i="2" a="1"/>
  <c r="M39" i="2" s="1"/>
  <c r="N39" i="2" a="1"/>
  <c r="N39" i="2" s="1"/>
  <c r="O39" i="2" a="1"/>
  <c r="O39" i="2" s="1"/>
  <c r="P39" i="2" a="1"/>
  <c r="P39" i="2" s="1"/>
  <c r="Q39" i="2" a="1"/>
  <c r="Q39" i="2" s="1"/>
  <c r="R39" i="2" a="1"/>
  <c r="R39" i="2" s="1"/>
  <c r="S39" i="2" a="1"/>
  <c r="S39" i="2" s="1"/>
  <c r="T39" i="2" a="1"/>
  <c r="T39" i="2" s="1"/>
  <c r="U39" i="2" a="1"/>
  <c r="U39" i="2" s="1"/>
  <c r="V39" i="2" a="1"/>
  <c r="V39" i="2" s="1"/>
  <c r="W39" i="2" a="1"/>
  <c r="W39" i="2" s="1"/>
  <c r="X39" i="2" a="1"/>
  <c r="X39" i="2" s="1"/>
  <c r="Y39" i="2" a="1"/>
  <c r="Y39" i="2" s="1"/>
  <c r="Z39" i="2" a="1"/>
  <c r="Z39" i="2" s="1"/>
  <c r="AA39" i="2" a="1"/>
  <c r="AA39" i="2" s="1"/>
  <c r="AB39" i="2" a="1"/>
  <c r="AB39" i="2" s="1"/>
  <c r="AC39" i="2" a="1"/>
  <c r="AC39" i="2" s="1"/>
  <c r="AD39" i="2" a="1"/>
  <c r="AD39" i="2" s="1"/>
  <c r="E39" i="3" a="1"/>
  <c r="E39" i="3" s="1"/>
  <c r="F39" i="3" a="1"/>
  <c r="F39" i="3" s="1"/>
  <c r="G39" i="3" a="1"/>
  <c r="G39" i="3" s="1"/>
  <c r="H39" i="3" a="1"/>
  <c r="H39" i="3" s="1"/>
  <c r="I39" i="3" a="1"/>
  <c r="I39" i="3" s="1"/>
  <c r="J39" i="3" a="1"/>
  <c r="J39" i="3" s="1"/>
  <c r="K39" i="3" a="1"/>
  <c r="K39" i="3" s="1"/>
  <c r="L39" i="3" a="1"/>
  <c r="L39" i="3" s="1"/>
  <c r="M39" i="3" a="1"/>
  <c r="M39" i="3" s="1"/>
  <c r="N39" i="3" a="1"/>
  <c r="N39" i="3" s="1"/>
  <c r="O39" i="3" a="1"/>
  <c r="O39" i="3" s="1"/>
  <c r="P39" i="3" a="1"/>
  <c r="P39" i="3" s="1"/>
  <c r="Q39" i="3" a="1"/>
  <c r="Q39" i="3" s="1"/>
  <c r="R39" i="3" a="1"/>
  <c r="R39" i="3" s="1"/>
  <c r="S39" i="3" a="1"/>
  <c r="S39" i="3" s="1"/>
  <c r="T39" i="3" a="1"/>
  <c r="T39" i="3" s="1"/>
  <c r="U39" i="3" a="1"/>
  <c r="U39" i="3" s="1"/>
  <c r="V39" i="3" a="1"/>
  <c r="V39" i="3" s="1"/>
  <c r="W39" i="3" a="1"/>
  <c r="W39" i="3" s="1"/>
  <c r="X39" i="3" a="1"/>
  <c r="X39" i="3" s="1"/>
  <c r="Y39" i="3" a="1"/>
  <c r="Y39" i="3" s="1"/>
  <c r="Z39" i="3" a="1"/>
  <c r="Z39" i="3" s="1"/>
  <c r="AA39" i="3" a="1"/>
  <c r="AA39" i="3" s="1"/>
  <c r="AB39" i="3" a="1"/>
  <c r="AB39" i="3" s="1"/>
  <c r="AC39" i="3" a="1"/>
  <c r="AC39" i="3" s="1"/>
  <c r="AD39" i="3" a="1"/>
  <c r="AD39" i="3" s="1"/>
  <c r="E39" i="4" a="1"/>
  <c r="E39" i="4" s="1"/>
  <c r="F39" i="4" a="1"/>
  <c r="F39" i="4" s="1"/>
  <c r="G39" i="4" a="1"/>
  <c r="G39" i="4" s="1"/>
  <c r="H39" i="4" a="1"/>
  <c r="H39" i="4" s="1"/>
  <c r="I39" i="4" a="1"/>
  <c r="I39" i="4" s="1"/>
  <c r="J39" i="4" a="1"/>
  <c r="J39" i="4" s="1"/>
  <c r="K39" i="4" a="1"/>
  <c r="K39" i="4" s="1"/>
  <c r="L39" i="4" a="1"/>
  <c r="L39" i="4" s="1"/>
  <c r="M39" i="4" a="1"/>
  <c r="M39" i="4" s="1"/>
  <c r="N39" i="4" a="1"/>
  <c r="N39" i="4" s="1"/>
  <c r="O39" i="4" a="1"/>
  <c r="O39" i="4" s="1"/>
  <c r="P39" i="4" a="1"/>
  <c r="P39" i="4" s="1"/>
  <c r="Q39" i="4" a="1"/>
  <c r="Q39" i="4" s="1"/>
  <c r="R39" i="4" a="1"/>
  <c r="R39" i="4" s="1"/>
  <c r="S39" i="4" a="1"/>
  <c r="S39" i="4" s="1"/>
  <c r="T39" i="4" a="1"/>
  <c r="T39" i="4" s="1"/>
  <c r="U39" i="4" a="1"/>
  <c r="U39" i="4" s="1"/>
  <c r="V39" i="4" a="1"/>
  <c r="V39" i="4" s="1"/>
  <c r="W39" i="4" a="1"/>
  <c r="W39" i="4" s="1"/>
  <c r="X39" i="4" a="1"/>
  <c r="X39" i="4" s="1"/>
  <c r="Y39" i="4" a="1"/>
  <c r="Y39" i="4" s="1"/>
  <c r="Z39" i="4" a="1"/>
  <c r="Z39" i="4" s="1"/>
  <c r="AA39" i="4" a="1"/>
  <c r="AA39" i="4" s="1"/>
  <c r="AB39" i="4" a="1"/>
  <c r="AB39" i="4" s="1"/>
  <c r="AC39" i="4" a="1"/>
  <c r="AC39" i="4" s="1"/>
  <c r="AD39" i="4" a="1"/>
  <c r="AD39" i="4" s="1"/>
  <c r="E39" i="5" a="1"/>
  <c r="E39" i="5" s="1"/>
  <c r="F39" i="5" a="1"/>
  <c r="F39" i="5" s="1"/>
  <c r="G39" i="5" a="1"/>
  <c r="G39" i="5" s="1"/>
  <c r="H39" i="5" a="1"/>
  <c r="H39" i="5" s="1"/>
  <c r="I39" i="5" a="1"/>
  <c r="I39" i="5" s="1"/>
  <c r="J39" i="5" a="1"/>
  <c r="J39" i="5" s="1"/>
  <c r="K39" i="5" a="1"/>
  <c r="K39" i="5" s="1"/>
  <c r="L39" i="5" a="1"/>
  <c r="L39" i="5" s="1"/>
  <c r="M39" i="5" a="1"/>
  <c r="M39" i="5" s="1"/>
  <c r="N39" i="5" a="1"/>
  <c r="N39" i="5" s="1"/>
  <c r="O39" i="5" a="1"/>
  <c r="O39" i="5" s="1"/>
  <c r="P39" i="5" a="1"/>
  <c r="P39" i="5" s="1"/>
  <c r="Q39" i="5" a="1"/>
  <c r="Q39" i="5" s="1"/>
  <c r="R39" i="5" a="1"/>
  <c r="R39" i="5" s="1"/>
  <c r="S39" i="5" a="1"/>
  <c r="S39" i="5" s="1"/>
  <c r="T39" i="5" a="1"/>
  <c r="T39" i="5" s="1"/>
  <c r="U39" i="5" a="1"/>
  <c r="U39" i="5" s="1"/>
  <c r="V39" i="5" a="1"/>
  <c r="V39" i="5" s="1"/>
  <c r="W39" i="5" a="1"/>
  <c r="W39" i="5" s="1"/>
  <c r="X39" i="5" a="1"/>
  <c r="X39" i="5" s="1"/>
  <c r="Y39" i="5" a="1"/>
  <c r="Y39" i="5" s="1"/>
  <c r="Z39" i="5" a="1"/>
  <c r="Z39" i="5" s="1"/>
  <c r="AA39" i="5" a="1"/>
  <c r="AA39" i="5" s="1"/>
  <c r="AB39" i="5" a="1"/>
  <c r="AB39" i="5" s="1"/>
  <c r="AC39" i="5" a="1"/>
  <c r="AC39" i="5" s="1"/>
  <c r="AD39" i="5" a="1"/>
  <c r="AD39" i="5" s="1"/>
  <c r="E39" i="6" a="1"/>
  <c r="E39" i="6" s="1"/>
  <c r="F39" i="6" a="1"/>
  <c r="F39" i="6" s="1"/>
  <c r="G39" i="6" a="1"/>
  <c r="G39" i="6" s="1"/>
  <c r="H39" i="6" a="1"/>
  <c r="H39" i="6" s="1"/>
  <c r="I39" i="6" a="1"/>
  <c r="I39" i="6" s="1"/>
  <c r="J39" i="6" a="1"/>
  <c r="J39" i="6" s="1"/>
  <c r="K39" i="6" a="1"/>
  <c r="K39" i="6" s="1"/>
  <c r="L39" i="6" a="1"/>
  <c r="L39" i="6" s="1"/>
  <c r="M39" i="6" a="1"/>
  <c r="M39" i="6" s="1"/>
  <c r="N39" i="6" a="1"/>
  <c r="N39" i="6" s="1"/>
  <c r="O39" i="6" a="1"/>
  <c r="O39" i="6" s="1"/>
  <c r="P39" i="6" a="1"/>
  <c r="P39" i="6" s="1"/>
  <c r="Q39" i="6" a="1"/>
  <c r="Q39" i="6" s="1"/>
  <c r="R39" i="6" a="1"/>
  <c r="R39" i="6" s="1"/>
  <c r="S39" i="6" a="1"/>
  <c r="S39" i="6" s="1"/>
  <c r="T39" i="6" a="1"/>
  <c r="T39" i="6" s="1"/>
  <c r="U39" i="6" a="1"/>
  <c r="U39" i="6" s="1"/>
  <c r="V39" i="6" a="1"/>
  <c r="V39" i="6" s="1"/>
  <c r="W39" i="6" a="1"/>
  <c r="W39" i="6" s="1"/>
  <c r="X39" i="6" a="1"/>
  <c r="X39" i="6" s="1"/>
  <c r="Y39" i="6" a="1"/>
  <c r="Y39" i="6" s="1"/>
  <c r="Z39" i="6" a="1"/>
  <c r="Z39" i="6" s="1"/>
  <c r="AA39" i="6" a="1"/>
  <c r="AA39" i="6" s="1"/>
  <c r="AB39" i="6" a="1"/>
  <c r="AB39" i="6" s="1"/>
  <c r="AC39" i="6" a="1"/>
  <c r="AC39" i="6" s="1"/>
  <c r="AD39" i="6" a="1"/>
  <c r="AD39" i="6" s="1"/>
  <c r="E39" i="7" a="1"/>
  <c r="E39" i="7" s="1"/>
  <c r="F39" i="7" a="1"/>
  <c r="F39" i="7" s="1"/>
  <c r="G39" i="7" a="1"/>
  <c r="G39" i="7" s="1"/>
  <c r="H39" i="7" a="1"/>
  <c r="H39" i="7" s="1"/>
  <c r="I39" i="7" a="1"/>
  <c r="I39" i="7" s="1"/>
  <c r="J39" i="7" a="1"/>
  <c r="J39" i="7" s="1"/>
  <c r="K39" i="7" a="1"/>
  <c r="K39" i="7" s="1"/>
  <c r="L39" i="7" a="1"/>
  <c r="L39" i="7" s="1"/>
  <c r="M39" i="7" a="1"/>
  <c r="M39" i="7" s="1"/>
  <c r="N39" i="7" a="1"/>
  <c r="N39" i="7" s="1"/>
  <c r="O39" i="7" a="1"/>
  <c r="O39" i="7" s="1"/>
  <c r="P39" i="7" a="1"/>
  <c r="P39" i="7" s="1"/>
  <c r="Q39" i="7" a="1"/>
  <c r="Q39" i="7" s="1"/>
  <c r="R39" i="7" a="1"/>
  <c r="R39" i="7" s="1"/>
  <c r="S39" i="7" a="1"/>
  <c r="S39" i="7" s="1"/>
  <c r="T39" i="7" a="1"/>
  <c r="T39" i="7" s="1"/>
  <c r="U39" i="7" a="1"/>
  <c r="U39" i="7" s="1"/>
  <c r="V39" i="7" a="1"/>
  <c r="V39" i="7" s="1"/>
  <c r="W39" i="7" a="1"/>
  <c r="W39" i="7" s="1"/>
  <c r="X39" i="7" a="1"/>
  <c r="X39" i="7" s="1"/>
  <c r="Y39" i="7" a="1"/>
  <c r="Y39" i="7" s="1"/>
  <c r="Z39" i="7" a="1"/>
  <c r="Z39" i="7" s="1"/>
  <c r="AA39" i="7" a="1"/>
  <c r="AA39" i="7" s="1"/>
  <c r="AB39" i="7" a="1"/>
  <c r="AB39" i="7" s="1"/>
  <c r="AC39" i="7" a="1"/>
  <c r="AC39" i="7" s="1"/>
  <c r="AD39" i="7" a="1"/>
  <c r="AD39" i="7" s="1"/>
  <c r="E39" i="8" a="1"/>
  <c r="E39" i="8" s="1"/>
  <c r="F39" i="8" a="1"/>
  <c r="F39" i="8" s="1"/>
  <c r="G39" i="8" a="1"/>
  <c r="G39" i="8" s="1"/>
  <c r="H39" i="8" a="1"/>
  <c r="H39" i="8" s="1"/>
  <c r="I39" i="8" a="1"/>
  <c r="I39" i="8" s="1"/>
  <c r="J39" i="8" a="1"/>
  <c r="J39" i="8" s="1"/>
  <c r="K39" i="8" a="1"/>
  <c r="K39" i="8" s="1"/>
  <c r="L39" i="8" a="1"/>
  <c r="L39" i="8" s="1"/>
  <c r="M39" i="8" a="1"/>
  <c r="M39" i="8" s="1"/>
  <c r="N39" i="8" a="1"/>
  <c r="N39" i="8" s="1"/>
  <c r="O39" i="8" a="1"/>
  <c r="O39" i="8" s="1"/>
  <c r="P39" i="8" a="1"/>
  <c r="P39" i="8" s="1"/>
  <c r="Q39" i="8" a="1"/>
  <c r="Q39" i="8" s="1"/>
  <c r="R39" i="8" a="1"/>
  <c r="R39" i="8" s="1"/>
  <c r="S39" i="8" a="1"/>
  <c r="S39" i="8" s="1"/>
  <c r="T39" i="8" a="1"/>
  <c r="T39" i="8" s="1"/>
  <c r="U39" i="8" a="1"/>
  <c r="U39" i="8" s="1"/>
  <c r="V39" i="8" a="1"/>
  <c r="V39" i="8" s="1"/>
  <c r="W39" i="8" a="1"/>
  <c r="W39" i="8" s="1"/>
  <c r="X39" i="8" a="1"/>
  <c r="X39" i="8" s="1"/>
  <c r="Y39" i="8" a="1"/>
  <c r="Y39" i="8" s="1"/>
  <c r="Z39" i="8" a="1"/>
  <c r="Z39" i="8" s="1"/>
  <c r="AA39" i="8" a="1"/>
  <c r="AA39" i="8" s="1"/>
  <c r="AB39" i="8" a="1"/>
  <c r="AB39" i="8" s="1"/>
  <c r="AC39" i="8" a="1"/>
  <c r="AC39" i="8" s="1"/>
  <c r="AD39" i="8" a="1"/>
  <c r="AD39" i="8" s="1"/>
  <c r="E39" i="9" a="1"/>
  <c r="E39" i="9" s="1"/>
  <c r="F39" i="9" a="1"/>
  <c r="F39" i="9" s="1"/>
  <c r="G39" i="9" a="1"/>
  <c r="G39" i="9" s="1"/>
  <c r="H39" i="9" a="1"/>
  <c r="H39" i="9" s="1"/>
  <c r="I39" i="9" a="1"/>
  <c r="I39" i="9" s="1"/>
  <c r="J39" i="9" a="1"/>
  <c r="J39" i="9" s="1"/>
  <c r="K39" i="9" a="1"/>
  <c r="K39" i="9" s="1"/>
  <c r="L39" i="9" a="1"/>
  <c r="L39" i="9" s="1"/>
  <c r="M39" i="9" a="1"/>
  <c r="M39" i="9" s="1"/>
  <c r="N39" i="9" a="1"/>
  <c r="N39" i="9" s="1"/>
  <c r="O39" i="9" a="1"/>
  <c r="O39" i="9" s="1"/>
  <c r="P39" i="9" a="1"/>
  <c r="P39" i="9" s="1"/>
  <c r="Q39" i="9" a="1"/>
  <c r="Q39" i="9" s="1"/>
  <c r="R39" i="9" a="1"/>
  <c r="R39" i="9" s="1"/>
  <c r="S39" i="9" a="1"/>
  <c r="S39" i="9" s="1"/>
  <c r="T39" i="9" a="1"/>
  <c r="T39" i="9" s="1"/>
  <c r="U39" i="9" a="1"/>
  <c r="U39" i="9" s="1"/>
  <c r="V39" i="9" a="1"/>
  <c r="V39" i="9" s="1"/>
  <c r="W39" i="9" a="1"/>
  <c r="W39" i="9" s="1"/>
  <c r="X39" i="9" a="1"/>
  <c r="X39" i="9" s="1"/>
  <c r="Y39" i="9" a="1"/>
  <c r="Y39" i="9" s="1"/>
  <c r="Z39" i="9" a="1"/>
  <c r="Z39" i="9" s="1"/>
  <c r="AA39" i="9" a="1"/>
  <c r="AA39" i="9" s="1"/>
  <c r="AB39" i="9" a="1"/>
  <c r="AB39" i="9" s="1"/>
  <c r="AC39" i="9" a="1"/>
  <c r="AC39" i="9" s="1"/>
  <c r="AD39" i="9" a="1"/>
  <c r="AD39" i="9" s="1"/>
  <c r="E39" i="10" a="1"/>
  <c r="E39" i="10" s="1"/>
  <c r="F39" i="10" a="1"/>
  <c r="F39" i="10" s="1"/>
  <c r="G39" i="10" a="1"/>
  <c r="G39" i="10" s="1"/>
  <c r="H39" i="10" a="1"/>
  <c r="H39" i="10" s="1"/>
  <c r="I39" i="10" a="1"/>
  <c r="I39" i="10" s="1"/>
  <c r="J39" i="10" a="1"/>
  <c r="J39" i="10" s="1"/>
  <c r="K39" i="10" a="1"/>
  <c r="K39" i="10" s="1"/>
  <c r="L39" i="10" a="1"/>
  <c r="L39" i="10" s="1"/>
  <c r="M39" i="10" a="1"/>
  <c r="M39" i="10" s="1"/>
  <c r="N39" i="10" a="1"/>
  <c r="N39" i="10" s="1"/>
  <c r="O39" i="10" a="1"/>
  <c r="O39" i="10" s="1"/>
  <c r="P39" i="10" a="1"/>
  <c r="P39" i="10" s="1"/>
  <c r="Q39" i="10" a="1"/>
  <c r="Q39" i="10" s="1"/>
  <c r="R39" i="10" a="1"/>
  <c r="R39" i="10" s="1"/>
  <c r="S39" i="10" a="1"/>
  <c r="S39" i="10" s="1"/>
  <c r="T39" i="10" a="1"/>
  <c r="T39" i="10" s="1"/>
  <c r="U39" i="10" a="1"/>
  <c r="U39" i="10" s="1"/>
  <c r="V39" i="10" a="1"/>
  <c r="V39" i="10" s="1"/>
  <c r="W39" i="10" a="1"/>
  <c r="W39" i="10" s="1"/>
  <c r="X39" i="10" a="1"/>
  <c r="X39" i="10" s="1"/>
  <c r="Y39" i="10" a="1"/>
  <c r="Y39" i="10" s="1"/>
  <c r="Z39" i="10" a="1"/>
  <c r="Z39" i="10" s="1"/>
  <c r="AA39" i="10" a="1"/>
  <c r="AA39" i="10" s="1"/>
  <c r="AB39" i="10" a="1"/>
  <c r="AB39" i="10" s="1"/>
  <c r="AC39" i="10" a="1"/>
  <c r="AC39" i="10" s="1"/>
  <c r="AD39" i="10" a="1"/>
  <c r="AD39" i="10" s="1"/>
  <c r="E39" i="11" a="1"/>
  <c r="E39" i="11" s="1"/>
  <c r="F39" i="11" a="1"/>
  <c r="F39" i="11" s="1"/>
  <c r="G39" i="11" a="1"/>
  <c r="G39" i="11" s="1"/>
  <c r="H39" i="11" a="1"/>
  <c r="H39" i="11" s="1"/>
  <c r="I39" i="11" a="1"/>
  <c r="I39" i="11" s="1"/>
  <c r="J39" i="11" a="1"/>
  <c r="J39" i="11" s="1"/>
  <c r="K39" i="11" a="1"/>
  <c r="K39" i="11" s="1"/>
  <c r="L39" i="11" a="1"/>
  <c r="L39" i="11" s="1"/>
  <c r="M39" i="11" a="1"/>
  <c r="M39" i="11" s="1"/>
  <c r="N39" i="11" a="1"/>
  <c r="N39" i="11" s="1"/>
  <c r="O39" i="11" a="1"/>
  <c r="O39" i="11" s="1"/>
  <c r="P39" i="11" a="1"/>
  <c r="P39" i="11" s="1"/>
  <c r="Q39" i="11" a="1"/>
  <c r="Q39" i="11" s="1"/>
  <c r="R39" i="11" a="1"/>
  <c r="R39" i="11" s="1"/>
  <c r="S39" i="11" a="1"/>
  <c r="S39" i="11" s="1"/>
  <c r="T39" i="11" a="1"/>
  <c r="T39" i="11" s="1"/>
  <c r="U39" i="11" a="1"/>
  <c r="U39" i="11" s="1"/>
  <c r="V39" i="11" a="1"/>
  <c r="V39" i="11" s="1"/>
  <c r="W39" i="11" a="1"/>
  <c r="W39" i="11" s="1"/>
  <c r="X39" i="11" a="1"/>
  <c r="X39" i="11" s="1"/>
  <c r="Y39" i="11" a="1"/>
  <c r="Y39" i="11" s="1"/>
  <c r="Z39" i="11" a="1"/>
  <c r="Z39" i="11" s="1"/>
  <c r="AA39" i="11" a="1"/>
  <c r="AA39" i="11" s="1"/>
  <c r="AB39" i="11" a="1"/>
  <c r="AB39" i="11" s="1"/>
  <c r="AC39" i="11" a="1"/>
  <c r="AC39" i="11" s="1"/>
  <c r="AD39" i="11" a="1"/>
  <c r="AD39" i="11" s="1"/>
  <c r="E39" i="12" a="1"/>
  <c r="E39" i="12" s="1"/>
  <c r="F39" i="12" a="1"/>
  <c r="F39" i="12" s="1"/>
  <c r="G39" i="12" a="1"/>
  <c r="G39" i="12" s="1"/>
  <c r="H39" i="12" a="1"/>
  <c r="H39" i="12" s="1"/>
  <c r="I39" i="12" a="1"/>
  <c r="I39" i="12" s="1"/>
  <c r="J39" i="12" a="1"/>
  <c r="J39" i="12" s="1"/>
  <c r="K39" i="12" a="1"/>
  <c r="K39" i="12" s="1"/>
  <c r="L39" i="12" a="1"/>
  <c r="L39" i="12" s="1"/>
  <c r="M39" i="12" a="1"/>
  <c r="M39" i="12" s="1"/>
  <c r="N39" i="12" a="1"/>
  <c r="N39" i="12" s="1"/>
  <c r="O39" i="12" a="1"/>
  <c r="O39" i="12" s="1"/>
  <c r="P39" i="12" a="1"/>
  <c r="P39" i="12" s="1"/>
  <c r="Q39" i="12" a="1"/>
  <c r="Q39" i="12" s="1"/>
  <c r="R39" i="12" a="1"/>
  <c r="R39" i="12" s="1"/>
  <c r="S39" i="12" a="1"/>
  <c r="S39" i="12" s="1"/>
  <c r="T39" i="12" a="1"/>
  <c r="T39" i="12" s="1"/>
  <c r="U39" i="12" a="1"/>
  <c r="U39" i="12" s="1"/>
  <c r="V39" i="12" a="1"/>
  <c r="V39" i="12" s="1"/>
  <c r="W39" i="12" a="1"/>
  <c r="W39" i="12" s="1"/>
  <c r="X39" i="12" a="1"/>
  <c r="X39" i="12" s="1"/>
  <c r="Y39" i="12" a="1"/>
  <c r="Y39" i="12" s="1"/>
  <c r="Z39" i="12" a="1"/>
  <c r="Z39" i="12" s="1"/>
  <c r="AA39" i="12" a="1"/>
  <c r="AA39" i="12" s="1"/>
  <c r="AB39" i="12" a="1"/>
  <c r="AB39" i="12" s="1"/>
  <c r="AC39" i="12" a="1"/>
  <c r="AC39" i="12" s="1"/>
  <c r="AD39" i="12" a="1"/>
  <c r="AD39" i="12" s="1"/>
  <c r="E39" i="13" a="1"/>
  <c r="E39" i="13" s="1"/>
  <c r="F39" i="13" a="1"/>
  <c r="F39" i="13" s="1"/>
  <c r="G39" i="13" a="1"/>
  <c r="G39" i="13" s="1"/>
  <c r="H39" i="13" a="1"/>
  <c r="H39" i="13" s="1"/>
  <c r="I39" i="13" a="1"/>
  <c r="I39" i="13" s="1"/>
  <c r="J39" i="13" a="1"/>
  <c r="J39" i="13" s="1"/>
  <c r="K39" i="13" a="1"/>
  <c r="K39" i="13" s="1"/>
  <c r="L39" i="13" a="1"/>
  <c r="L39" i="13" s="1"/>
  <c r="M39" i="13" a="1"/>
  <c r="M39" i="13" s="1"/>
  <c r="N39" i="13" a="1"/>
  <c r="N39" i="13" s="1"/>
  <c r="O39" i="13" a="1"/>
  <c r="O39" i="13" s="1"/>
  <c r="P39" i="13" a="1"/>
  <c r="P39" i="13" s="1"/>
  <c r="Q39" i="13" a="1"/>
  <c r="Q39" i="13" s="1"/>
  <c r="R39" i="13" a="1"/>
  <c r="R39" i="13" s="1"/>
  <c r="S39" i="13" a="1"/>
  <c r="S39" i="13" s="1"/>
  <c r="T39" i="13" a="1"/>
  <c r="T39" i="13" s="1"/>
  <c r="U39" i="13" a="1"/>
  <c r="U39" i="13" s="1"/>
  <c r="V39" i="13" a="1"/>
  <c r="V39" i="13" s="1"/>
  <c r="W39" i="13" a="1"/>
  <c r="W39" i="13" s="1"/>
  <c r="X39" i="13" a="1"/>
  <c r="X39" i="13" s="1"/>
  <c r="Y39" i="13" a="1"/>
  <c r="Y39" i="13" s="1"/>
  <c r="Z39" i="13" a="1"/>
  <c r="Z39" i="13" s="1"/>
  <c r="AA39" i="13" a="1"/>
  <c r="AA39" i="13" s="1"/>
  <c r="AB39" i="13" a="1"/>
  <c r="AB39" i="13" s="1"/>
  <c r="AC39" i="13" a="1"/>
  <c r="AC39" i="13" s="1"/>
  <c r="AD39" i="13" a="1"/>
  <c r="AD39" i="13" s="1"/>
  <c r="E39" i="14" a="1"/>
  <c r="E39" i="14" s="1"/>
  <c r="F39" i="14" a="1"/>
  <c r="F39" i="14" s="1"/>
  <c r="G39" i="14" a="1"/>
  <c r="G39" i="14" s="1"/>
  <c r="H39" i="14" a="1"/>
  <c r="H39" i="14" s="1"/>
  <c r="I39" i="14" a="1"/>
  <c r="I39" i="14" s="1"/>
  <c r="J39" i="14" a="1"/>
  <c r="J39" i="14" s="1"/>
  <c r="K39" i="14" a="1"/>
  <c r="K39" i="14" s="1"/>
  <c r="L39" i="14" a="1"/>
  <c r="L39" i="14" s="1"/>
  <c r="M39" i="14" a="1"/>
  <c r="M39" i="14" s="1"/>
  <c r="N39" i="14" a="1"/>
  <c r="N39" i="14" s="1"/>
  <c r="O39" i="14" a="1"/>
  <c r="O39" i="14" s="1"/>
  <c r="P39" i="14" a="1"/>
  <c r="P39" i="14" s="1"/>
  <c r="Q39" i="14" a="1"/>
  <c r="Q39" i="14" s="1"/>
  <c r="R39" i="14" a="1"/>
  <c r="R39" i="14" s="1"/>
  <c r="S39" i="14" a="1"/>
  <c r="S39" i="14" s="1"/>
  <c r="T39" i="14" a="1"/>
  <c r="T39" i="14" s="1"/>
  <c r="U39" i="14" a="1"/>
  <c r="U39" i="14" s="1"/>
  <c r="V39" i="14" a="1"/>
  <c r="V39" i="14" s="1"/>
  <c r="W39" i="14" a="1"/>
  <c r="W39" i="14" s="1"/>
  <c r="X39" i="14" a="1"/>
  <c r="X39" i="14" s="1"/>
  <c r="Y39" i="14" a="1"/>
  <c r="Y39" i="14" s="1"/>
  <c r="Z39" i="14" a="1"/>
  <c r="Z39" i="14" s="1"/>
  <c r="AA39" i="14" a="1"/>
  <c r="AA39" i="14" s="1"/>
  <c r="AB39" i="14" a="1"/>
  <c r="AB39" i="14" s="1"/>
  <c r="AC39" i="14" a="1"/>
  <c r="AC39" i="14" s="1"/>
  <c r="AD39" i="14" a="1"/>
  <c r="AD39" i="14" s="1"/>
  <c r="E39" i="1" a="1"/>
  <c r="E39" i="1" s="1"/>
  <c r="F39" i="1" a="1"/>
  <c r="F39" i="1" s="1"/>
  <c r="G39" i="1" a="1"/>
  <c r="G39" i="1" s="1"/>
  <c r="H39" i="1" a="1"/>
  <c r="H39" i="1" s="1"/>
  <c r="I39" i="1" a="1"/>
  <c r="I39" i="1" s="1"/>
  <c r="J39" i="1" a="1"/>
  <c r="J39" i="1" s="1"/>
  <c r="K39" i="1" a="1"/>
  <c r="K39" i="1" s="1"/>
  <c r="L39" i="1" a="1"/>
  <c r="L39" i="1" s="1"/>
  <c r="M39" i="1" a="1"/>
  <c r="M39" i="1" s="1"/>
  <c r="N39" i="1" a="1"/>
  <c r="N39" i="1" s="1"/>
  <c r="O39" i="1" a="1"/>
  <c r="O39" i="1" s="1"/>
  <c r="P39" i="1" a="1"/>
  <c r="P39" i="1" s="1"/>
  <c r="Q39" i="1" a="1"/>
  <c r="Q39" i="1" s="1"/>
  <c r="R39" i="1" a="1"/>
  <c r="R39" i="1" s="1"/>
  <c r="S39" i="1" a="1"/>
  <c r="S39" i="1" s="1"/>
  <c r="T39" i="1" a="1"/>
  <c r="T39" i="1" s="1"/>
  <c r="U39" i="1" a="1"/>
  <c r="U39" i="1" s="1"/>
  <c r="V39" i="1" a="1"/>
  <c r="V39" i="1" s="1"/>
  <c r="W39" i="1" a="1"/>
  <c r="W39" i="1" s="1"/>
  <c r="X39" i="1" a="1"/>
  <c r="X39" i="1" s="1"/>
  <c r="Y39" i="1" a="1"/>
  <c r="Y39" i="1" s="1"/>
  <c r="Z39" i="1" a="1"/>
  <c r="Z39" i="1" s="1"/>
  <c r="AA39" i="1" a="1"/>
  <c r="AA39" i="1" s="1"/>
  <c r="AB39" i="1" a="1"/>
  <c r="AB39" i="1" s="1"/>
  <c r="AC39" i="1" a="1"/>
  <c r="AC39" i="1" s="1"/>
  <c r="AD39" i="1" a="1"/>
  <c r="AD39" i="1" s="1"/>
  <c r="D39" i="2" a="1"/>
  <c r="D39" i="2" s="1"/>
  <c r="D39" i="3" a="1"/>
  <c r="D39" i="3" s="1"/>
  <c r="D39" i="4" a="1"/>
  <c r="D39" i="4" s="1"/>
  <c r="D39" i="5" a="1"/>
  <c r="D39" i="5" s="1"/>
  <c r="D39" i="6" a="1"/>
  <c r="D39" i="6" s="1"/>
  <c r="D39" i="7" a="1"/>
  <c r="D39" i="7" s="1"/>
  <c r="D39" i="8" a="1"/>
  <c r="D39" i="8" s="1"/>
  <c r="D39" i="9" a="1"/>
  <c r="D39" i="9" s="1"/>
  <c r="D39" i="10" a="1"/>
  <c r="D39" i="10" s="1"/>
  <c r="D39" i="11" a="1"/>
  <c r="D39" i="11" s="1"/>
  <c r="D39" i="12" a="1"/>
  <c r="D39" i="12" s="1"/>
  <c r="D39" i="13" a="1"/>
  <c r="D39" i="13" s="1"/>
  <c r="D39" i="14" a="1"/>
  <c r="D39" i="14" s="1"/>
  <c r="D39" i="1" a="1"/>
  <c r="D39" i="1" s="1"/>
  <c r="AE39" i="13" l="1" a="1"/>
  <c r="AE39" i="13" s="1"/>
  <c r="AE39" i="2" a="1"/>
  <c r="AE39" i="2" s="1"/>
  <c r="AE39" i="1" a="1"/>
  <c r="AE39" i="1" s="1"/>
  <c r="AE39" i="9" a="1"/>
  <c r="AE39" i="9" s="1"/>
  <c r="AE39" i="7" a="1"/>
  <c r="AE39" i="7" s="1"/>
  <c r="AE39" i="4" a="1"/>
  <c r="AE39" i="4" s="1"/>
  <c r="AE39" i="3" a="1"/>
  <c r="AE39" i="3" s="1"/>
  <c r="AE39" i="5" a="1"/>
  <c r="AE39" i="5" s="1"/>
  <c r="AE39" i="12" a="1"/>
  <c r="AE39" i="12" s="1"/>
  <c r="AE39" i="10" a="1"/>
  <c r="AE39" i="10" s="1"/>
  <c r="AE39" i="8" a="1"/>
  <c r="AE39" i="8" s="1"/>
  <c r="AE39" i="14" a="1"/>
  <c r="AE39" i="14" s="1"/>
  <c r="AE39" i="6" a="1"/>
  <c r="AE39" i="6" s="1"/>
  <c r="AE39" i="11" a="1"/>
  <c r="AE39" i="1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<sst xmlns="http://schemas.openxmlformats.org/spreadsheetml/2006/main" count="2198" uniqueCount="78">
  <si>
    <t>units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</si>
  <si>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</si>
  <si>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</si>
  <si>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</si>
  <si>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</si>
  <si>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</si>
  <si>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</si>
  <si>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</si>
  <si>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</si>
  <si>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</si>
  <si>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</si>
  <si>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</si>
  <si>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</si>
  <si>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</si>
  <si>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</si>
  <si>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</si>
  <si>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</si>
  <si>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</si>
  <si>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</si>
  <si>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</si>
  <si>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</si>
  <si>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</si>
  <si>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</si>
  <si>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</si>
  <si>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</si>
  <si>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</si>
  <si>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</si>
  <si>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</si>
  <si>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Growth (2024-2050)</t>
  </si>
  <si>
    <t>Generation by Fuel Type</t>
  </si>
  <si>
    <t>Coal</t>
  </si>
  <si>
    <t>BkWh</t>
  </si>
  <si>
    <t>Petroleum</t>
  </si>
  <si>
    <t>Natural Gas</t>
  </si>
  <si>
    <t>Nuclear</t>
  </si>
  <si>
    <t>Pumped Storage and Other</t>
  </si>
  <si>
    <t>Hydrogen</t>
  </si>
  <si>
    <t>Conventional Hydroelectric Power</t>
  </si>
  <si>
    <t>Geothermal</t>
  </si>
  <si>
    <t>Biogenic Municipal Waste</t>
  </si>
  <si>
    <t>Wood and Other Biomass</t>
  </si>
  <si>
    <t>Solar Thermal</t>
  </si>
  <si>
    <t>Solar Photovoltaic</t>
  </si>
  <si>
    <t>Onshore Wind</t>
  </si>
  <si>
    <t>Offshore Wind</t>
  </si>
  <si>
    <t>Distributed Generation</t>
  </si>
  <si>
    <t>Total Generation</t>
  </si>
  <si>
    <t>Residential</t>
  </si>
  <si>
    <t>2024 cents/kWh</t>
  </si>
  <si>
    <t>Commercial</t>
  </si>
  <si>
    <t>Industrial</t>
  </si>
  <si>
    <t>Transportation</t>
  </si>
  <si>
    <t>All Sectors Average</t>
  </si>
  <si>
    <t>nom cents/kWh</t>
  </si>
  <si>
    <t>Generation</t>
  </si>
  <si>
    <t>Transmission</t>
  </si>
  <si>
    <t>Distribution</t>
  </si>
  <si>
    <t>Emissions from the Electric Power Sector</t>
  </si>
  <si>
    <t>Total Carbon (million short tons)</t>
  </si>
  <si>
    <t>MMst</t>
  </si>
  <si>
    <t>Carbon Dioxide (million short tons)</t>
  </si>
  <si>
    <t>Sulfur Dioxide (million short tons)</t>
  </si>
  <si>
    <t>Nitrogen Oxide (million short tons)</t>
  </si>
  <si>
    <t>Mercury (short tons)</t>
  </si>
  <si>
    <t>st</t>
  </si>
  <si>
    <t>Emissions from the Electric Power Sector per kWh</t>
  </si>
  <si>
    <t xml:space="preserve">Total Carbon </t>
  </si>
  <si>
    <t>Carbon Dioxide</t>
  </si>
  <si>
    <t>Sulfur Dioxide</t>
  </si>
  <si>
    <t>Nitrogen Oxide</t>
  </si>
  <si>
    <t xml:space="preserve">Mercury </t>
  </si>
  <si>
    <t>g/kWh</t>
  </si>
  <si>
    <t>Category</t>
  </si>
  <si>
    <t>Description</t>
  </si>
  <si>
    <t>End-Use Prices - Nominal Cents/kWh</t>
  </si>
  <si>
    <t>End-Use Prices - 2024 Cents/kWh</t>
  </si>
  <si>
    <t>Prices by Service Category  - 2024 Cents/kWh</t>
  </si>
  <si>
    <t>Prices by Service Category - Nominal Cents/kWh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</si>
</sst>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">
    <xf numFmtId="0" fontId="0" fillId="0" borderId="0" xfId="0"/>
    <xf numFmtId="0" fontId="3" fillId="0" borderId="1" xfId="0" applyFont="1" applyBorder="1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0" xfId="1" applyNumberFormat="1" applyFont="1"/>
    <xf numFmtId="0" fontId="0" fillId="0" borderId="0" xfId="0" applyFont="1"/>
    <xf numFmtId="0" fontId="4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43"/>
  <sheetViews>
    <sheetView tabSelected="1" zoomScale="55" zoomScaleNormal="55" workbookViewId="0">
      <selection sqref="A1:A1048576"/>
    </sheetView>
  </sheetViews>
  <sheetFormatPr defaultRowHeight="15" x14ac:dyDescent="0.25"/>
  <cols>
    <col min="1" max="1" width="50.28515625" bestFit="1" customWidth="1"/>
    <col min="2" max="2" width="35.7109375" bestFit="1" customWidth="1"/>
    <col min="3" max="3" width="17.5703125" bestFit="1" customWidth="1"/>
    <col min="4" max="30" width="16" bestFit="1" customWidth="1"/>
    <col min="31" max="31" width="27.42578125" bestFit="1" customWidth="1"/>
  </cols>
  <sheetData>
    <row r="1" spans="1:31" s="3" customFormat="1" ht="15.75" thickBot="1" x14ac:dyDescent="0.3">
      <c r="A1" s="3" t="s">
        <v>72</v>
      </c>
      <c r="B1" s="1" t="s">
        <v>73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</row>
    <row r="2" spans="1:31" ht="15.75" thickTop="1" x14ac:dyDescent="0.25">
      <c r="A2" t="s">
        <v>29</v>
      </c>
      <c r="B2" t="s">
        <v>30</v>
      </c>
      <c r="C2" t="s">
        <v>31</v>
      </c>
      <c r="D2">
        <v>11.897519000000001</v>
      </c>
      <c r="E2">
        <v>9.9965609999999998</v>
      </c>
      <c r="F2">
        <v>6.366098</v>
      </c>
      <c r="G2">
        <v>5.9735050000000003</v>
      </c>
      <c r="H2">
        <v>6.5687129999999998</v>
      </c>
      <c r="I2">
        <v>6.407851</v>
      </c>
      <c r="J2">
        <v>1.238504</v>
      </c>
      <c r="K2">
        <v>1.244324</v>
      </c>
      <c r="L2">
        <v>6.2526999999999999E-2</v>
      </c>
      <c r="M2">
        <v>6.2526999999999999E-2</v>
      </c>
      <c r="N2">
        <v>6.2518000000000004E-2</v>
      </c>
      <c r="O2">
        <v>6.2532000000000004E-2</v>
      </c>
      <c r="P2">
        <v>6.2538999999999997E-2</v>
      </c>
      <c r="Q2">
        <v>6.2518000000000004E-2</v>
      </c>
      <c r="R2">
        <v>6.2518000000000004E-2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 s="4" cm="1">
        <f t="array" ref="AE2:AE17">(AD2:AD17-D2:D17)/D2:D17</f>
        <v>-1</v>
      </c>
    </row>
    <row r="3" spans="1:31" x14ac:dyDescent="0.25">
      <c r="A3" t="s">
        <v>29</v>
      </c>
      <c r="B3" t="s">
        <v>32</v>
      </c>
      <c r="C3" t="s">
        <v>31</v>
      </c>
      <c r="D3">
        <v>0.34604200000000002</v>
      </c>
      <c r="E3">
        <v>0.33889999999999998</v>
      </c>
      <c r="F3">
        <v>0.31778099999999998</v>
      </c>
      <c r="G3">
        <v>0.27354800000000001</v>
      </c>
      <c r="H3">
        <v>0.20233400000000001</v>
      </c>
      <c r="I3">
        <v>0.18302399999999999</v>
      </c>
      <c r="J3">
        <v>0.16134499999999999</v>
      </c>
      <c r="K3">
        <v>0.15878200000000001</v>
      </c>
      <c r="L3">
        <v>0.143037</v>
      </c>
      <c r="M3">
        <v>0.10956200000000001</v>
      </c>
      <c r="N3">
        <v>0.10956200000000001</v>
      </c>
      <c r="O3">
        <v>9.2303999999999997E-2</v>
      </c>
      <c r="P3">
        <v>9.2303999999999997E-2</v>
      </c>
      <c r="Q3">
        <v>4.3410999999999998E-2</v>
      </c>
      <c r="R3">
        <v>4.3410999999999998E-2</v>
      </c>
      <c r="S3">
        <v>4.3410999999999998E-2</v>
      </c>
      <c r="T3">
        <v>4.3410999999999998E-2</v>
      </c>
      <c r="U3">
        <v>4.3410999999999998E-2</v>
      </c>
      <c r="V3">
        <v>1.967E-3</v>
      </c>
      <c r="W3">
        <v>1.967E-3</v>
      </c>
      <c r="X3">
        <v>1.967E-3</v>
      </c>
      <c r="Y3">
        <v>1.967E-3</v>
      </c>
      <c r="Z3">
        <v>3.2899999999999997E-4</v>
      </c>
      <c r="AA3">
        <v>4.4000000000000002E-4</v>
      </c>
      <c r="AB3">
        <v>0</v>
      </c>
      <c r="AC3">
        <v>0</v>
      </c>
      <c r="AD3">
        <v>0</v>
      </c>
      <c r="AE3" s="4">
        <v>-1</v>
      </c>
    </row>
    <row r="4" spans="1:31" x14ac:dyDescent="0.25">
      <c r="A4" t="s">
        <v>29</v>
      </c>
      <c r="B4" t="s">
        <v>33</v>
      </c>
      <c r="C4" t="s">
        <v>31</v>
      </c>
      <c r="D4">
        <v>181.233521</v>
      </c>
      <c r="E4">
        <v>180.00157200000001</v>
      </c>
      <c r="F4">
        <v>181.07154800000001</v>
      </c>
      <c r="G4">
        <v>183.04045099999999</v>
      </c>
      <c r="H4">
        <v>175.314865</v>
      </c>
      <c r="I4">
        <v>162.320221</v>
      </c>
      <c r="J4">
        <v>157.992279</v>
      </c>
      <c r="K4">
        <v>147.34716800000001</v>
      </c>
      <c r="L4">
        <v>140.31353799999999</v>
      </c>
      <c r="M4">
        <v>135.900116</v>
      </c>
      <c r="N4">
        <v>126.203079</v>
      </c>
      <c r="O4">
        <v>128.24588</v>
      </c>
      <c r="P4">
        <v>131.44136</v>
      </c>
      <c r="Q4">
        <v>129.47306800000001</v>
      </c>
      <c r="R4">
        <v>133.21270799999999</v>
      </c>
      <c r="S4">
        <v>134.68202199999999</v>
      </c>
      <c r="T4">
        <v>134.10824600000001</v>
      </c>
      <c r="U4">
        <v>129.30098000000001</v>
      </c>
      <c r="V4">
        <v>126.353821</v>
      </c>
      <c r="W4">
        <v>127.67952699999999</v>
      </c>
      <c r="X4">
        <v>122.348511</v>
      </c>
      <c r="Y4">
        <v>120.404068</v>
      </c>
      <c r="Z4">
        <v>115.191757</v>
      </c>
      <c r="AA4">
        <v>111.83777600000001</v>
      </c>
      <c r="AB4">
        <v>107.208473</v>
      </c>
      <c r="AC4">
        <v>105.111847</v>
      </c>
      <c r="AD4">
        <v>103.73691599999999</v>
      </c>
      <c r="AE4" s="4">
        <v>-0.42760635324190388</v>
      </c>
    </row>
    <row r="5" spans="1:31" x14ac:dyDescent="0.25">
      <c r="A5" t="s">
        <v>29</v>
      </c>
      <c r="B5" t="s">
        <v>34</v>
      </c>
      <c r="C5" t="s">
        <v>31</v>
      </c>
      <c r="D5">
        <v>29.492701</v>
      </c>
      <c r="E5">
        <v>29.94989</v>
      </c>
      <c r="F5">
        <v>29.881720999999999</v>
      </c>
      <c r="G5">
        <v>29.814043000000002</v>
      </c>
      <c r="H5">
        <v>29.809954000000001</v>
      </c>
      <c r="I5">
        <v>29.805243000000001</v>
      </c>
      <c r="J5">
        <v>29.805243000000001</v>
      </c>
      <c r="K5">
        <v>29.805243000000001</v>
      </c>
      <c r="L5">
        <v>29.805243000000001</v>
      </c>
      <c r="M5">
        <v>29.813548999999998</v>
      </c>
      <c r="N5">
        <v>29.813548999999998</v>
      </c>
      <c r="O5">
        <v>29.813548999999998</v>
      </c>
      <c r="P5">
        <v>29.813548999999998</v>
      </c>
      <c r="Q5">
        <v>29.813548999999998</v>
      </c>
      <c r="R5">
        <v>29.813548999999998</v>
      </c>
      <c r="S5">
        <v>29.813548999999998</v>
      </c>
      <c r="T5">
        <v>29.813548999999998</v>
      </c>
      <c r="U5">
        <v>29.813548999999998</v>
      </c>
      <c r="V5">
        <v>29.813548999999998</v>
      </c>
      <c r="W5">
        <v>29.813548999999998</v>
      </c>
      <c r="X5">
        <v>29.813548999999998</v>
      </c>
      <c r="Y5">
        <v>29.813548999999998</v>
      </c>
      <c r="Z5">
        <v>29.813548999999998</v>
      </c>
      <c r="AA5">
        <v>29.813548999999998</v>
      </c>
      <c r="AB5">
        <v>29.813548999999998</v>
      </c>
      <c r="AC5">
        <v>29.813548999999998</v>
      </c>
      <c r="AD5">
        <v>29.813548999999998</v>
      </c>
      <c r="AE5" s="4">
        <v>1.0878895086618144E-2</v>
      </c>
    </row>
    <row r="6" spans="1:31" x14ac:dyDescent="0.25">
      <c r="A6" t="s">
        <v>29</v>
      </c>
      <c r="B6" t="s">
        <v>35</v>
      </c>
      <c r="C6" t="s">
        <v>31</v>
      </c>
      <c r="D6">
        <v>1.1181460000000001</v>
      </c>
      <c r="E6">
        <v>1.1101540000000001</v>
      </c>
      <c r="F6">
        <v>1.1069599999999999</v>
      </c>
      <c r="G6">
        <v>1.1066860000000001</v>
      </c>
      <c r="H6">
        <v>1.0972839999999999</v>
      </c>
      <c r="I6">
        <v>1.0899110000000001</v>
      </c>
      <c r="J6">
        <v>1.0818239999999999</v>
      </c>
      <c r="K6">
        <v>1.0818909999999999</v>
      </c>
      <c r="L6">
        <v>0.47086299999999998</v>
      </c>
      <c r="M6">
        <v>0.45767799999999997</v>
      </c>
      <c r="N6">
        <v>0.317083</v>
      </c>
      <c r="O6">
        <v>0.32355899999999999</v>
      </c>
      <c r="P6">
        <v>0.11880599999999999</v>
      </c>
      <c r="Q6">
        <v>-0.26501799999999998</v>
      </c>
      <c r="R6">
        <v>-0.48933100000000002</v>
      </c>
      <c r="S6">
        <v>-1.2963519999999999</v>
      </c>
      <c r="T6">
        <v>-1.688982</v>
      </c>
      <c r="U6">
        <v>-2.5427940000000002</v>
      </c>
      <c r="V6">
        <v>-3.3352279999999999</v>
      </c>
      <c r="W6">
        <v>-3.6118399999999999</v>
      </c>
      <c r="X6">
        <v>-4.487889</v>
      </c>
      <c r="Y6">
        <v>-5.1788990000000004</v>
      </c>
      <c r="Z6">
        <v>-6.057798</v>
      </c>
      <c r="AA6">
        <v>-6.8939019999999998</v>
      </c>
      <c r="AB6">
        <v>-7.7110770000000004</v>
      </c>
      <c r="AC6">
        <v>-8.6609259999999999</v>
      </c>
      <c r="AD6">
        <v>-9.723573</v>
      </c>
      <c r="AE6" s="4">
        <v>-9.6961568525040551</v>
      </c>
    </row>
    <row r="7" spans="1:31" x14ac:dyDescent="0.25">
      <c r="A7" t="s">
        <v>29</v>
      </c>
      <c r="B7" t="s">
        <v>36</v>
      </c>
      <c r="C7" t="s">
        <v>31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 s="4" t="e">
        <v>#DIV/0!</v>
      </c>
    </row>
    <row r="8" spans="1:31" x14ac:dyDescent="0.25">
      <c r="A8" t="s">
        <v>29</v>
      </c>
      <c r="B8" t="s">
        <v>37</v>
      </c>
      <c r="C8" t="s">
        <v>31</v>
      </c>
      <c r="D8">
        <v>0.19378000000000001</v>
      </c>
      <c r="E8">
        <v>0.210395</v>
      </c>
      <c r="F8">
        <v>0.21843199999999999</v>
      </c>
      <c r="G8">
        <v>0.22653699999999999</v>
      </c>
      <c r="H8">
        <v>0.22654299999999999</v>
      </c>
      <c r="I8">
        <v>0.226608</v>
      </c>
      <c r="J8">
        <v>0.22603799999999999</v>
      </c>
      <c r="K8">
        <v>0.21623300000000001</v>
      </c>
      <c r="L8">
        <v>0.21129100000000001</v>
      </c>
      <c r="M8">
        <v>0.202709</v>
      </c>
      <c r="N8">
        <v>0.19469900000000001</v>
      </c>
      <c r="O8">
        <v>0.191631</v>
      </c>
      <c r="P8">
        <v>0.19173599999999999</v>
      </c>
      <c r="Q8">
        <v>0.19164400000000001</v>
      </c>
      <c r="R8">
        <v>0.192713</v>
      </c>
      <c r="S8">
        <v>0.19611300000000001</v>
      </c>
      <c r="T8">
        <v>0.19558700000000001</v>
      </c>
      <c r="U8">
        <v>0.191884</v>
      </c>
      <c r="V8">
        <v>0.189911</v>
      </c>
      <c r="W8">
        <v>0.18782699999999999</v>
      </c>
      <c r="X8">
        <v>0.18598999999999999</v>
      </c>
      <c r="Y8">
        <v>0.18499299999999999</v>
      </c>
      <c r="Z8">
        <v>0.183949</v>
      </c>
      <c r="AA8">
        <v>0.18330099999999999</v>
      </c>
      <c r="AB8">
        <v>0.18071499999999999</v>
      </c>
      <c r="AC8">
        <v>0.18063599999999999</v>
      </c>
      <c r="AD8">
        <v>0.18029200000000001</v>
      </c>
      <c r="AE8" s="4">
        <v>-6.9604706368046235E-2</v>
      </c>
    </row>
    <row r="9" spans="1:31" x14ac:dyDescent="0.25">
      <c r="A9" t="s">
        <v>29</v>
      </c>
      <c r="B9" t="s">
        <v>38</v>
      </c>
      <c r="C9" t="s">
        <v>31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 s="4" t="e">
        <v>#DIV/0!</v>
      </c>
    </row>
    <row r="10" spans="1:31" x14ac:dyDescent="0.25">
      <c r="A10" t="s">
        <v>29</v>
      </c>
      <c r="B10" t="s">
        <v>39</v>
      </c>
      <c r="C10" t="s">
        <v>31</v>
      </c>
      <c r="D10">
        <v>0.795848</v>
      </c>
      <c r="E10">
        <v>0.83199999999999996</v>
      </c>
      <c r="F10">
        <v>0.91702600000000001</v>
      </c>
      <c r="G10">
        <v>1.0463119999999999</v>
      </c>
      <c r="H10">
        <v>1.0843879999999999</v>
      </c>
      <c r="I10">
        <v>1.123737</v>
      </c>
      <c r="J10">
        <v>0.94913199999999998</v>
      </c>
      <c r="K10">
        <v>0.98338800000000004</v>
      </c>
      <c r="L10">
        <v>1.0190900000000001</v>
      </c>
      <c r="M10">
        <v>1.0542910000000001</v>
      </c>
      <c r="N10">
        <v>1.0834950000000001</v>
      </c>
      <c r="O10">
        <v>1.1145400000000001</v>
      </c>
      <c r="P10">
        <v>1.1469199999999999</v>
      </c>
      <c r="Q10">
        <v>1.181705</v>
      </c>
      <c r="R10">
        <v>1.2179070000000001</v>
      </c>
      <c r="S10">
        <v>1.2430049999999999</v>
      </c>
      <c r="T10">
        <v>1.2687109999999999</v>
      </c>
      <c r="U10">
        <v>1.294867</v>
      </c>
      <c r="V10">
        <v>1.3214129999999999</v>
      </c>
      <c r="W10">
        <v>1.3481810000000001</v>
      </c>
      <c r="X10">
        <v>1.3620460000000001</v>
      </c>
      <c r="Y10">
        <v>1.3757779999999999</v>
      </c>
      <c r="Z10">
        <v>1.389599</v>
      </c>
      <c r="AA10">
        <v>1.403661</v>
      </c>
      <c r="AB10">
        <v>1.4177420000000001</v>
      </c>
      <c r="AC10">
        <v>1.4177420000000001</v>
      </c>
      <c r="AD10">
        <v>1.4177420000000001</v>
      </c>
      <c r="AE10" s="4">
        <v>0.78142308581538189</v>
      </c>
    </row>
    <row r="11" spans="1:31" x14ac:dyDescent="0.25">
      <c r="A11" t="s">
        <v>29</v>
      </c>
      <c r="B11" t="s">
        <v>40</v>
      </c>
      <c r="C11" t="s">
        <v>31</v>
      </c>
      <c r="D11">
        <v>0.53703900000000004</v>
      </c>
      <c r="E11">
        <v>0.53703900000000004</v>
      </c>
      <c r="F11">
        <v>0.53703900000000004</v>
      </c>
      <c r="G11">
        <v>0.53703900000000004</v>
      </c>
      <c r="H11">
        <v>0.53703900000000004</v>
      </c>
      <c r="I11">
        <v>0.53703900000000004</v>
      </c>
      <c r="J11">
        <v>0.53703900000000004</v>
      </c>
      <c r="K11">
        <v>0.53703900000000004</v>
      </c>
      <c r="L11">
        <v>0.53703900000000004</v>
      </c>
      <c r="M11">
        <v>0.53703900000000004</v>
      </c>
      <c r="N11">
        <v>0.53703900000000004</v>
      </c>
      <c r="O11">
        <v>0.53703900000000004</v>
      </c>
      <c r="P11">
        <v>0.53703900000000004</v>
      </c>
      <c r="Q11">
        <v>0.53703900000000004</v>
      </c>
      <c r="R11">
        <v>0.53703900000000004</v>
      </c>
      <c r="S11">
        <v>0.53703900000000004</v>
      </c>
      <c r="T11">
        <v>0.53703900000000004</v>
      </c>
      <c r="U11">
        <v>0.53703900000000004</v>
      </c>
      <c r="V11">
        <v>0.53703900000000004</v>
      </c>
      <c r="W11">
        <v>0.53703900000000004</v>
      </c>
      <c r="X11">
        <v>0.53703900000000004</v>
      </c>
      <c r="Y11">
        <v>0.53703900000000004</v>
      </c>
      <c r="Z11">
        <v>0.53703900000000004</v>
      </c>
      <c r="AA11">
        <v>0.53703900000000004</v>
      </c>
      <c r="AB11">
        <v>0.53703900000000004</v>
      </c>
      <c r="AC11">
        <v>0.53703900000000004</v>
      </c>
      <c r="AD11">
        <v>0.53703900000000004</v>
      </c>
      <c r="AE11" s="4">
        <v>0</v>
      </c>
    </row>
    <row r="12" spans="1:31" x14ac:dyDescent="0.25">
      <c r="A12" t="s">
        <v>29</v>
      </c>
      <c r="B12" t="s">
        <v>41</v>
      </c>
      <c r="C12" t="s">
        <v>31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s="4" t="e">
        <v>#DIV/0!</v>
      </c>
    </row>
    <row r="13" spans="1:31" x14ac:dyDescent="0.25">
      <c r="A13" t="s">
        <v>29</v>
      </c>
      <c r="B13" t="s">
        <v>42</v>
      </c>
      <c r="C13" t="s">
        <v>31</v>
      </c>
      <c r="D13">
        <v>16.291782000000001</v>
      </c>
      <c r="E13">
        <v>20.196531</v>
      </c>
      <c r="F13">
        <v>24.747713000000001</v>
      </c>
      <c r="G13">
        <v>25.107695</v>
      </c>
      <c r="H13">
        <v>35.337874999999997</v>
      </c>
      <c r="I13">
        <v>54.599162999999997</v>
      </c>
      <c r="J13">
        <v>72.049332000000007</v>
      </c>
      <c r="K13">
        <v>86.176895000000002</v>
      </c>
      <c r="L13">
        <v>91.555069000000003</v>
      </c>
      <c r="M13">
        <v>102.94697600000001</v>
      </c>
      <c r="N13">
        <v>114.309517</v>
      </c>
      <c r="O13">
        <v>115.31474300000001</v>
      </c>
      <c r="P13">
        <v>120.80555699999999</v>
      </c>
      <c r="Q13">
        <v>127.250061</v>
      </c>
      <c r="R13">
        <v>130.063232</v>
      </c>
      <c r="S13">
        <v>135.25207499999999</v>
      </c>
      <c r="T13">
        <v>140.804901</v>
      </c>
      <c r="U13">
        <v>153.638947</v>
      </c>
      <c r="V13">
        <v>162.918747</v>
      </c>
      <c r="W13">
        <v>167.114136</v>
      </c>
      <c r="X13">
        <v>177.06535299999999</v>
      </c>
      <c r="Y13">
        <v>184.15661600000001</v>
      </c>
      <c r="Z13">
        <v>190.51153600000001</v>
      </c>
      <c r="AA13">
        <v>199.232788</v>
      </c>
      <c r="AB13">
        <v>209.506744</v>
      </c>
      <c r="AC13">
        <v>217.51045199999999</v>
      </c>
      <c r="AD13">
        <v>226.27900700000001</v>
      </c>
      <c r="AE13" s="4">
        <v>12.889150186271825</v>
      </c>
    </row>
    <row r="14" spans="1:31" x14ac:dyDescent="0.25">
      <c r="A14" t="s">
        <v>29</v>
      </c>
      <c r="B14" t="s">
        <v>43</v>
      </c>
      <c r="C14" t="s">
        <v>31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s="4" t="e">
        <v>#DIV/0!</v>
      </c>
    </row>
    <row r="15" spans="1:31" x14ac:dyDescent="0.25">
      <c r="A15" t="s">
        <v>29</v>
      </c>
      <c r="B15" t="s">
        <v>44</v>
      </c>
      <c r="C15" t="s">
        <v>31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s="4" t="e">
        <v>#DIV/0!</v>
      </c>
    </row>
    <row r="16" spans="1:31" x14ac:dyDescent="0.25">
      <c r="A16" t="s">
        <v>29</v>
      </c>
      <c r="B16" s="5" t="s">
        <v>45</v>
      </c>
      <c r="C16" t="s">
        <v>31</v>
      </c>
      <c r="D16">
        <v>0</v>
      </c>
      <c r="E16">
        <v>0</v>
      </c>
      <c r="F16">
        <v>0</v>
      </c>
      <c r="G16">
        <v>0</v>
      </c>
      <c r="H16">
        <v>0</v>
      </c>
      <c r="I16">
        <v>6.8599999999999998E-3</v>
      </c>
      <c r="J16">
        <v>1.2844E-2</v>
      </c>
      <c r="K16">
        <v>2.8724E-2</v>
      </c>
      <c r="L16">
        <v>8.5999999999999993E-2</v>
      </c>
      <c r="M16">
        <v>0.104683</v>
      </c>
      <c r="N16">
        <v>0.123615</v>
      </c>
      <c r="O16">
        <v>0.14358299999999999</v>
      </c>
      <c r="P16">
        <v>0.166795</v>
      </c>
      <c r="Q16">
        <v>0.19245699999999999</v>
      </c>
      <c r="R16">
        <v>0.202955</v>
      </c>
      <c r="S16">
        <v>0.23200799999999999</v>
      </c>
      <c r="T16">
        <v>0.260154</v>
      </c>
      <c r="U16">
        <v>0.28672900000000001</v>
      </c>
      <c r="V16">
        <v>0.29619600000000001</v>
      </c>
      <c r="W16">
        <v>0.30516300000000002</v>
      </c>
      <c r="X16">
        <v>0.31359199999999998</v>
      </c>
      <c r="Y16">
        <v>0.321934</v>
      </c>
      <c r="Z16">
        <v>0.33046900000000001</v>
      </c>
      <c r="AA16">
        <v>0.354244</v>
      </c>
      <c r="AB16">
        <v>0.38023800000000002</v>
      </c>
      <c r="AC16">
        <v>0.39083499999999999</v>
      </c>
      <c r="AD16">
        <v>0.40202300000000002</v>
      </c>
      <c r="AE16" s="4" t="e">
        <v>#DIV/0!</v>
      </c>
    </row>
    <row r="17" spans="1:31" x14ac:dyDescent="0.25">
      <c r="A17" t="s">
        <v>29</v>
      </c>
      <c r="B17" s="5" t="s">
        <v>46</v>
      </c>
      <c r="C17" t="s">
        <v>31</v>
      </c>
      <c r="D17">
        <v>241.906387</v>
      </c>
      <c r="E17">
        <v>243.17304999999999</v>
      </c>
      <c r="F17">
        <v>245.164322</v>
      </c>
      <c r="G17">
        <v>247.12582399999999</v>
      </c>
      <c r="H17">
        <v>250.179001</v>
      </c>
      <c r="I17">
        <v>256.29965199999998</v>
      </c>
      <c r="J17">
        <v>264.05355800000001</v>
      </c>
      <c r="K17">
        <v>267.57968099999999</v>
      </c>
      <c r="L17">
        <v>264.20367399999998</v>
      </c>
      <c r="M17">
        <v>271.18911700000001</v>
      </c>
      <c r="N17">
        <v>272.75418100000002</v>
      </c>
      <c r="O17">
        <v>275.83938599999999</v>
      </c>
      <c r="P17">
        <v>284.37661700000001</v>
      </c>
      <c r="Q17">
        <v>288.48040800000001</v>
      </c>
      <c r="R17">
        <v>294.85668900000002</v>
      </c>
      <c r="S17">
        <v>300.70285000000001</v>
      </c>
      <c r="T17">
        <v>305.34262100000001</v>
      </c>
      <c r="U17">
        <v>312.56463600000001</v>
      </c>
      <c r="V17">
        <v>318.09741200000002</v>
      </c>
      <c r="W17">
        <v>323.37554899999998</v>
      </c>
      <c r="X17">
        <v>327.14016700000002</v>
      </c>
      <c r="Y17">
        <v>331.61706500000003</v>
      </c>
      <c r="Z17">
        <v>331.90042099999999</v>
      </c>
      <c r="AA17">
        <v>336.46887199999998</v>
      </c>
      <c r="AB17">
        <v>341.33343500000001</v>
      </c>
      <c r="AC17">
        <v>346.30117799999999</v>
      </c>
      <c r="AD17">
        <v>352.64297499999998</v>
      </c>
      <c r="AE17" s="4">
        <v>0.45776628460826868</v>
      </c>
    </row>
    <row r="18" spans="1:31" x14ac:dyDescent="0.25">
      <c r="A18" t="s">
        <v>75</v>
      </c>
      <c r="B18" t="s">
        <v>47</v>
      </c>
      <c r="C18" t="s">
        <v>48</v>
      </c>
      <c r="D18">
        <v>13.442873000000001</v>
      </c>
      <c r="E18">
        <v>13.274391</v>
      </c>
      <c r="F18">
        <v>12.788455000000001</v>
      </c>
      <c r="G18">
        <v>12.501439</v>
      </c>
      <c r="H18">
        <v>12.546039</v>
      </c>
      <c r="I18">
        <v>12.629308</v>
      </c>
      <c r="J18">
        <v>12.609238</v>
      </c>
      <c r="K18">
        <v>12.552673</v>
      </c>
      <c r="L18">
        <v>12.636575000000001</v>
      </c>
      <c r="M18">
        <v>12.866796000000001</v>
      </c>
      <c r="N18">
        <v>13.151870000000001</v>
      </c>
      <c r="O18">
        <v>13.270063</v>
      </c>
      <c r="P18">
        <v>13.228928</v>
      </c>
      <c r="Q18">
        <v>13.152418000000001</v>
      </c>
      <c r="R18">
        <v>13.028063</v>
      </c>
      <c r="S18">
        <v>12.889099</v>
      </c>
      <c r="T18">
        <v>12.896203</v>
      </c>
      <c r="U18">
        <v>13.050592</v>
      </c>
      <c r="V18">
        <v>13.199992</v>
      </c>
      <c r="W18">
        <v>13.249033000000001</v>
      </c>
      <c r="X18">
        <v>13.345007000000001</v>
      </c>
      <c r="Y18">
        <v>13.495067000000001</v>
      </c>
      <c r="Z18">
        <v>13.524051999999999</v>
      </c>
      <c r="AA18">
        <v>13.553019000000001</v>
      </c>
      <c r="AB18">
        <v>13.620538</v>
      </c>
      <c r="AC18">
        <v>13.613362</v>
      </c>
      <c r="AD18">
        <v>13.528786</v>
      </c>
      <c r="AE18" s="4" cm="1">
        <f t="array" ref="AE18:AE22">(AD18:AD22-D18:D22)/D18:D22</f>
        <v>6.3909701445516651E-3</v>
      </c>
    </row>
    <row r="19" spans="1:31" x14ac:dyDescent="0.25">
      <c r="A19" t="s">
        <v>75</v>
      </c>
      <c r="B19" t="s">
        <v>49</v>
      </c>
      <c r="C19" t="s">
        <v>48</v>
      </c>
      <c r="D19">
        <v>10.261383</v>
      </c>
      <c r="E19">
        <v>9.6122560000000004</v>
      </c>
      <c r="F19">
        <v>8.9977210000000003</v>
      </c>
      <c r="G19">
        <v>8.9550009999999993</v>
      </c>
      <c r="H19">
        <v>9.0802219999999991</v>
      </c>
      <c r="I19">
        <v>9.1548099999999994</v>
      </c>
      <c r="J19">
        <v>9.1168870000000002</v>
      </c>
      <c r="K19">
        <v>9.096088</v>
      </c>
      <c r="L19">
        <v>9.3221969999999992</v>
      </c>
      <c r="M19">
        <v>9.656015</v>
      </c>
      <c r="N19">
        <v>9.9747839999999997</v>
      </c>
      <c r="O19">
        <v>10.088679000000001</v>
      </c>
      <c r="P19">
        <v>10.13903</v>
      </c>
      <c r="Q19">
        <v>10.159086</v>
      </c>
      <c r="R19">
        <v>10.086617</v>
      </c>
      <c r="S19">
        <v>10.061703</v>
      </c>
      <c r="T19">
        <v>10.202678000000001</v>
      </c>
      <c r="U19">
        <v>10.483866000000001</v>
      </c>
      <c r="V19">
        <v>10.693040999999999</v>
      </c>
      <c r="W19">
        <v>10.800881</v>
      </c>
      <c r="X19">
        <v>11.021758</v>
      </c>
      <c r="Y19">
        <v>11.226706999999999</v>
      </c>
      <c r="Z19">
        <v>11.285102999999999</v>
      </c>
      <c r="AA19">
        <v>11.382704</v>
      </c>
      <c r="AB19">
        <v>11.509413</v>
      </c>
      <c r="AC19">
        <v>11.505528</v>
      </c>
      <c r="AD19">
        <v>11.463010000000001</v>
      </c>
      <c r="AE19" s="4">
        <v>0.11710185654311901</v>
      </c>
    </row>
    <row r="20" spans="1:31" x14ac:dyDescent="0.25">
      <c r="A20" t="s">
        <v>75</v>
      </c>
      <c r="B20" t="s">
        <v>50</v>
      </c>
      <c r="C20" t="s">
        <v>48</v>
      </c>
      <c r="D20">
        <v>7.083558</v>
      </c>
      <c r="E20">
        <v>6.5449659999999996</v>
      </c>
      <c r="F20">
        <v>5.9728529999999997</v>
      </c>
      <c r="G20">
        <v>5.9923200000000003</v>
      </c>
      <c r="H20">
        <v>6.0985480000000001</v>
      </c>
      <c r="I20">
        <v>6.1826230000000004</v>
      </c>
      <c r="J20">
        <v>6.1741109999999999</v>
      </c>
      <c r="K20">
        <v>6.1988250000000003</v>
      </c>
      <c r="L20">
        <v>6.4532249999999998</v>
      </c>
      <c r="M20">
        <v>6.782826</v>
      </c>
      <c r="N20">
        <v>7.0849849999999996</v>
      </c>
      <c r="O20">
        <v>7.2023849999999996</v>
      </c>
      <c r="P20">
        <v>7.4295559999999998</v>
      </c>
      <c r="Q20">
        <v>7.4578410000000002</v>
      </c>
      <c r="R20">
        <v>7.3984079999999999</v>
      </c>
      <c r="S20">
        <v>7.3914200000000001</v>
      </c>
      <c r="T20">
        <v>7.5226059999999997</v>
      </c>
      <c r="U20">
        <v>7.7594620000000001</v>
      </c>
      <c r="V20">
        <v>7.9328859999999999</v>
      </c>
      <c r="W20">
        <v>8.0181459999999998</v>
      </c>
      <c r="X20">
        <v>8.2159390000000005</v>
      </c>
      <c r="Y20">
        <v>8.3782619999999994</v>
      </c>
      <c r="Z20">
        <v>8.4791559999999997</v>
      </c>
      <c r="AA20">
        <v>8.5652489999999997</v>
      </c>
      <c r="AB20">
        <v>8.6758140000000008</v>
      </c>
      <c r="AC20">
        <v>8.7413410000000002</v>
      </c>
      <c r="AD20">
        <v>8.7315170000000002</v>
      </c>
      <c r="AE20" s="4">
        <v>0.23264565632130071</v>
      </c>
    </row>
    <row r="21" spans="1:31" x14ac:dyDescent="0.25">
      <c r="A21" t="s">
        <v>75</v>
      </c>
      <c r="B21" t="s">
        <v>51</v>
      </c>
      <c r="C21" t="s">
        <v>48</v>
      </c>
      <c r="D21">
        <v>9.4991269999999997</v>
      </c>
      <c r="E21">
        <v>8.8744479999999992</v>
      </c>
      <c r="F21">
        <v>8.2884200000000003</v>
      </c>
      <c r="G21">
        <v>8.2160589999999996</v>
      </c>
      <c r="H21">
        <v>8.3302899999999998</v>
      </c>
      <c r="I21">
        <v>8.4396970000000007</v>
      </c>
      <c r="J21">
        <v>8.4479950000000006</v>
      </c>
      <c r="K21">
        <v>8.4663789999999999</v>
      </c>
      <c r="L21">
        <v>8.7024589999999993</v>
      </c>
      <c r="M21">
        <v>9.0441409999999998</v>
      </c>
      <c r="N21">
        <v>9.3911750000000005</v>
      </c>
      <c r="O21">
        <v>9.5493570000000005</v>
      </c>
      <c r="P21">
        <v>9.5990160000000007</v>
      </c>
      <c r="Q21">
        <v>9.6264509999999994</v>
      </c>
      <c r="R21">
        <v>9.5757630000000002</v>
      </c>
      <c r="S21">
        <v>9.5530889999999999</v>
      </c>
      <c r="T21">
        <v>9.6790479999999999</v>
      </c>
      <c r="U21">
        <v>9.9396690000000003</v>
      </c>
      <c r="V21">
        <v>10.150259</v>
      </c>
      <c r="W21">
        <v>10.264395</v>
      </c>
      <c r="X21">
        <v>10.465819</v>
      </c>
      <c r="Y21">
        <v>10.671944999999999</v>
      </c>
      <c r="Z21">
        <v>10.749140000000001</v>
      </c>
      <c r="AA21">
        <v>10.845098</v>
      </c>
      <c r="AB21">
        <v>10.974133999999999</v>
      </c>
      <c r="AC21">
        <v>10.999281999999999</v>
      </c>
      <c r="AD21">
        <v>10.967625999999999</v>
      </c>
      <c r="AE21" s="4">
        <v>0.15459304839276278</v>
      </c>
    </row>
    <row r="22" spans="1:31" x14ac:dyDescent="0.25">
      <c r="A22" t="s">
        <v>75</v>
      </c>
      <c r="B22" t="s">
        <v>52</v>
      </c>
      <c r="C22" t="s">
        <v>48</v>
      </c>
      <c r="D22">
        <v>11.765985000000001</v>
      </c>
      <c r="E22">
        <v>11.339172</v>
      </c>
      <c r="F22">
        <v>10.811157</v>
      </c>
      <c r="G22">
        <v>10.651062</v>
      </c>
      <c r="H22">
        <v>10.73982</v>
      </c>
      <c r="I22">
        <v>10.813726000000001</v>
      </c>
      <c r="J22">
        <v>10.780666999999999</v>
      </c>
      <c r="K22">
        <v>10.73536</v>
      </c>
      <c r="L22">
        <v>10.879441999999999</v>
      </c>
      <c r="M22">
        <v>11.151045999999999</v>
      </c>
      <c r="N22">
        <v>11.441941</v>
      </c>
      <c r="O22">
        <v>11.550196</v>
      </c>
      <c r="P22">
        <v>11.530111</v>
      </c>
      <c r="Q22">
        <v>11.497023</v>
      </c>
      <c r="R22">
        <v>11.397883</v>
      </c>
      <c r="S22">
        <v>11.315148000000001</v>
      </c>
      <c r="T22">
        <v>11.386346</v>
      </c>
      <c r="U22">
        <v>11.596517</v>
      </c>
      <c r="V22">
        <v>11.773649000000001</v>
      </c>
      <c r="W22">
        <v>11.848302</v>
      </c>
      <c r="X22">
        <v>12.002876000000001</v>
      </c>
      <c r="Y22">
        <v>12.173314</v>
      </c>
      <c r="Z22">
        <v>12.229236</v>
      </c>
      <c r="AA22">
        <v>12.289164</v>
      </c>
      <c r="AB22">
        <v>12.382422</v>
      </c>
      <c r="AC22">
        <v>12.386526999999999</v>
      </c>
      <c r="AD22">
        <v>12.323416999999999</v>
      </c>
      <c r="AE22" s="4">
        <v>4.7376568982537254E-2</v>
      </c>
    </row>
    <row r="23" spans="1:31" x14ac:dyDescent="0.25">
      <c r="A23" t="s">
        <v>74</v>
      </c>
      <c r="B23" t="s">
        <v>47</v>
      </c>
      <c r="C23" t="s">
        <v>53</v>
      </c>
      <c r="D23">
        <v>13.442873000000001</v>
      </c>
      <c r="E23">
        <v>13.54673</v>
      </c>
      <c r="F23">
        <v>13.271217</v>
      </c>
      <c r="G23">
        <v>13.189589</v>
      </c>
      <c r="H23">
        <v>13.486582</v>
      </c>
      <c r="I23">
        <v>13.816916000000001</v>
      </c>
      <c r="J23">
        <v>14.052723</v>
      </c>
      <c r="K23">
        <v>14.277295000000001</v>
      </c>
      <c r="L23">
        <v>14.676434</v>
      </c>
      <c r="M23">
        <v>15.269041</v>
      </c>
      <c r="N23">
        <v>15.952914</v>
      </c>
      <c r="O23">
        <v>16.445247999999999</v>
      </c>
      <c r="P23">
        <v>16.733557000000001</v>
      </c>
      <c r="Q23">
        <v>16.982800999999998</v>
      </c>
      <c r="R23">
        <v>17.169771000000001</v>
      </c>
      <c r="S23">
        <v>17.334530000000001</v>
      </c>
      <c r="T23">
        <v>17.708998000000001</v>
      </c>
      <c r="U23">
        <v>18.303702999999999</v>
      </c>
      <c r="V23">
        <v>18.917023</v>
      </c>
      <c r="W23">
        <v>19.410053000000001</v>
      </c>
      <c r="X23">
        <v>19.986094999999999</v>
      </c>
      <c r="Y23">
        <v>20.666857</v>
      </c>
      <c r="Z23">
        <v>21.179667999999999</v>
      </c>
      <c r="AA23">
        <v>21.709011</v>
      </c>
      <c r="AB23">
        <v>22.314637999999999</v>
      </c>
      <c r="AC23">
        <v>22.806526000000002</v>
      </c>
      <c r="AD23">
        <v>23.172619000000001</v>
      </c>
      <c r="AE23" s="4" cm="1">
        <f t="array" ref="AE23:AE27">(AD23:AD27-D23:D27)/D23:D27</f>
        <v>0.7237847147704215</v>
      </c>
    </row>
    <row r="24" spans="1:31" x14ac:dyDescent="0.25">
      <c r="A24" t="s">
        <v>74</v>
      </c>
      <c r="B24" t="s">
        <v>49</v>
      </c>
      <c r="C24" t="s">
        <v>53</v>
      </c>
      <c r="D24">
        <v>10.261383</v>
      </c>
      <c r="E24">
        <v>9.8094619999999999</v>
      </c>
      <c r="F24">
        <v>9.3373830000000009</v>
      </c>
      <c r="G24">
        <v>9.4479349999999993</v>
      </c>
      <c r="H24">
        <v>9.760942</v>
      </c>
      <c r="I24">
        <v>10.015691</v>
      </c>
      <c r="J24">
        <v>10.160574</v>
      </c>
      <c r="K24">
        <v>10.345808</v>
      </c>
      <c r="L24">
        <v>10.827032000000001</v>
      </c>
      <c r="M24">
        <v>11.458804000000001</v>
      </c>
      <c r="N24">
        <v>12.099183</v>
      </c>
      <c r="O24">
        <v>12.50264</v>
      </c>
      <c r="P24">
        <v>12.825078</v>
      </c>
      <c r="Q24">
        <v>13.11772</v>
      </c>
      <c r="R24">
        <v>13.293221000000001</v>
      </c>
      <c r="S24">
        <v>13.531968000000001</v>
      </c>
      <c r="T24">
        <v>14.010263</v>
      </c>
      <c r="U24">
        <v>14.703818999999999</v>
      </c>
      <c r="V24">
        <v>15.324289</v>
      </c>
      <c r="W24">
        <v>15.82347</v>
      </c>
      <c r="X24">
        <v>16.506691</v>
      </c>
      <c r="Y24">
        <v>17.193003000000001</v>
      </c>
      <c r="Z24">
        <v>17.673307000000001</v>
      </c>
      <c r="AA24">
        <v>18.232634000000001</v>
      </c>
      <c r="AB24">
        <v>18.855962999999999</v>
      </c>
      <c r="AC24">
        <v>19.275265000000001</v>
      </c>
      <c r="AD24">
        <v>19.634278999999999</v>
      </c>
      <c r="AE24" s="4">
        <v>0.9134144978313351</v>
      </c>
    </row>
    <row r="25" spans="1:31" x14ac:dyDescent="0.25">
      <c r="A25" t="s">
        <v>74</v>
      </c>
      <c r="B25" t="s">
        <v>50</v>
      </c>
      <c r="C25" t="s">
        <v>53</v>
      </c>
      <c r="D25">
        <v>7.083558</v>
      </c>
      <c r="E25">
        <v>6.6792429999999996</v>
      </c>
      <c r="F25">
        <v>6.1983269999999999</v>
      </c>
      <c r="G25">
        <v>6.322171</v>
      </c>
      <c r="H25">
        <v>6.5557400000000001</v>
      </c>
      <c r="I25">
        <v>6.7640120000000001</v>
      </c>
      <c r="J25">
        <v>6.8809129999999996</v>
      </c>
      <c r="K25">
        <v>7.0504870000000004</v>
      </c>
      <c r="L25">
        <v>7.494936</v>
      </c>
      <c r="M25">
        <v>8.0491869999999999</v>
      </c>
      <c r="N25">
        <v>8.5939239999999995</v>
      </c>
      <c r="O25">
        <v>8.9257299999999997</v>
      </c>
      <c r="P25">
        <v>9.3978059999999992</v>
      </c>
      <c r="Q25">
        <v>9.6297899999999998</v>
      </c>
      <c r="R25">
        <v>9.7504120000000007</v>
      </c>
      <c r="S25">
        <v>9.940709</v>
      </c>
      <c r="T25">
        <v>10.330003</v>
      </c>
      <c r="U25">
        <v>10.882792</v>
      </c>
      <c r="V25">
        <v>11.368689</v>
      </c>
      <c r="W25">
        <v>11.746715999999999</v>
      </c>
      <c r="X25">
        <v>12.304565999999999</v>
      </c>
      <c r="Y25">
        <v>12.830788</v>
      </c>
      <c r="Z25">
        <v>13.278987000000001</v>
      </c>
      <c r="AA25">
        <v>13.719682000000001</v>
      </c>
      <c r="AB25">
        <v>14.213654999999999</v>
      </c>
      <c r="AC25">
        <v>14.644408</v>
      </c>
      <c r="AD25">
        <v>14.955674</v>
      </c>
      <c r="AE25" s="4">
        <v>1.1113223044125564</v>
      </c>
    </row>
    <row r="26" spans="1:31" x14ac:dyDescent="0.25">
      <c r="A26" t="s">
        <v>74</v>
      </c>
      <c r="B26" t="s">
        <v>51</v>
      </c>
      <c r="C26" t="s">
        <v>53</v>
      </c>
      <c r="D26">
        <v>9.4991269999999997</v>
      </c>
      <c r="E26">
        <v>9.0565169999999995</v>
      </c>
      <c r="F26">
        <v>8.6013059999999992</v>
      </c>
      <c r="G26">
        <v>8.668317</v>
      </c>
      <c r="H26">
        <v>8.9547899999999991</v>
      </c>
      <c r="I26">
        <v>9.2333320000000008</v>
      </c>
      <c r="J26">
        <v>9.415108</v>
      </c>
      <c r="K26">
        <v>9.6295809999999999</v>
      </c>
      <c r="L26">
        <v>10.107253</v>
      </c>
      <c r="M26">
        <v>10.732692</v>
      </c>
      <c r="N26">
        <v>11.391279000000001</v>
      </c>
      <c r="O26">
        <v>11.834272</v>
      </c>
      <c r="P26">
        <v>12.142003000000001</v>
      </c>
      <c r="Q26">
        <v>12.429966</v>
      </c>
      <c r="R26">
        <v>12.619963</v>
      </c>
      <c r="S26">
        <v>12.847936000000001</v>
      </c>
      <c r="T26">
        <v>13.291217</v>
      </c>
      <c r="U26">
        <v>13.940573000000001</v>
      </c>
      <c r="V26">
        <v>14.546424</v>
      </c>
      <c r="W26">
        <v>15.037509</v>
      </c>
      <c r="X26">
        <v>15.674092</v>
      </c>
      <c r="Y26">
        <v>16.343419999999998</v>
      </c>
      <c r="Z26">
        <v>16.833950000000002</v>
      </c>
      <c r="AA26">
        <v>17.371506</v>
      </c>
      <c r="AB26">
        <v>17.979012999999998</v>
      </c>
      <c r="AC26">
        <v>18.427147000000001</v>
      </c>
      <c r="AD26">
        <v>18.785767</v>
      </c>
      <c r="AE26" s="4">
        <v>0.97763089176510642</v>
      </c>
    </row>
    <row r="27" spans="1:31" x14ac:dyDescent="0.25">
      <c r="A27" t="s">
        <v>74</v>
      </c>
      <c r="B27" t="s">
        <v>52</v>
      </c>
      <c r="C27" t="s">
        <v>53</v>
      </c>
      <c r="D27">
        <v>11.765985000000001</v>
      </c>
      <c r="E27">
        <v>11.571808000000001</v>
      </c>
      <c r="F27">
        <v>11.219276000000001</v>
      </c>
      <c r="G27">
        <v>11.237356</v>
      </c>
      <c r="H27">
        <v>11.544956000000001</v>
      </c>
      <c r="I27">
        <v>11.830603999999999</v>
      </c>
      <c r="J27">
        <v>12.014821</v>
      </c>
      <c r="K27">
        <v>12.210298999999999</v>
      </c>
      <c r="L27">
        <v>12.635655</v>
      </c>
      <c r="M27">
        <v>13.232958</v>
      </c>
      <c r="N27">
        <v>13.878812</v>
      </c>
      <c r="O27">
        <v>14.313859000000001</v>
      </c>
      <c r="P27">
        <v>14.584686</v>
      </c>
      <c r="Q27">
        <v>14.845304</v>
      </c>
      <c r="R27">
        <v>15.021347</v>
      </c>
      <c r="S27">
        <v>15.217726000000001</v>
      </c>
      <c r="T27">
        <v>15.635669999999999</v>
      </c>
      <c r="U27">
        <v>16.264334000000002</v>
      </c>
      <c r="V27">
        <v>16.872919</v>
      </c>
      <c r="W27">
        <v>17.357959999999999</v>
      </c>
      <c r="X27">
        <v>17.976058999999999</v>
      </c>
      <c r="Y27">
        <v>18.642672999999998</v>
      </c>
      <c r="Z27">
        <v>19.151890000000002</v>
      </c>
      <c r="AA27">
        <v>19.684587000000001</v>
      </c>
      <c r="AB27">
        <v>20.286221999999999</v>
      </c>
      <c r="AC27">
        <v>20.751204999999999</v>
      </c>
      <c r="AD27">
        <v>21.108015000000002</v>
      </c>
      <c r="AE27" s="4">
        <v>0.79398622384781226</v>
      </c>
    </row>
    <row r="28" spans="1:31" x14ac:dyDescent="0.25">
      <c r="A28" t="s">
        <v>76</v>
      </c>
      <c r="B28" t="s">
        <v>54</v>
      </c>
      <c r="C28" t="s">
        <v>48</v>
      </c>
      <c r="D28">
        <v>7.6362550000000002</v>
      </c>
      <c r="E28">
        <v>7.1534240000000002</v>
      </c>
      <c r="F28">
        <v>6.4543629999999999</v>
      </c>
      <c r="G28">
        <v>6.1627619999999999</v>
      </c>
      <c r="H28">
        <v>6.1729799999999999</v>
      </c>
      <c r="I28">
        <v>6.1534240000000002</v>
      </c>
      <c r="J28">
        <v>6.0329360000000003</v>
      </c>
      <c r="K28">
        <v>5.9172279999999997</v>
      </c>
      <c r="L28">
        <v>6.0001350000000002</v>
      </c>
      <c r="M28">
        <v>6.2163700000000004</v>
      </c>
      <c r="N28">
        <v>6.4465880000000002</v>
      </c>
      <c r="O28">
        <v>6.5121760000000002</v>
      </c>
      <c r="P28">
        <v>6.4877190000000002</v>
      </c>
      <c r="Q28">
        <v>6.4486420000000004</v>
      </c>
      <c r="R28">
        <v>6.3367519999999997</v>
      </c>
      <c r="S28">
        <v>6.2455129999999999</v>
      </c>
      <c r="T28">
        <v>6.2961520000000002</v>
      </c>
      <c r="U28">
        <v>6.4732070000000004</v>
      </c>
      <c r="V28">
        <v>6.6034660000000001</v>
      </c>
      <c r="W28">
        <v>6.6400129999999997</v>
      </c>
      <c r="X28">
        <v>6.7590969999999997</v>
      </c>
      <c r="Y28">
        <v>6.8850619999999996</v>
      </c>
      <c r="Z28">
        <v>6.8982330000000003</v>
      </c>
      <c r="AA28">
        <v>6.915972</v>
      </c>
      <c r="AB28">
        <v>6.9692689999999997</v>
      </c>
      <c r="AC28">
        <v>6.9302539999999997</v>
      </c>
      <c r="AD28">
        <v>6.8347629999999997</v>
      </c>
      <c r="AE28" s="4" cm="1">
        <f t="array" ref="AE28:AE30">(AD28:AD30-D28:D30)/D28:D30</f>
        <v>-0.10495877887786624</v>
      </c>
    </row>
    <row r="29" spans="1:31" x14ac:dyDescent="0.25">
      <c r="A29" t="s">
        <v>76</v>
      </c>
      <c r="B29" t="s">
        <v>55</v>
      </c>
      <c r="C29" t="s">
        <v>48</v>
      </c>
      <c r="D29">
        <v>0.90914399999999995</v>
      </c>
      <c r="E29">
        <v>0.93684400000000001</v>
      </c>
      <c r="F29">
        <v>1.0016879999999999</v>
      </c>
      <c r="G29">
        <v>1.0565599999999999</v>
      </c>
      <c r="H29">
        <v>1.097345</v>
      </c>
      <c r="I29">
        <v>1.15208</v>
      </c>
      <c r="J29">
        <v>1.207508</v>
      </c>
      <c r="K29">
        <v>1.2504219999999999</v>
      </c>
      <c r="L29">
        <v>1.2879389999999999</v>
      </c>
      <c r="M29">
        <v>1.3232870000000001</v>
      </c>
      <c r="N29">
        <v>1.3644620000000001</v>
      </c>
      <c r="O29">
        <v>1.389162</v>
      </c>
      <c r="P29">
        <v>1.38588</v>
      </c>
      <c r="Q29">
        <v>1.3875310000000001</v>
      </c>
      <c r="R29">
        <v>1.3907039999999999</v>
      </c>
      <c r="S29">
        <v>1.3880699999999999</v>
      </c>
      <c r="T29">
        <v>1.3980710000000001</v>
      </c>
      <c r="U29">
        <v>1.419224</v>
      </c>
      <c r="V29">
        <v>1.4507209999999999</v>
      </c>
      <c r="W29">
        <v>1.4708920000000001</v>
      </c>
      <c r="X29">
        <v>1.48793</v>
      </c>
      <c r="Y29">
        <v>1.5136309999999999</v>
      </c>
      <c r="Z29">
        <v>1.532753</v>
      </c>
      <c r="AA29">
        <v>1.5524150000000001</v>
      </c>
      <c r="AB29">
        <v>1.5759860000000001</v>
      </c>
      <c r="AC29">
        <v>1.599801</v>
      </c>
      <c r="AD29">
        <v>1.6151450000000001</v>
      </c>
      <c r="AE29" s="4">
        <v>0.77655574914425007</v>
      </c>
    </row>
    <row r="30" spans="1:31" x14ac:dyDescent="0.25">
      <c r="A30" t="s">
        <v>76</v>
      </c>
      <c r="B30" t="s">
        <v>56</v>
      </c>
      <c r="C30" t="s">
        <v>48</v>
      </c>
      <c r="D30">
        <v>3.2205849999999998</v>
      </c>
      <c r="E30">
        <v>3.248904</v>
      </c>
      <c r="F30">
        <v>3.355105</v>
      </c>
      <c r="G30">
        <v>3.4317410000000002</v>
      </c>
      <c r="H30">
        <v>3.4694970000000001</v>
      </c>
      <c r="I30">
        <v>3.5082209999999998</v>
      </c>
      <c r="J30">
        <v>3.5402230000000001</v>
      </c>
      <c r="K30">
        <v>3.5677089999999998</v>
      </c>
      <c r="L30">
        <v>3.591367</v>
      </c>
      <c r="M30">
        <v>3.6113900000000001</v>
      </c>
      <c r="N30">
        <v>3.6308910000000001</v>
      </c>
      <c r="O30">
        <v>3.6488580000000002</v>
      </c>
      <c r="P30">
        <v>3.6565120000000002</v>
      </c>
      <c r="Q30">
        <v>3.6608489999999998</v>
      </c>
      <c r="R30">
        <v>3.6704279999999998</v>
      </c>
      <c r="S30">
        <v>3.6815660000000001</v>
      </c>
      <c r="T30">
        <v>3.6921219999999999</v>
      </c>
      <c r="U30">
        <v>3.7040860000000002</v>
      </c>
      <c r="V30">
        <v>3.719462</v>
      </c>
      <c r="W30">
        <v>3.7373970000000001</v>
      </c>
      <c r="X30">
        <v>3.7558500000000001</v>
      </c>
      <c r="Y30">
        <v>3.7746209999999998</v>
      </c>
      <c r="Z30">
        <v>3.7982499999999999</v>
      </c>
      <c r="AA30">
        <v>3.820776</v>
      </c>
      <c r="AB30">
        <v>3.837167</v>
      </c>
      <c r="AC30">
        <v>3.856474</v>
      </c>
      <c r="AD30">
        <v>3.873507</v>
      </c>
      <c r="AE30" s="4">
        <v>0.20273397534919907</v>
      </c>
    </row>
    <row r="31" spans="1:31" x14ac:dyDescent="0.25">
      <c r="A31" t="s">
        <v>77</v>
      </c>
      <c r="B31" t="s">
        <v>54</v>
      </c>
      <c r="C31" t="s">
        <v>53</v>
      </c>
      <c r="D31">
        <v>7.6362550000000002</v>
      </c>
      <c r="E31">
        <v>7.3001849999999999</v>
      </c>
      <c r="F31">
        <v>6.6980149999999998</v>
      </c>
      <c r="G31">
        <v>6.501995</v>
      </c>
      <c r="H31">
        <v>6.6357520000000001</v>
      </c>
      <c r="I31">
        <v>6.7320659999999997</v>
      </c>
      <c r="J31">
        <v>6.7235769999999997</v>
      </c>
      <c r="K31">
        <v>6.7302010000000001</v>
      </c>
      <c r="L31">
        <v>6.9687070000000002</v>
      </c>
      <c r="M31">
        <v>7.3769729999999996</v>
      </c>
      <c r="N31">
        <v>7.8195629999999996</v>
      </c>
      <c r="O31">
        <v>8.0703720000000008</v>
      </c>
      <c r="P31">
        <v>8.2064550000000001</v>
      </c>
      <c r="Q31">
        <v>8.3266819999999999</v>
      </c>
      <c r="R31">
        <v>8.351248</v>
      </c>
      <c r="S31">
        <v>8.3995809999999995</v>
      </c>
      <c r="T31">
        <v>8.6458429999999993</v>
      </c>
      <c r="U31">
        <v>9.0787940000000003</v>
      </c>
      <c r="V31">
        <v>9.4634850000000004</v>
      </c>
      <c r="W31">
        <v>9.7277290000000001</v>
      </c>
      <c r="X31">
        <v>10.122733999999999</v>
      </c>
      <c r="Y31">
        <v>10.544044</v>
      </c>
      <c r="Z31">
        <v>10.803145000000001</v>
      </c>
      <c r="AA31">
        <v>11.077895</v>
      </c>
      <c r="AB31">
        <v>11.417809999999999</v>
      </c>
      <c r="AC31">
        <v>11.610286</v>
      </c>
      <c r="AD31">
        <v>11.706842</v>
      </c>
      <c r="AE31" s="4" cm="1">
        <f t="array" ref="AE31:AE33">(AD31:AD33-D31:D33)/D31:D33</f>
        <v>0.53306064294605138</v>
      </c>
    </row>
    <row r="32" spans="1:31" x14ac:dyDescent="0.25">
      <c r="A32" t="s">
        <v>77</v>
      </c>
      <c r="B32" t="s">
        <v>55</v>
      </c>
      <c r="C32" t="s">
        <v>53</v>
      </c>
      <c r="D32">
        <v>0.90914399999999995</v>
      </c>
      <c r="E32">
        <v>0.95606400000000002</v>
      </c>
      <c r="F32">
        <v>1.0395019999999999</v>
      </c>
      <c r="G32">
        <v>1.114719</v>
      </c>
      <c r="H32">
        <v>1.17961</v>
      </c>
      <c r="I32">
        <v>1.2604169999999999</v>
      </c>
      <c r="J32">
        <v>1.345742</v>
      </c>
      <c r="K32">
        <v>1.4222189999999999</v>
      </c>
      <c r="L32">
        <v>1.495844</v>
      </c>
      <c r="M32">
        <v>1.570346</v>
      </c>
      <c r="N32">
        <v>1.6550609999999999</v>
      </c>
      <c r="O32">
        <v>1.7215530000000001</v>
      </c>
      <c r="P32">
        <v>1.7530289999999999</v>
      </c>
      <c r="Q32">
        <v>1.791622</v>
      </c>
      <c r="R32">
        <v>1.8328180000000001</v>
      </c>
      <c r="S32">
        <v>1.8668130000000001</v>
      </c>
      <c r="T32">
        <v>1.919824</v>
      </c>
      <c r="U32">
        <v>1.990488</v>
      </c>
      <c r="V32">
        <v>2.0790410000000001</v>
      </c>
      <c r="W32">
        <v>2.154881</v>
      </c>
      <c r="X32">
        <v>2.2283919999999999</v>
      </c>
      <c r="Y32">
        <v>2.3180320000000001</v>
      </c>
      <c r="Z32">
        <v>2.400404</v>
      </c>
      <c r="AA32">
        <v>2.4866329999999999</v>
      </c>
      <c r="AB32">
        <v>2.58195</v>
      </c>
      <c r="AC32">
        <v>2.6801529999999998</v>
      </c>
      <c r="AD32">
        <v>2.7664819999999999</v>
      </c>
      <c r="AE32" s="4">
        <v>2.0429524915744919</v>
      </c>
    </row>
    <row r="33" spans="1:31" x14ac:dyDescent="0.25">
      <c r="A33" t="s">
        <v>77</v>
      </c>
      <c r="B33" t="s">
        <v>56</v>
      </c>
      <c r="C33" t="s">
        <v>53</v>
      </c>
      <c r="D33">
        <v>3.2205849999999998</v>
      </c>
      <c r="E33">
        <v>3.3155589999999999</v>
      </c>
      <c r="F33">
        <v>3.48176</v>
      </c>
      <c r="G33">
        <v>3.6206429999999998</v>
      </c>
      <c r="H33">
        <v>3.7295959999999999</v>
      </c>
      <c r="I33">
        <v>3.83812</v>
      </c>
      <c r="J33">
        <v>3.9455019999999998</v>
      </c>
      <c r="K33">
        <v>4.0578799999999999</v>
      </c>
      <c r="L33">
        <v>4.1711029999999996</v>
      </c>
      <c r="M33">
        <v>4.2856399999999999</v>
      </c>
      <c r="N33">
        <v>4.4041880000000004</v>
      </c>
      <c r="O33">
        <v>4.521935</v>
      </c>
      <c r="P33">
        <v>4.6252009999999997</v>
      </c>
      <c r="Q33">
        <v>4.7269990000000002</v>
      </c>
      <c r="R33">
        <v>4.8372809999999999</v>
      </c>
      <c r="S33">
        <v>4.951333</v>
      </c>
      <c r="T33">
        <v>5.0700019999999997</v>
      </c>
      <c r="U33">
        <v>5.1950510000000003</v>
      </c>
      <c r="V33">
        <v>5.3303929999999999</v>
      </c>
      <c r="W33">
        <v>5.4753480000000003</v>
      </c>
      <c r="X33">
        <v>5.6249339999999997</v>
      </c>
      <c r="Y33">
        <v>5.7805980000000003</v>
      </c>
      <c r="Z33">
        <v>5.9483410000000001</v>
      </c>
      <c r="AA33">
        <v>6.1200590000000004</v>
      </c>
      <c r="AB33">
        <v>6.2864620000000002</v>
      </c>
      <c r="AC33">
        <v>6.4607679999999998</v>
      </c>
      <c r="AD33">
        <v>6.6346910000000001</v>
      </c>
      <c r="AE33" s="4">
        <v>1.0600887726919179</v>
      </c>
    </row>
    <row r="34" spans="1:31" x14ac:dyDescent="0.25">
      <c r="A34" t="s">
        <v>57</v>
      </c>
      <c r="B34" t="s">
        <v>58</v>
      </c>
      <c r="C34" t="s">
        <v>59</v>
      </c>
      <c r="D34">
        <v>24.499229</v>
      </c>
      <c r="E34">
        <v>23.835844000000002</v>
      </c>
      <c r="F34">
        <v>22.887481999999999</v>
      </c>
      <c r="G34">
        <v>23.031033000000001</v>
      </c>
      <c r="H34">
        <v>22.242975000000001</v>
      </c>
      <c r="I34">
        <v>20.696114999999999</v>
      </c>
      <c r="J34">
        <v>18.764344999999999</v>
      </c>
      <c r="K34">
        <v>17.545759</v>
      </c>
      <c r="L34">
        <v>16.428374999999999</v>
      </c>
      <c r="M34">
        <v>15.92038</v>
      </c>
      <c r="N34">
        <v>14.686000999999999</v>
      </c>
      <c r="O34">
        <v>14.713644</v>
      </c>
      <c r="P34">
        <v>14.842176</v>
      </c>
      <c r="Q34">
        <v>14.514507999999999</v>
      </c>
      <c r="R34">
        <v>14.935600000000001</v>
      </c>
      <c r="S34">
        <v>15.144156000000001</v>
      </c>
      <c r="T34">
        <v>15.083232000000001</v>
      </c>
      <c r="U34">
        <v>14.508278000000001</v>
      </c>
      <c r="V34">
        <v>14.121320000000001</v>
      </c>
      <c r="W34">
        <v>14.254344</v>
      </c>
      <c r="X34">
        <v>13.609513</v>
      </c>
      <c r="Y34">
        <v>13.373896999999999</v>
      </c>
      <c r="Z34">
        <v>12.867861</v>
      </c>
      <c r="AA34">
        <v>12.598277</v>
      </c>
      <c r="AB34">
        <v>12.283695</v>
      </c>
      <c r="AC34">
        <v>12.052204</v>
      </c>
      <c r="AD34">
        <v>11.900751</v>
      </c>
      <c r="AE34" s="4" cm="1">
        <f t="array" ref="AE34:AE38">(AD34:AD38-D34:D38)/D34:D38</f>
        <v>-0.51423977464760218</v>
      </c>
    </row>
    <row r="35" spans="1:31" x14ac:dyDescent="0.25">
      <c r="A35" t="s">
        <v>57</v>
      </c>
      <c r="B35" t="s">
        <v>60</v>
      </c>
      <c r="C35" t="s">
        <v>59</v>
      </c>
      <c r="D35">
        <v>89.830535999999995</v>
      </c>
      <c r="E35">
        <v>87.398148000000006</v>
      </c>
      <c r="F35">
        <v>83.920760999999999</v>
      </c>
      <c r="G35">
        <v>84.447097999999997</v>
      </c>
      <c r="H35">
        <v>81.557586999999998</v>
      </c>
      <c r="I35">
        <v>75.885741999999993</v>
      </c>
      <c r="J35">
        <v>68.802559000000002</v>
      </c>
      <c r="K35">
        <v>64.334441999999996</v>
      </c>
      <c r="L35">
        <v>60.237343000000003</v>
      </c>
      <c r="M35">
        <v>58.374744</v>
      </c>
      <c r="N35">
        <v>53.848663000000002</v>
      </c>
      <c r="O35">
        <v>53.950023999999999</v>
      </c>
      <c r="P35">
        <v>54.421322000000004</v>
      </c>
      <c r="Q35">
        <v>53.219872000000002</v>
      </c>
      <c r="R35">
        <v>54.763851000000003</v>
      </c>
      <c r="S35">
        <v>55.528553000000002</v>
      </c>
      <c r="T35">
        <v>55.305183</v>
      </c>
      <c r="U35">
        <v>53.197018</v>
      </c>
      <c r="V35">
        <v>51.778182999999999</v>
      </c>
      <c r="W35">
        <v>52.265937999999998</v>
      </c>
      <c r="X35">
        <v>49.901535000000003</v>
      </c>
      <c r="Y35">
        <v>49.037601000000002</v>
      </c>
      <c r="Z35">
        <v>47.182152000000002</v>
      </c>
      <c r="AA35">
        <v>46.193680000000001</v>
      </c>
      <c r="AB35">
        <v>45.040222</v>
      </c>
      <c r="AC35">
        <v>44.191425000000002</v>
      </c>
      <c r="AD35">
        <v>43.636108</v>
      </c>
      <c r="AE35" s="4">
        <v>-0.51423970129711793</v>
      </c>
    </row>
    <row r="36" spans="1:31" x14ac:dyDescent="0.25">
      <c r="A36" t="s">
        <v>57</v>
      </c>
      <c r="B36" t="s">
        <v>61</v>
      </c>
      <c r="C36" t="s">
        <v>59</v>
      </c>
      <c r="D36">
        <v>2.1311E-2</v>
      </c>
      <c r="E36">
        <v>1.0937000000000001E-2</v>
      </c>
      <c r="F36">
        <v>6.8599999999999998E-3</v>
      </c>
      <c r="G36">
        <v>6.2230000000000002E-3</v>
      </c>
      <c r="H36">
        <v>6.5290000000000001E-3</v>
      </c>
      <c r="I36">
        <v>5.9059999999999998E-3</v>
      </c>
      <c r="J36">
        <v>2.0379999999999999E-3</v>
      </c>
      <c r="K36">
        <v>2.4009999999999999E-3</v>
      </c>
      <c r="L36">
        <v>3.3399999999999999E-4</v>
      </c>
      <c r="M36">
        <v>3.6000000000000002E-4</v>
      </c>
      <c r="N36">
        <v>3.6299999999999999E-4</v>
      </c>
      <c r="O36">
        <v>3.79E-4</v>
      </c>
      <c r="P36">
        <v>4.0499999999999998E-4</v>
      </c>
      <c r="Q36">
        <v>4.8899999999999996E-4</v>
      </c>
      <c r="R36">
        <v>4.8799999999999999E-4</v>
      </c>
      <c r="S36">
        <v>1.1019999999999999E-3</v>
      </c>
      <c r="T36">
        <v>1.114E-3</v>
      </c>
      <c r="U36">
        <v>1.126E-3</v>
      </c>
      <c r="V36">
        <v>1.14E-3</v>
      </c>
      <c r="W36">
        <v>1.1529999999999999E-3</v>
      </c>
      <c r="X36">
        <v>1.168E-3</v>
      </c>
      <c r="Y36">
        <v>1.1789999999999999E-3</v>
      </c>
      <c r="Z36">
        <v>1.1900000000000001E-3</v>
      </c>
      <c r="AA36">
        <v>1.201E-3</v>
      </c>
      <c r="AB36">
        <v>1.2019999999999999E-3</v>
      </c>
      <c r="AC36">
        <v>1.2019999999999999E-3</v>
      </c>
      <c r="AD36">
        <v>1.2110000000000001E-3</v>
      </c>
      <c r="AE36" s="4">
        <v>-0.94317488620900003</v>
      </c>
    </row>
    <row r="37" spans="1:31" x14ac:dyDescent="0.25">
      <c r="A37" t="s">
        <v>57</v>
      </c>
      <c r="B37" t="s">
        <v>62</v>
      </c>
      <c r="C37" t="s">
        <v>59</v>
      </c>
      <c r="D37">
        <v>4.4005000000000002E-2</v>
      </c>
      <c r="E37">
        <v>4.3258999999999999E-2</v>
      </c>
      <c r="F37">
        <v>3.6877E-2</v>
      </c>
      <c r="G37">
        <v>3.6540000000000003E-2</v>
      </c>
      <c r="H37">
        <v>3.5136000000000001E-2</v>
      </c>
      <c r="I37">
        <v>3.4151000000000001E-2</v>
      </c>
      <c r="J37">
        <v>2.8487999999999999E-2</v>
      </c>
      <c r="K37">
        <v>2.6686000000000001E-2</v>
      </c>
      <c r="L37">
        <v>2.3293000000000001E-2</v>
      </c>
      <c r="M37">
        <v>2.1825000000000001E-2</v>
      </c>
      <c r="N37">
        <v>2.1183E-2</v>
      </c>
      <c r="O37">
        <v>2.1661E-2</v>
      </c>
      <c r="P37">
        <v>2.1403999999999999E-2</v>
      </c>
      <c r="Q37">
        <v>2.0399E-2</v>
      </c>
      <c r="R37">
        <v>2.0877E-2</v>
      </c>
      <c r="S37">
        <v>2.2020000000000001E-2</v>
      </c>
      <c r="T37">
        <v>2.2457999999999999E-2</v>
      </c>
      <c r="U37">
        <v>2.1048000000000001E-2</v>
      </c>
      <c r="V37">
        <v>2.0552000000000001E-2</v>
      </c>
      <c r="W37">
        <v>2.0212999999999998E-2</v>
      </c>
      <c r="X37">
        <v>1.9939999999999999E-2</v>
      </c>
      <c r="Y37">
        <v>1.9812E-2</v>
      </c>
      <c r="Z37">
        <v>1.9304999999999999E-2</v>
      </c>
      <c r="AA37">
        <v>1.9130000000000001E-2</v>
      </c>
      <c r="AB37">
        <v>1.8512000000000001E-2</v>
      </c>
      <c r="AC37">
        <v>1.8286E-2</v>
      </c>
      <c r="AD37">
        <v>1.8131000000000001E-2</v>
      </c>
      <c r="AE37" s="4">
        <v>-0.5879786387910465</v>
      </c>
    </row>
    <row r="38" spans="1:31" x14ac:dyDescent="0.25">
      <c r="A38" t="s">
        <v>57</v>
      </c>
      <c r="B38" t="s">
        <v>63</v>
      </c>
      <c r="C38" t="s">
        <v>64</v>
      </c>
      <c r="D38">
        <v>4.8835000000000003E-2</v>
      </c>
      <c r="E38">
        <v>3.4840000000000003E-2</v>
      </c>
      <c r="F38">
        <v>2.2089999999999999E-2</v>
      </c>
      <c r="G38">
        <v>2.1006E-2</v>
      </c>
      <c r="H38">
        <v>2.3188E-2</v>
      </c>
      <c r="I38">
        <v>2.2505000000000001E-2</v>
      </c>
      <c r="J38">
        <v>4.8500000000000001E-3</v>
      </c>
      <c r="K38">
        <v>4.8599999999999997E-3</v>
      </c>
      <c r="L38">
        <v>3.5300000000000002E-4</v>
      </c>
      <c r="M38">
        <v>3.3700000000000001E-4</v>
      </c>
      <c r="N38">
        <v>3.4000000000000002E-4</v>
      </c>
      <c r="O38">
        <v>3.2899999999999997E-4</v>
      </c>
      <c r="P38">
        <v>3.28E-4</v>
      </c>
      <c r="Q38">
        <v>2.8899999999999998E-4</v>
      </c>
      <c r="R38">
        <v>2.8899999999999998E-4</v>
      </c>
      <c r="S38">
        <v>3.4E-5</v>
      </c>
      <c r="T38">
        <v>3.4E-5</v>
      </c>
      <c r="U38">
        <v>3.4E-5</v>
      </c>
      <c r="V38">
        <v>1.9999999999999999E-6</v>
      </c>
      <c r="W38">
        <v>1.9999999999999999E-6</v>
      </c>
      <c r="X38">
        <v>1.9999999999999999E-6</v>
      </c>
      <c r="Y38">
        <v>1.9999999999999999E-6</v>
      </c>
      <c r="Z38">
        <v>0</v>
      </c>
      <c r="AA38">
        <v>9.9999999999999995E-7</v>
      </c>
      <c r="AB38">
        <v>0</v>
      </c>
      <c r="AC38">
        <v>0</v>
      </c>
      <c r="AD38">
        <v>0</v>
      </c>
      <c r="AE38" s="4">
        <v>-1</v>
      </c>
    </row>
    <row r="39" spans="1:31" x14ac:dyDescent="0.25">
      <c r="A39" t="s">
        <v>65</v>
      </c>
      <c r="B39" t="s">
        <v>66</v>
      </c>
      <c r="C39" t="s">
        <v>71</v>
      </c>
      <c r="D39" cm="1">
        <f t="array" ref="D39:D42">907185*D34:D37*10^6/(D17*10^9)</f>
        <v>91.87575961094818</v>
      </c>
      <c r="E39" cm="1">
        <f t="array" ref="E39:E42">907185*E34:E37*10^6/(E17*10^9)</f>
        <v>88.922354426775513</v>
      </c>
      <c r="F39" cm="1">
        <f t="array" ref="F39:F42">907185*F34:F37*10^6/(F17*10^9)</f>
        <v>84.690872590221346</v>
      </c>
      <c r="G39" cm="1">
        <f t="array" ref="G39:G42">907185*G34:G37*10^6/(G17*10^9)</f>
        <v>84.545626733469177</v>
      </c>
      <c r="H39" cm="1">
        <f t="array" ref="H39:H42">907185*H34:H37*10^6/(H17*10^9)</f>
        <v>80.65622292326205</v>
      </c>
      <c r="I39" cm="1">
        <f t="array" ref="I39:I42">907185*I34:I37*10^6/(I17*10^9)</f>
        <v>73.25489886453299</v>
      </c>
      <c r="J39" cm="1">
        <f t="array" ref="J39:J42">907185*J34:J37*10^6/(J17*10^9)</f>
        <v>64.466968170241429</v>
      </c>
      <c r="K39" cm="1">
        <f t="array" ref="K39:K42">907185*K34:K37*10^6/(K17*10^9)</f>
        <v>59.486016721931136</v>
      </c>
      <c r="L39" cm="1">
        <f t="array" ref="L39:L42">907185*L34:L37*10^6/(L17*10^9)</f>
        <v>56.409417585824336</v>
      </c>
      <c r="M39" cm="1">
        <f t="array" ref="M39:M42">907185*M34:M37*10^6/(M17*10^9)</f>
        <v>53.257041027571915</v>
      </c>
      <c r="N39" cm="1">
        <f t="array" ref="N39:N42">907185*N34:N37*10^6/(N17*10^9)</f>
        <v>48.845886682063359</v>
      </c>
      <c r="O39" cm="1">
        <f t="array" ref="O39:O42">907185*O34:O37*10^6/(O17*10^9)</f>
        <v>48.390468546576599</v>
      </c>
      <c r="P39" cm="1">
        <f t="array" ref="P39:P42">907185*P34:P37*10^6/(P17*10^9)</f>
        <v>47.347772740963435</v>
      </c>
      <c r="Q39" cm="1">
        <f t="array" ref="Q39:Q42">907185*Q34:Q37*10^6/(Q17*10^9)</f>
        <v>45.64380656304396</v>
      </c>
      <c r="R39" cm="1">
        <f t="array" ref="R39:R42">907185*R34:R37*10^6/(R17*10^9)</f>
        <v>45.952331391742653</v>
      </c>
      <c r="S39" cm="1">
        <f t="array" ref="S39:S42">907185*S34:S37*10^6/(S17*10^9)</f>
        <v>45.688130860282833</v>
      </c>
      <c r="T39" cm="1">
        <f t="array" ref="T39:T42">907185*T34:T37*10^6/(T17*10^9)</f>
        <v>44.812878651225041</v>
      </c>
      <c r="U39" cm="1">
        <f t="array" ref="U39:U42">907185*U34:U37*10^6/(U17*10^9)</f>
        <v>42.108705405271756</v>
      </c>
      <c r="V39" cm="1">
        <f t="array" ref="V39:V42">907185*V34:V37*10^6/(V17*10^9)</f>
        <v>40.27272527511164</v>
      </c>
      <c r="W39" cm="1">
        <f t="array" ref="W39:W42">907185*W34:W37*10^6/(W17*10^9)</f>
        <v>39.988573971126058</v>
      </c>
      <c r="X39" cm="1">
        <f t="array" ref="X39:X42">907185*X34:X37*10^6/(X17*10^9)</f>
        <v>37.740232769719775</v>
      </c>
      <c r="Y39" cm="1">
        <f t="array" ref="Y39:Y42">907185*Y34:Y37*10^6/(Y17*10^9)</f>
        <v>36.586171311615104</v>
      </c>
      <c r="Z39" cm="1">
        <f t="array" ref="Z39:Z42">907185*Z34:Z37*10^6/(Z17*10^9)</f>
        <v>35.171785700401387</v>
      </c>
      <c r="AA39" cm="1">
        <f t="array" ref="AA39:AA42">907185*AA34:AA37*10^6/(AA17*10^9)</f>
        <v>33.967385607798512</v>
      </c>
      <c r="AB39" cm="1">
        <f t="array" ref="AB39:AB42">907185*AB34:AB37*10^6/(AB17*10^9)</f>
        <v>32.647208582349982</v>
      </c>
      <c r="AC39" cm="1">
        <f t="array" ref="AC39:AC42">907185*AC34:AC37*10^6/(AC17*10^9)</f>
        <v>31.572455943941375</v>
      </c>
      <c r="AD39" cm="1">
        <f t="array" ref="AD39:AD42">907185*AD34:AD37*10^6/(AD17*10^9)</f>
        <v>30.615051372950219</v>
      </c>
      <c r="AE39" s="4" cm="1">
        <f t="array" ref="AE39:AE43">(AD39:AD43-D39:D43)/D39:D43</f>
        <v>-0.66677770608274745</v>
      </c>
    </row>
    <row r="40" spans="1:31" x14ac:dyDescent="0.25">
      <c r="A40" t="s">
        <v>65</v>
      </c>
      <c r="B40" t="s">
        <v>67</v>
      </c>
      <c r="C40" t="s">
        <v>71</v>
      </c>
      <c r="D40">
        <v>336.87789649456425</v>
      </c>
      <c r="E40">
        <v>326.04883186430402</v>
      </c>
      <c r="F40">
        <v>310.53317606215558</v>
      </c>
      <c r="G40">
        <v>310.00054692434725</v>
      </c>
      <c r="H40">
        <v>295.73952756568485</v>
      </c>
      <c r="I40">
        <v>268.60124982249295</v>
      </c>
      <c r="J40">
        <v>236.37874815689852</v>
      </c>
      <c r="K40">
        <v>218.11536865450555</v>
      </c>
      <c r="L40">
        <v>206.83442127097371</v>
      </c>
      <c r="M40">
        <v>195.27587508476603</v>
      </c>
      <c r="N40">
        <v>179.10156011010884</v>
      </c>
      <c r="O40">
        <v>177.43170484884999</v>
      </c>
      <c r="P40">
        <v>173.60853195102888</v>
      </c>
      <c r="Q40">
        <v>167.36065341504926</v>
      </c>
      <c r="R40">
        <v>168.49183356812028</v>
      </c>
      <c r="S40">
        <v>167.52308916694673</v>
      </c>
      <c r="T40">
        <v>164.31388541678564</v>
      </c>
      <c r="U40">
        <v>154.39858261614089</v>
      </c>
      <c r="V40">
        <v>147.66668691053357</v>
      </c>
      <c r="W40">
        <v>146.62479928106748</v>
      </c>
      <c r="X40">
        <v>138.3808183633256</v>
      </c>
      <c r="Y40">
        <v>134.14923644892943</v>
      </c>
      <c r="Z40">
        <v>128.96320056828131</v>
      </c>
      <c r="AA40">
        <v>124.547074270811</v>
      </c>
      <c r="AB40">
        <v>119.70645007299095</v>
      </c>
      <c r="AC40">
        <v>115.76569886408241</v>
      </c>
      <c r="AD40">
        <v>112.25524239063603</v>
      </c>
      <c r="AE40" s="4">
        <v>-0.66677765576570758</v>
      </c>
    </row>
    <row r="41" spans="1:31" x14ac:dyDescent="0.25">
      <c r="A41" t="s">
        <v>65</v>
      </c>
      <c r="B41" t="s">
        <v>68</v>
      </c>
      <c r="C41" t="s">
        <v>71</v>
      </c>
      <c r="D41">
        <v>7.9919425752904991E-2</v>
      </c>
      <c r="E41">
        <v>4.0801734999005849E-2</v>
      </c>
      <c r="F41">
        <v>2.538415479557421E-2</v>
      </c>
      <c r="G41">
        <v>2.2844282979507639E-2</v>
      </c>
      <c r="H41">
        <v>2.3675091999428043E-2</v>
      </c>
      <c r="I41">
        <v>2.0904572316781767E-2</v>
      </c>
      <c r="J41">
        <v>7.0017728373120425E-3</v>
      </c>
      <c r="K41">
        <v>8.1401965084187365E-3</v>
      </c>
      <c r="L41">
        <v>1.1468416975912302E-3</v>
      </c>
      <c r="M41">
        <v>1.2042762025734242E-3</v>
      </c>
      <c r="N41">
        <v>1.2073441140027839E-3</v>
      </c>
      <c r="O41">
        <v>1.2464612830888479E-3</v>
      </c>
      <c r="P41">
        <v>1.2919835986374365E-3</v>
      </c>
      <c r="Q41">
        <v>1.5377594203901707E-3</v>
      </c>
      <c r="R41">
        <v>1.5014286482746199E-3</v>
      </c>
      <c r="S41">
        <v>3.3246039071462077E-3</v>
      </c>
      <c r="T41">
        <v>3.3097380466908348E-3</v>
      </c>
      <c r="U41">
        <v>3.2680930353234201E-3</v>
      </c>
      <c r="V41">
        <v>3.2511767181557581E-3</v>
      </c>
      <c r="W41">
        <v>3.2345806856287703E-3</v>
      </c>
      <c r="X41">
        <v>3.2389543898472114E-3</v>
      </c>
      <c r="Y41">
        <v>3.2253198881667926E-3</v>
      </c>
      <c r="Z41">
        <v>3.2526326623731521E-3</v>
      </c>
      <c r="AA41">
        <v>3.2381277308766916E-3</v>
      </c>
      <c r="AB41">
        <v>3.1946368512067972E-3</v>
      </c>
      <c r="AC41">
        <v>3.1488093003252792E-3</v>
      </c>
      <c r="AD41">
        <v>3.1153350920998788E-3</v>
      </c>
      <c r="AE41" s="4">
        <v>-0.96101905059063009</v>
      </c>
    </row>
    <row r="42" spans="1:31" x14ac:dyDescent="0.25">
      <c r="A42" t="s">
        <v>65</v>
      </c>
      <c r="B42" t="s">
        <v>69</v>
      </c>
      <c r="C42" t="s">
        <v>71</v>
      </c>
      <c r="D42">
        <v>0.16502530759967077</v>
      </c>
      <c r="E42">
        <v>0.16138266931717968</v>
      </c>
      <c r="F42">
        <v>0.13645648343970701</v>
      </c>
      <c r="G42">
        <v>0.13413628476156342</v>
      </c>
      <c r="H42">
        <v>0.12740818387071584</v>
      </c>
      <c r="I42">
        <v>0.12087911432279277</v>
      </c>
      <c r="J42">
        <v>9.7873652889767154E-2</v>
      </c>
      <c r="K42">
        <v>9.0474503966539971E-2</v>
      </c>
      <c r="L42">
        <v>7.9980190604768062E-2</v>
      </c>
      <c r="M42">
        <v>7.3009244781013852E-2</v>
      </c>
      <c r="N42">
        <v>7.0455014784906261E-2</v>
      </c>
      <c r="O42">
        <v>7.1239044466985577E-2</v>
      </c>
      <c r="P42">
        <v>6.8280535667248621E-2</v>
      </c>
      <c r="Q42">
        <v>6.4148782037912258E-2</v>
      </c>
      <c r="R42">
        <v>6.4232225184486152E-2</v>
      </c>
      <c r="S42">
        <v>6.6431740503955977E-2</v>
      </c>
      <c r="T42">
        <v>6.6723605971797814E-2</v>
      </c>
      <c r="U42">
        <v>6.1089540148745423E-2</v>
      </c>
      <c r="V42">
        <v>5.8612442027664156E-2</v>
      </c>
      <c r="W42">
        <v>5.6704752297150336E-2</v>
      </c>
      <c r="X42">
        <v>5.52951631280423E-2</v>
      </c>
      <c r="Y42">
        <v>5.4198505194538164E-2</v>
      </c>
      <c r="Z42">
        <v>5.2766448358919076E-2</v>
      </c>
      <c r="AA42">
        <v>5.157817110047553E-2</v>
      </c>
      <c r="AB42">
        <v>4.9200596829900356E-2</v>
      </c>
      <c r="AC42">
        <v>4.7902767775164765E-2</v>
      </c>
      <c r="AD42">
        <v>4.6642560326063495E-2</v>
      </c>
      <c r="AE42" s="4">
        <v>-0.71736116717799381</v>
      </c>
    </row>
    <row r="43" spans="1:31" x14ac:dyDescent="0.25">
      <c r="A43" t="s">
        <v>65</v>
      </c>
      <c r="B43" t="s">
        <v>70</v>
      </c>
      <c r="C43" t="s">
        <v>71</v>
      </c>
      <c r="D43">
        <f>907185*D38/(D17*10^9)</f>
        <v>1.8313852736347967E-7</v>
      </c>
      <c r="E43">
        <f>907185*E38/(E17*10^9)</f>
        <v>1.2997462259900924E-7</v>
      </c>
      <c r="F43">
        <f>907185*F38/(F17*10^9)</f>
        <v>8.1739938693037066E-8</v>
      </c>
      <c r="G43">
        <f>907185*G38/(G17*10^9)</f>
        <v>7.7111844491007132E-8</v>
      </c>
      <c r="H43">
        <f>907185*H38/(H17*10^9)</f>
        <v>8.4083019341819182E-8</v>
      </c>
      <c r="I43">
        <f>907185*I38/(I17*10^9)</f>
        <v>7.9657534708630836E-8</v>
      </c>
      <c r="J43">
        <f>907185*J38/(J17*10^9)</f>
        <v>1.6662707684476645E-8</v>
      </c>
      <c r="K43">
        <f>907185*K38/(K17*10^9)</f>
        <v>1.6477032499339888E-8</v>
      </c>
      <c r="L43">
        <f>907185*L38/(L17*10^9)</f>
        <v>1.2120811953583963E-9</v>
      </c>
      <c r="M43">
        <f>907185*M38/(M17*10^9)</f>
        <v>1.1273363340756774E-9</v>
      </c>
      <c r="N43">
        <f>907185*N38/(N17*10^9)</f>
        <v>1.1308457266141778E-9</v>
      </c>
      <c r="O43">
        <f>907185*O38/(O17*10^9)</f>
        <v>1.0820204805705303E-9</v>
      </c>
      <c r="P43">
        <f>907185*P38/(P17*10^9)</f>
        <v>1.0463472107483437E-9</v>
      </c>
      <c r="Q43">
        <f>907185*Q38/(Q17*10^9)</f>
        <v>9.0881896215288219E-10</v>
      </c>
      <c r="R43">
        <f>907185*R38/(R17*10^9)</f>
        <v>8.8916573637574836E-10</v>
      </c>
      <c r="S43">
        <f>907185*S38/(S17*10^9)</f>
        <v>1.0257398624589026E-10</v>
      </c>
      <c r="T43">
        <f>907185*T38/(T17*10^9)</f>
        <v>1.0101534433347253E-10</v>
      </c>
      <c r="U43">
        <f>907185*U38/(U17*10^9)</f>
        <v>9.8681317230014468E-11</v>
      </c>
      <c r="V43">
        <f>907185*V38/(V17*10^9)</f>
        <v>5.7038188037820309E-12</v>
      </c>
      <c r="W43">
        <f>907185*W38/(W17*10^9)</f>
        <v>5.6107210505269213E-12</v>
      </c>
      <c r="X43">
        <f>907185*X38/(X17*10^9)</f>
        <v>5.5461547771356362E-12</v>
      </c>
      <c r="Y43">
        <f>907185*Y38/(Y17*10^9)</f>
        <v>5.4712805566866704E-12</v>
      </c>
      <c r="Z43">
        <f>907185*Z38/(Z17*10^9)</f>
        <v>0</v>
      </c>
      <c r="AA43">
        <f>907185*AA38/(AA17*10^9)</f>
        <v>2.6961929482736815E-12</v>
      </c>
      <c r="AB43">
        <f>907185*AB38/(AB17*10^9)</f>
        <v>0</v>
      </c>
      <c r="AC43">
        <f>907185*AC38/(AC17*10^9)</f>
        <v>0</v>
      </c>
      <c r="AD43">
        <f>907185*AD38/(AD17*10^9)</f>
        <v>0</v>
      </c>
      <c r="AE43" s="4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43"/>
  <sheetViews>
    <sheetView tabSelected="1" topLeftCell="C1" zoomScale="55" zoomScaleNormal="55" workbookViewId="0">
      <selection sqref="A1:A1048576"/>
    </sheetView>
  </sheetViews>
  <sheetFormatPr defaultRowHeight="15" x14ac:dyDescent="0.25"/>
  <cols>
    <col min="1" max="1" width="50.28515625" bestFit="1" customWidth="1"/>
    <col min="2" max="2" width="35.7109375" bestFit="1" customWidth="1"/>
    <col min="3" max="3" width="17.5703125" bestFit="1" customWidth="1"/>
    <col min="4" max="30" width="16" bestFit="1" customWidth="1"/>
    <col min="31" max="31" width="27.42578125" bestFit="1" customWidth="1"/>
  </cols>
  <sheetData>
    <row r="1" spans="1:31" s="3" customFormat="1" ht="15.75" thickBot="1" x14ac:dyDescent="0.3">
      <c r="A1" s="3" t="s">
        <v>72</v>
      </c>
      <c r="B1" s="1" t="s">
        <v>73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</row>
    <row r="2" spans="1:31" ht="15.75" thickTop="1" x14ac:dyDescent="0.25">
      <c r="A2" t="s">
        <v>29</v>
      </c>
      <c r="B2" t="s">
        <v>30</v>
      </c>
      <c r="C2" t="s">
        <v>31</v>
      </c>
      <c r="D2">
        <v>0.90981800000000002</v>
      </c>
      <c r="E2">
        <v>0.92998999999999998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 s="4" cm="1">
        <f t="array" ref="AE2:AE17">(AD2:AD17-D2:D17)/D2:D17</f>
        <v>-1</v>
      </c>
    </row>
    <row r="3" spans="1:31" x14ac:dyDescent="0.25">
      <c r="A3" t="s">
        <v>29</v>
      </c>
      <c r="B3" t="s">
        <v>32</v>
      </c>
      <c r="C3" t="s">
        <v>31</v>
      </c>
      <c r="D3">
        <v>1.7787000000000001E-2</v>
      </c>
      <c r="E3">
        <v>3.2086999999999997E-2</v>
      </c>
      <c r="F3">
        <v>1.5434E-2</v>
      </c>
      <c r="G3">
        <v>1.5410999999999999E-2</v>
      </c>
      <c r="H3">
        <v>1.5925000000000002E-2</v>
      </c>
      <c r="I3">
        <v>1.5990999999999998E-2</v>
      </c>
      <c r="J3">
        <v>1.1952000000000001E-2</v>
      </c>
      <c r="K3">
        <v>7.1409999999999998E-3</v>
      </c>
      <c r="L3">
        <v>8.1930000000000006E-3</v>
      </c>
      <c r="M3">
        <v>6.0309999999999999E-3</v>
      </c>
      <c r="N3">
        <v>6.4440000000000001E-3</v>
      </c>
      <c r="O3">
        <v>8.5400000000000007E-3</v>
      </c>
      <c r="P3">
        <v>8.4489999999999999E-3</v>
      </c>
      <c r="Q3">
        <v>9.7549999999999998E-3</v>
      </c>
      <c r="R3">
        <v>7.3680000000000004E-3</v>
      </c>
      <c r="S3">
        <v>1.0978999999999999E-2</v>
      </c>
      <c r="T3">
        <v>8.0660000000000003E-3</v>
      </c>
      <c r="U3">
        <v>1.1693E-2</v>
      </c>
      <c r="V3">
        <v>6.79E-3</v>
      </c>
      <c r="W3">
        <v>4.9589999999999999E-3</v>
      </c>
      <c r="X3">
        <v>6.7629999999999999E-3</v>
      </c>
      <c r="Y3">
        <v>1.1693E-2</v>
      </c>
      <c r="Z3">
        <v>6.1199999999999996E-3</v>
      </c>
      <c r="AA3">
        <v>7.273E-3</v>
      </c>
      <c r="AB3">
        <v>6.613E-3</v>
      </c>
      <c r="AC3">
        <v>6.9589999999999999E-3</v>
      </c>
      <c r="AD3">
        <v>6.1009999999999997E-3</v>
      </c>
      <c r="AE3" s="4">
        <v>-0.65699668297070901</v>
      </c>
    </row>
    <row r="4" spans="1:31" x14ac:dyDescent="0.25">
      <c r="A4" t="s">
        <v>29</v>
      </c>
      <c r="B4" t="s">
        <v>33</v>
      </c>
      <c r="C4" t="s">
        <v>31</v>
      </c>
      <c r="D4">
        <v>60.202351</v>
      </c>
      <c r="E4">
        <v>53.769291000000003</v>
      </c>
      <c r="F4">
        <v>41.255749000000002</v>
      </c>
      <c r="G4">
        <v>35.375782000000001</v>
      </c>
      <c r="H4">
        <v>32.636699999999998</v>
      </c>
      <c r="I4">
        <v>29.890201999999999</v>
      </c>
      <c r="J4">
        <v>23.039061</v>
      </c>
      <c r="K4">
        <v>25.921790999999999</v>
      </c>
      <c r="L4">
        <v>28.136742000000002</v>
      </c>
      <c r="M4">
        <v>27.036750999999999</v>
      </c>
      <c r="N4">
        <v>25.206993000000001</v>
      </c>
      <c r="O4">
        <v>25.572141999999999</v>
      </c>
      <c r="P4">
        <v>26.252887999999999</v>
      </c>
      <c r="Q4">
        <v>25.145821000000002</v>
      </c>
      <c r="R4">
        <v>25.604637</v>
      </c>
      <c r="S4">
        <v>23.977433999999999</v>
      </c>
      <c r="T4">
        <v>24.865235999999999</v>
      </c>
      <c r="U4">
        <v>24.875259</v>
      </c>
      <c r="V4">
        <v>26.312538</v>
      </c>
      <c r="W4">
        <v>26.691096999999999</v>
      </c>
      <c r="X4">
        <v>23.032492000000001</v>
      </c>
      <c r="Y4">
        <v>17.072538000000002</v>
      </c>
      <c r="Z4">
        <v>19.1646</v>
      </c>
      <c r="AA4">
        <v>19.296778</v>
      </c>
      <c r="AB4">
        <v>19.639185000000001</v>
      </c>
      <c r="AC4">
        <v>21.096302000000001</v>
      </c>
      <c r="AD4">
        <v>19.775366000000002</v>
      </c>
      <c r="AE4" s="4">
        <v>-0.67151837641689449</v>
      </c>
    </row>
    <row r="5" spans="1:31" x14ac:dyDescent="0.25">
      <c r="A5" t="s">
        <v>29</v>
      </c>
      <c r="B5" t="s">
        <v>34</v>
      </c>
      <c r="C5" t="s">
        <v>31</v>
      </c>
      <c r="D5">
        <v>26.333290000000002</v>
      </c>
      <c r="E5">
        <v>26.741506999999999</v>
      </c>
      <c r="F5">
        <v>26.680641000000001</v>
      </c>
      <c r="G5">
        <v>26.619769999999999</v>
      </c>
      <c r="H5">
        <v>26.609776</v>
      </c>
      <c r="I5">
        <v>26.609300999999999</v>
      </c>
      <c r="J5">
        <v>26.609776</v>
      </c>
      <c r="K5">
        <v>26.609776</v>
      </c>
      <c r="L5">
        <v>26.609776</v>
      </c>
      <c r="M5">
        <v>26.619769999999999</v>
      </c>
      <c r="N5">
        <v>26.619769999999999</v>
      </c>
      <c r="O5">
        <v>26.619769999999999</v>
      </c>
      <c r="P5">
        <v>26.619769999999999</v>
      </c>
      <c r="Q5">
        <v>26.619769999999999</v>
      </c>
      <c r="R5">
        <v>26.619769999999999</v>
      </c>
      <c r="S5">
        <v>26.619769999999999</v>
      </c>
      <c r="T5">
        <v>26.619769999999999</v>
      </c>
      <c r="U5">
        <v>26.619769999999999</v>
      </c>
      <c r="V5">
        <v>26.619769999999999</v>
      </c>
      <c r="W5">
        <v>26.619769999999999</v>
      </c>
      <c r="X5">
        <v>26.619769999999999</v>
      </c>
      <c r="Y5">
        <v>26.619769999999999</v>
      </c>
      <c r="Z5">
        <v>26.619769999999999</v>
      </c>
      <c r="AA5">
        <v>26.619769999999999</v>
      </c>
      <c r="AB5">
        <v>26.619769999999999</v>
      </c>
      <c r="AC5">
        <v>26.619769999999999</v>
      </c>
      <c r="AD5">
        <v>26.619769999999999</v>
      </c>
      <c r="AE5" s="4">
        <v>1.0879005243932581E-2</v>
      </c>
    </row>
    <row r="6" spans="1:31" x14ac:dyDescent="0.25">
      <c r="A6" t="s">
        <v>29</v>
      </c>
      <c r="B6" t="s">
        <v>35</v>
      </c>
      <c r="C6" t="s">
        <v>31</v>
      </c>
      <c r="D6">
        <v>0.90537900000000004</v>
      </c>
      <c r="E6">
        <v>0.86225600000000002</v>
      </c>
      <c r="F6">
        <v>0.76624599999999998</v>
      </c>
      <c r="G6">
        <v>0.83943000000000001</v>
      </c>
      <c r="H6">
        <v>0.80453300000000005</v>
      </c>
      <c r="I6">
        <v>0.80976300000000001</v>
      </c>
      <c r="J6">
        <v>0.77631300000000003</v>
      </c>
      <c r="K6">
        <v>0.76322999999999996</v>
      </c>
      <c r="L6">
        <v>0.73489400000000005</v>
      </c>
      <c r="M6">
        <v>0.72026999999999997</v>
      </c>
      <c r="N6">
        <v>0.71846900000000002</v>
      </c>
      <c r="O6">
        <v>0.724522</v>
      </c>
      <c r="P6">
        <v>0.70870200000000005</v>
      </c>
      <c r="Q6">
        <v>0.680674</v>
      </c>
      <c r="R6">
        <v>0.67200099999999996</v>
      </c>
      <c r="S6">
        <v>0.65071400000000001</v>
      </c>
      <c r="T6">
        <v>0.60837300000000005</v>
      </c>
      <c r="U6">
        <v>0.63566900000000004</v>
      </c>
      <c r="V6">
        <v>0.60096400000000005</v>
      </c>
      <c r="W6">
        <v>0.61353899999999995</v>
      </c>
      <c r="X6">
        <v>0.60832200000000003</v>
      </c>
      <c r="Y6">
        <v>0.60514599999999996</v>
      </c>
      <c r="Z6">
        <v>0.54862699999999998</v>
      </c>
      <c r="AA6">
        <v>0.59733400000000003</v>
      </c>
      <c r="AB6">
        <v>0.55132800000000004</v>
      </c>
      <c r="AC6">
        <v>0.50636499999999995</v>
      </c>
      <c r="AD6">
        <v>0.502938</v>
      </c>
      <c r="AE6" s="4">
        <v>-0.44450003810558897</v>
      </c>
    </row>
    <row r="7" spans="1:31" x14ac:dyDescent="0.25">
      <c r="A7" t="s">
        <v>29</v>
      </c>
      <c r="B7" t="s">
        <v>36</v>
      </c>
      <c r="C7" t="s">
        <v>31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 s="4" t="e">
        <v>#DIV/0!</v>
      </c>
    </row>
    <row r="8" spans="1:31" x14ac:dyDescent="0.25">
      <c r="A8" t="s">
        <v>29</v>
      </c>
      <c r="B8" t="s">
        <v>37</v>
      </c>
      <c r="C8" t="s">
        <v>31</v>
      </c>
      <c r="D8">
        <v>6.8383510000000003</v>
      </c>
      <c r="E8">
        <v>7.4267139999999996</v>
      </c>
      <c r="F8">
        <v>7.7117959999999997</v>
      </c>
      <c r="G8">
        <v>7.9972979999999998</v>
      </c>
      <c r="H8">
        <v>7.9978280000000002</v>
      </c>
      <c r="I8">
        <v>8.0012089999999993</v>
      </c>
      <c r="J8">
        <v>8.0030629999999991</v>
      </c>
      <c r="K8">
        <v>8.0020889999999998</v>
      </c>
      <c r="L8">
        <v>7.9971810000000003</v>
      </c>
      <c r="M8">
        <v>8.0096539999999994</v>
      </c>
      <c r="N8">
        <v>8.0081279999999992</v>
      </c>
      <c r="O8">
        <v>8.0092590000000001</v>
      </c>
      <c r="P8">
        <v>8.0107619999999997</v>
      </c>
      <c r="Q8">
        <v>8.0075149999999997</v>
      </c>
      <c r="R8">
        <v>8.0086060000000003</v>
      </c>
      <c r="S8">
        <v>8.001576</v>
      </c>
      <c r="T8">
        <v>8.0006380000000004</v>
      </c>
      <c r="U8">
        <v>8.0035509999999999</v>
      </c>
      <c r="V8">
        <v>8.0040490000000002</v>
      </c>
      <c r="W8">
        <v>8.0071340000000006</v>
      </c>
      <c r="X8">
        <v>8.0072039999999998</v>
      </c>
      <c r="Y8">
        <v>8.0072360000000007</v>
      </c>
      <c r="Z8">
        <v>8.0140019999999996</v>
      </c>
      <c r="AA8">
        <v>8.0135769999999997</v>
      </c>
      <c r="AB8">
        <v>8.0136160000000007</v>
      </c>
      <c r="AC8">
        <v>8.0147729999999999</v>
      </c>
      <c r="AD8">
        <v>8.0146660000000001</v>
      </c>
      <c r="AE8" s="4">
        <v>0.17201734745701117</v>
      </c>
    </row>
    <row r="9" spans="1:31" x14ac:dyDescent="0.25">
      <c r="A9" t="s">
        <v>29</v>
      </c>
      <c r="B9" t="s">
        <v>38</v>
      </c>
      <c r="C9" t="s">
        <v>31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 s="4" t="e">
        <v>#DIV/0!</v>
      </c>
    </row>
    <row r="10" spans="1:31" x14ac:dyDescent="0.25">
      <c r="A10" t="s">
        <v>29</v>
      </c>
      <c r="B10" t="s">
        <v>39</v>
      </c>
      <c r="C10" t="s">
        <v>31</v>
      </c>
      <c r="D10">
        <v>0.97675900000000004</v>
      </c>
      <c r="E10">
        <v>0.97936900000000005</v>
      </c>
      <c r="F10">
        <v>0.98209599999999997</v>
      </c>
      <c r="G10">
        <v>0.98462300000000003</v>
      </c>
      <c r="H10">
        <v>0.98737399999999997</v>
      </c>
      <c r="I10">
        <v>0.98967899999999998</v>
      </c>
      <c r="J10">
        <v>0.99194300000000002</v>
      </c>
      <c r="K10">
        <v>0.99441299999999999</v>
      </c>
      <c r="L10">
        <v>0.99693299999999996</v>
      </c>
      <c r="M10">
        <v>0.999475</v>
      </c>
      <c r="N10">
        <v>1.0015829999999999</v>
      </c>
      <c r="O10">
        <v>1.003825</v>
      </c>
      <c r="P10">
        <v>1.0061629999999999</v>
      </c>
      <c r="Q10">
        <v>1.008675</v>
      </c>
      <c r="R10">
        <v>1.00702</v>
      </c>
      <c r="S10">
        <v>1.008832</v>
      </c>
      <c r="T10">
        <v>1.010688</v>
      </c>
      <c r="U10">
        <v>1.0168459999999999</v>
      </c>
      <c r="V10">
        <v>1.0144930000000001</v>
      </c>
      <c r="W10">
        <v>1.0206949999999999</v>
      </c>
      <c r="X10">
        <v>1.0174270000000001</v>
      </c>
      <c r="Y10">
        <v>1.022688</v>
      </c>
      <c r="Z10">
        <v>1.0236860000000001</v>
      </c>
      <c r="AA10">
        <v>1.020432</v>
      </c>
      <c r="AB10">
        <v>1.0257179999999999</v>
      </c>
      <c r="AC10">
        <v>1.0257179999999999</v>
      </c>
      <c r="AD10">
        <v>1.0257179999999999</v>
      </c>
      <c r="AE10" s="4">
        <v>5.0123930263248011E-2</v>
      </c>
    </row>
    <row r="11" spans="1:31" x14ac:dyDescent="0.25">
      <c r="A11" t="s">
        <v>29</v>
      </c>
      <c r="B11" t="s">
        <v>40</v>
      </c>
      <c r="C11" t="s">
        <v>31</v>
      </c>
      <c r="D11">
        <v>2.1112660000000001</v>
      </c>
      <c r="E11">
        <v>2.1114410000000001</v>
      </c>
      <c r="F11">
        <v>2.1114570000000001</v>
      </c>
      <c r="G11">
        <v>2.111469</v>
      </c>
      <c r="H11">
        <v>2.1114830000000002</v>
      </c>
      <c r="I11">
        <v>2.111491</v>
      </c>
      <c r="J11">
        <v>2.1016789999999999</v>
      </c>
      <c r="K11">
        <v>2.101064</v>
      </c>
      <c r="L11">
        <v>2.100292</v>
      </c>
      <c r="M11">
        <v>2.0994860000000002</v>
      </c>
      <c r="N11">
        <v>2.1162320000000001</v>
      </c>
      <c r="O11">
        <v>2.1221160000000001</v>
      </c>
      <c r="P11">
        <v>2.1221719999999999</v>
      </c>
      <c r="Q11">
        <v>2.1222240000000001</v>
      </c>
      <c r="R11">
        <v>2.1164520000000002</v>
      </c>
      <c r="S11">
        <v>2.1164900000000002</v>
      </c>
      <c r="T11">
        <v>2.1223420000000002</v>
      </c>
      <c r="U11">
        <v>2.1223679999999998</v>
      </c>
      <c r="V11">
        <v>2.116571</v>
      </c>
      <c r="W11">
        <v>2.1226159999999998</v>
      </c>
      <c r="X11">
        <v>2.1226219999999998</v>
      </c>
      <c r="Y11">
        <v>2.122627</v>
      </c>
      <c r="Z11">
        <v>2.1226289999999999</v>
      </c>
      <c r="AA11">
        <v>2.122627</v>
      </c>
      <c r="AB11">
        <v>2.1168070000000001</v>
      </c>
      <c r="AC11">
        <v>2.1226219999999998</v>
      </c>
      <c r="AD11">
        <v>2.122617</v>
      </c>
      <c r="AE11" s="4">
        <v>5.3763950160708738E-3</v>
      </c>
    </row>
    <row r="12" spans="1:31" x14ac:dyDescent="0.25">
      <c r="A12" t="s">
        <v>29</v>
      </c>
      <c r="B12" t="s">
        <v>41</v>
      </c>
      <c r="C12" t="s">
        <v>31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s="4" t="e">
        <v>#DIV/0!</v>
      </c>
    </row>
    <row r="13" spans="1:31" x14ac:dyDescent="0.25">
      <c r="A13" t="s">
        <v>29</v>
      </c>
      <c r="B13" t="s">
        <v>42</v>
      </c>
      <c r="C13" t="s">
        <v>31</v>
      </c>
      <c r="D13">
        <v>3.8493010000000001</v>
      </c>
      <c r="E13">
        <v>4.4251639999999997</v>
      </c>
      <c r="F13">
        <v>5.3484509999999998</v>
      </c>
      <c r="G13">
        <v>5.6073199999999996</v>
      </c>
      <c r="H13">
        <v>5.5931189999999997</v>
      </c>
      <c r="I13">
        <v>5.6031870000000001</v>
      </c>
      <c r="J13">
        <v>5.6107630000000004</v>
      </c>
      <c r="K13">
        <v>5.6090450000000001</v>
      </c>
      <c r="L13">
        <v>5.6075949999999999</v>
      </c>
      <c r="M13">
        <v>5.5950309999999996</v>
      </c>
      <c r="N13">
        <v>5.599456</v>
      </c>
      <c r="O13">
        <v>5.5881119999999997</v>
      </c>
      <c r="P13">
        <v>5.5797639999999999</v>
      </c>
      <c r="Q13">
        <v>5.5881360000000004</v>
      </c>
      <c r="R13">
        <v>5.5976220000000003</v>
      </c>
      <c r="S13">
        <v>5.6195589999999997</v>
      </c>
      <c r="T13">
        <v>5.6112320000000002</v>
      </c>
      <c r="U13">
        <v>5.6070549999999999</v>
      </c>
      <c r="V13">
        <v>5.6042459999999998</v>
      </c>
      <c r="W13">
        <v>5.5970940000000002</v>
      </c>
      <c r="X13">
        <v>5.5968559999999998</v>
      </c>
      <c r="Y13">
        <v>5.5964099999999997</v>
      </c>
      <c r="Z13">
        <v>5.5790030000000002</v>
      </c>
      <c r="AA13">
        <v>5.5768190000000004</v>
      </c>
      <c r="AB13">
        <v>5.5756360000000003</v>
      </c>
      <c r="AC13">
        <v>5.5743369999999999</v>
      </c>
      <c r="AD13">
        <v>5.5738430000000001</v>
      </c>
      <c r="AE13" s="4">
        <v>0.44801432779613753</v>
      </c>
    </row>
    <row r="14" spans="1:31" x14ac:dyDescent="0.25">
      <c r="A14" t="s">
        <v>29</v>
      </c>
      <c r="B14" t="s">
        <v>43</v>
      </c>
      <c r="C14" t="s">
        <v>31</v>
      </c>
      <c r="D14">
        <v>3.6562480000000002</v>
      </c>
      <c r="E14">
        <v>3.6759089999999999</v>
      </c>
      <c r="F14">
        <v>3.8403309999999999</v>
      </c>
      <c r="G14">
        <v>3.9678309999999999</v>
      </c>
      <c r="H14">
        <v>3.9653</v>
      </c>
      <c r="I14">
        <v>3.9659089999999999</v>
      </c>
      <c r="J14">
        <v>3.9621919999999999</v>
      </c>
      <c r="K14">
        <v>3.9536790000000002</v>
      </c>
      <c r="L14">
        <v>3.9537360000000001</v>
      </c>
      <c r="M14">
        <v>3.9548510000000001</v>
      </c>
      <c r="N14">
        <v>3.9543119999999998</v>
      </c>
      <c r="O14">
        <v>3.9528780000000001</v>
      </c>
      <c r="P14">
        <v>6.9782109999999999</v>
      </c>
      <c r="Q14">
        <v>12.172426</v>
      </c>
      <c r="R14">
        <v>13.408222</v>
      </c>
      <c r="S14">
        <v>19.678357999999999</v>
      </c>
      <c r="T14">
        <v>21.242063999999999</v>
      </c>
      <c r="U14">
        <v>21.243756999999999</v>
      </c>
      <c r="V14">
        <v>24.754307000000001</v>
      </c>
      <c r="W14">
        <v>34.665970000000002</v>
      </c>
      <c r="X14">
        <v>36.928310000000003</v>
      </c>
      <c r="Y14">
        <v>37.343758000000001</v>
      </c>
      <c r="Z14">
        <v>37.460116999999997</v>
      </c>
      <c r="AA14">
        <v>37.460236000000002</v>
      </c>
      <c r="AB14">
        <v>37.460236000000002</v>
      </c>
      <c r="AC14">
        <v>37.460236000000002</v>
      </c>
      <c r="AD14">
        <v>37.460236000000002</v>
      </c>
      <c r="AE14" s="4">
        <v>9.2455402368767121</v>
      </c>
    </row>
    <row r="15" spans="1:31" x14ac:dyDescent="0.25">
      <c r="A15" t="s">
        <v>29</v>
      </c>
      <c r="B15" t="s">
        <v>44</v>
      </c>
      <c r="C15" t="s">
        <v>31</v>
      </c>
      <c r="D15">
        <v>0.100895</v>
      </c>
      <c r="E15">
        <v>5.0998469999999996</v>
      </c>
      <c r="F15">
        <v>12.401089000000001</v>
      </c>
      <c r="G15">
        <v>15.985873</v>
      </c>
      <c r="H15">
        <v>19.159769000000001</v>
      </c>
      <c r="I15">
        <v>22.340816</v>
      </c>
      <c r="J15">
        <v>25.515158</v>
      </c>
      <c r="K15">
        <v>26.819458000000001</v>
      </c>
      <c r="L15">
        <v>27.660107</v>
      </c>
      <c r="M15">
        <v>28.498207000000001</v>
      </c>
      <c r="N15">
        <v>29.336065000000001</v>
      </c>
      <c r="O15">
        <v>30.178550999999999</v>
      </c>
      <c r="P15">
        <v>31.027570999999998</v>
      </c>
      <c r="Q15">
        <v>31.847709999999999</v>
      </c>
      <c r="R15">
        <v>32.686039000000001</v>
      </c>
      <c r="S15">
        <v>33.589336000000003</v>
      </c>
      <c r="T15">
        <v>34.524898999999998</v>
      </c>
      <c r="U15">
        <v>35.459533999999998</v>
      </c>
      <c r="V15">
        <v>36.395167999999998</v>
      </c>
      <c r="W15">
        <v>37.334353999999998</v>
      </c>
      <c r="X15">
        <v>38.270263999999997</v>
      </c>
      <c r="Y15">
        <v>39.210518</v>
      </c>
      <c r="Z15">
        <v>40.155548000000003</v>
      </c>
      <c r="AA15">
        <v>41.091759000000003</v>
      </c>
      <c r="AB15">
        <v>42.027968999999999</v>
      </c>
      <c r="AC15">
        <v>42.964221999999999</v>
      </c>
      <c r="AD15">
        <v>43.900433</v>
      </c>
      <c r="AE15" s="4">
        <v>434.1100946528569</v>
      </c>
    </row>
    <row r="16" spans="1:31" x14ac:dyDescent="0.25">
      <c r="A16" t="s">
        <v>29</v>
      </c>
      <c r="B16" s="5" t="s">
        <v>45</v>
      </c>
      <c r="C16" t="s">
        <v>31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3.7590000000000002E-3</v>
      </c>
      <c r="L16">
        <v>7.6550000000000003E-3</v>
      </c>
      <c r="M16">
        <v>1.8426000000000001E-2</v>
      </c>
      <c r="N16">
        <v>2.9391E-2</v>
      </c>
      <c r="O16">
        <v>4.3160999999999998E-2</v>
      </c>
      <c r="P16">
        <v>5.8076999999999997E-2</v>
      </c>
      <c r="Q16">
        <v>7.2418999999999997E-2</v>
      </c>
      <c r="R16">
        <v>0.117271</v>
      </c>
      <c r="S16">
        <v>0.163743</v>
      </c>
      <c r="T16">
        <v>0.207792</v>
      </c>
      <c r="U16">
        <v>0.25075199999999997</v>
      </c>
      <c r="V16">
        <v>0.28991899999999998</v>
      </c>
      <c r="W16">
        <v>0.32734999999999997</v>
      </c>
      <c r="X16">
        <v>0.36941000000000002</v>
      </c>
      <c r="Y16">
        <v>0.40854699999999999</v>
      </c>
      <c r="Z16">
        <v>0.44025199999999998</v>
      </c>
      <c r="AA16">
        <v>0.475352</v>
      </c>
      <c r="AB16">
        <v>0.51075899999999996</v>
      </c>
      <c r="AC16">
        <v>0.54842100000000005</v>
      </c>
      <c r="AD16">
        <v>0.58754600000000001</v>
      </c>
      <c r="AE16" s="4" t="e">
        <v>#DIV/0!</v>
      </c>
    </row>
    <row r="17" spans="1:31" x14ac:dyDescent="0.25">
      <c r="A17" t="s">
        <v>29</v>
      </c>
      <c r="B17" s="5" t="s">
        <v>46</v>
      </c>
      <c r="C17" t="s">
        <v>31</v>
      </c>
      <c r="D17">
        <v>105.901443</v>
      </c>
      <c r="E17">
        <v>106.05358099999999</v>
      </c>
      <c r="F17">
        <v>101.11328899999999</v>
      </c>
      <c r="G17">
        <v>99.504807</v>
      </c>
      <c r="H17">
        <v>99.881805</v>
      </c>
      <c r="I17">
        <v>100.33755499999999</v>
      </c>
      <c r="J17">
        <v>96.621902000000006</v>
      </c>
      <c r="K17">
        <v>100.78544599999999</v>
      </c>
      <c r="L17">
        <v>103.813103</v>
      </c>
      <c r="M17">
        <v>103.557945</v>
      </c>
      <c r="N17">
        <v>102.59684</v>
      </c>
      <c r="O17">
        <v>103.822868</v>
      </c>
      <c r="P17">
        <v>108.372528</v>
      </c>
      <c r="Q17">
        <v>113.275116</v>
      </c>
      <c r="R17">
        <v>115.845009</v>
      </c>
      <c r="S17">
        <v>121.436798</v>
      </c>
      <c r="T17">
        <v>124.821106</v>
      </c>
      <c r="U17">
        <v>125.846245</v>
      </c>
      <c r="V17">
        <v>131.71881099999999</v>
      </c>
      <c r="W17">
        <v>143.004593</v>
      </c>
      <c r="X17">
        <v>142.57943700000001</v>
      </c>
      <c r="Y17">
        <v>138.02093500000001</v>
      </c>
      <c r="Z17">
        <v>141.134354</v>
      </c>
      <c r="AA17">
        <v>142.28196700000001</v>
      </c>
      <c r="AB17">
        <v>143.54763800000001</v>
      </c>
      <c r="AC17">
        <v>145.939728</v>
      </c>
      <c r="AD17">
        <v>145.58923300000001</v>
      </c>
      <c r="AE17" s="4">
        <v>0.37476156014229201</v>
      </c>
    </row>
    <row r="18" spans="1:31" x14ac:dyDescent="0.25">
      <c r="A18" t="s">
        <v>75</v>
      </c>
      <c r="B18" t="s">
        <v>47</v>
      </c>
      <c r="C18" t="s">
        <v>48</v>
      </c>
      <c r="D18">
        <v>25.354225</v>
      </c>
      <c r="E18">
        <v>26.090471000000001</v>
      </c>
      <c r="F18">
        <v>23.909945</v>
      </c>
      <c r="G18">
        <v>21.07987</v>
      </c>
      <c r="H18">
        <v>20.78031</v>
      </c>
      <c r="I18">
        <v>20.534521000000002</v>
      </c>
      <c r="J18">
        <v>20.564972000000001</v>
      </c>
      <c r="K18">
        <v>20.524702000000001</v>
      </c>
      <c r="L18">
        <v>20.941956000000001</v>
      </c>
      <c r="M18">
        <v>21.777108999999999</v>
      </c>
      <c r="N18">
        <v>21.784949999999998</v>
      </c>
      <c r="O18">
        <v>21.757967000000001</v>
      </c>
      <c r="P18">
        <v>21.655536999999999</v>
      </c>
      <c r="Q18">
        <v>21.685278</v>
      </c>
      <c r="R18">
        <v>21.556656</v>
      </c>
      <c r="S18">
        <v>21.456318</v>
      </c>
      <c r="T18">
        <v>21.355596999999999</v>
      </c>
      <c r="U18">
        <v>21.421088999999998</v>
      </c>
      <c r="V18">
        <v>21.549551000000001</v>
      </c>
      <c r="W18">
        <v>21.675605999999998</v>
      </c>
      <c r="X18">
        <v>21.756658999999999</v>
      </c>
      <c r="Y18">
        <v>21.909136</v>
      </c>
      <c r="Z18">
        <v>22.162486999999999</v>
      </c>
      <c r="AA18">
        <v>22.375982</v>
      </c>
      <c r="AB18">
        <v>22.517809</v>
      </c>
      <c r="AC18">
        <v>22.651689999999999</v>
      </c>
      <c r="AD18">
        <v>22.829118999999999</v>
      </c>
      <c r="AE18" s="4" cm="1">
        <f t="array" ref="AE18:AE22">(AD18:AD22-D18:D22)/D18:D22</f>
        <v>-9.9593105291130024E-2</v>
      </c>
    </row>
    <row r="19" spans="1:31" x14ac:dyDescent="0.25">
      <c r="A19" t="s">
        <v>75</v>
      </c>
      <c r="B19" t="s">
        <v>49</v>
      </c>
      <c r="C19" t="s">
        <v>48</v>
      </c>
      <c r="D19">
        <v>22.232285999999998</v>
      </c>
      <c r="E19">
        <v>22.761513000000001</v>
      </c>
      <c r="F19">
        <v>20.920963</v>
      </c>
      <c r="G19">
        <v>18.162351999999998</v>
      </c>
      <c r="H19">
        <v>17.857063</v>
      </c>
      <c r="I19">
        <v>17.560419</v>
      </c>
      <c r="J19">
        <v>17.632994</v>
      </c>
      <c r="K19">
        <v>17.587306999999999</v>
      </c>
      <c r="L19">
        <v>18.053663</v>
      </c>
      <c r="M19">
        <v>19.079584000000001</v>
      </c>
      <c r="N19">
        <v>19.087382999999999</v>
      </c>
      <c r="O19">
        <v>19.085201000000001</v>
      </c>
      <c r="P19">
        <v>18.967133</v>
      </c>
      <c r="Q19">
        <v>19.073592999999999</v>
      </c>
      <c r="R19">
        <v>18.990901999999998</v>
      </c>
      <c r="S19">
        <v>18.895790000000002</v>
      </c>
      <c r="T19">
        <v>18.814682000000001</v>
      </c>
      <c r="U19">
        <v>18.899253999999999</v>
      </c>
      <c r="V19">
        <v>19.026747</v>
      </c>
      <c r="W19">
        <v>19.015335</v>
      </c>
      <c r="X19">
        <v>19.015771999999998</v>
      </c>
      <c r="Y19">
        <v>19.081593999999999</v>
      </c>
      <c r="Z19">
        <v>19.241713000000001</v>
      </c>
      <c r="AA19">
        <v>19.362959</v>
      </c>
      <c r="AB19">
        <v>19.425851999999999</v>
      </c>
      <c r="AC19">
        <v>19.483544999999999</v>
      </c>
      <c r="AD19">
        <v>19.548722999999999</v>
      </c>
      <c r="AE19" s="4">
        <v>-0.1207056710227639</v>
      </c>
    </row>
    <row r="20" spans="1:31" x14ac:dyDescent="0.25">
      <c r="A20" t="s">
        <v>75</v>
      </c>
      <c r="B20" t="s">
        <v>50</v>
      </c>
      <c r="C20" t="s">
        <v>48</v>
      </c>
      <c r="D20">
        <v>19.010265</v>
      </c>
      <c r="E20">
        <v>19.509298000000001</v>
      </c>
      <c r="F20">
        <v>17.25001</v>
      </c>
      <c r="G20">
        <v>14.436883</v>
      </c>
      <c r="H20">
        <v>14.112432</v>
      </c>
      <c r="I20">
        <v>13.880373000000001</v>
      </c>
      <c r="J20">
        <v>13.87646</v>
      </c>
      <c r="K20">
        <v>13.821933</v>
      </c>
      <c r="L20">
        <v>14.220725</v>
      </c>
      <c r="M20">
        <v>14.971927000000001</v>
      </c>
      <c r="N20">
        <v>14.982741000000001</v>
      </c>
      <c r="O20">
        <v>14.969455</v>
      </c>
      <c r="P20">
        <v>14.889666999999999</v>
      </c>
      <c r="Q20">
        <v>14.911531999999999</v>
      </c>
      <c r="R20">
        <v>14.804079</v>
      </c>
      <c r="S20">
        <v>14.729424</v>
      </c>
      <c r="T20">
        <v>14.643179999999999</v>
      </c>
      <c r="U20">
        <v>14.704904000000001</v>
      </c>
      <c r="V20">
        <v>14.820237000000001</v>
      </c>
      <c r="W20">
        <v>14.834815000000001</v>
      </c>
      <c r="X20">
        <v>14.841868</v>
      </c>
      <c r="Y20">
        <v>14.918335000000001</v>
      </c>
      <c r="Z20">
        <v>15.083148</v>
      </c>
      <c r="AA20">
        <v>15.193785999999999</v>
      </c>
      <c r="AB20">
        <v>15.248806999999999</v>
      </c>
      <c r="AC20">
        <v>15.283029000000001</v>
      </c>
      <c r="AD20">
        <v>15.333066000000001</v>
      </c>
      <c r="AE20" s="4">
        <v>-0.19343228513647756</v>
      </c>
    </row>
    <row r="21" spans="1:31" x14ac:dyDescent="0.25">
      <c r="A21" t="s">
        <v>75</v>
      </c>
      <c r="B21" t="s">
        <v>51</v>
      </c>
      <c r="C21" t="s">
        <v>48</v>
      </c>
      <c r="D21">
        <v>21.737359999999999</v>
      </c>
      <c r="E21">
        <v>22.209886999999998</v>
      </c>
      <c r="F21">
        <v>19.952591000000002</v>
      </c>
      <c r="G21">
        <v>17.130793000000001</v>
      </c>
      <c r="H21">
        <v>16.831249</v>
      </c>
      <c r="I21">
        <v>16.634418</v>
      </c>
      <c r="J21">
        <v>16.650404000000002</v>
      </c>
      <c r="K21">
        <v>16.620564000000002</v>
      </c>
      <c r="L21">
        <v>17.032952999999999</v>
      </c>
      <c r="M21">
        <v>17.77046</v>
      </c>
      <c r="N21">
        <v>17.798365</v>
      </c>
      <c r="O21">
        <v>17.792532000000001</v>
      </c>
      <c r="P21">
        <v>17.715399000000001</v>
      </c>
      <c r="Q21">
        <v>17.727539</v>
      </c>
      <c r="R21">
        <v>17.645596000000001</v>
      </c>
      <c r="S21">
        <v>17.592338999999999</v>
      </c>
      <c r="T21">
        <v>17.533702999999999</v>
      </c>
      <c r="U21">
        <v>17.613503000000001</v>
      </c>
      <c r="V21">
        <v>17.744994999999999</v>
      </c>
      <c r="W21">
        <v>17.796019000000001</v>
      </c>
      <c r="X21">
        <v>17.808012000000002</v>
      </c>
      <c r="Y21">
        <v>17.88036</v>
      </c>
      <c r="Z21">
        <v>18.044657000000001</v>
      </c>
      <c r="AA21">
        <v>18.162766999999999</v>
      </c>
      <c r="AB21">
        <v>18.237024000000002</v>
      </c>
      <c r="AC21">
        <v>18.282969000000001</v>
      </c>
      <c r="AD21">
        <v>18.323067000000002</v>
      </c>
      <c r="AE21" s="4">
        <v>-0.15707026980277261</v>
      </c>
    </row>
    <row r="22" spans="1:31" x14ac:dyDescent="0.25">
      <c r="A22" t="s">
        <v>75</v>
      </c>
      <c r="B22" t="s">
        <v>52</v>
      </c>
      <c r="C22" t="s">
        <v>48</v>
      </c>
      <c r="D22">
        <v>23.147289000000001</v>
      </c>
      <c r="E22">
        <v>23.721502000000001</v>
      </c>
      <c r="F22">
        <v>21.693162999999998</v>
      </c>
      <c r="G22">
        <v>18.912144000000001</v>
      </c>
      <c r="H22">
        <v>18.624013999999999</v>
      </c>
      <c r="I22">
        <v>18.367146000000002</v>
      </c>
      <c r="J22">
        <v>18.414239999999999</v>
      </c>
      <c r="K22">
        <v>18.372066</v>
      </c>
      <c r="L22">
        <v>18.809138999999998</v>
      </c>
      <c r="M22">
        <v>19.716384999999999</v>
      </c>
      <c r="N22">
        <v>19.724466</v>
      </c>
      <c r="O22">
        <v>19.711483000000001</v>
      </c>
      <c r="P22">
        <v>19.607948</v>
      </c>
      <c r="Q22">
        <v>19.675308000000001</v>
      </c>
      <c r="R22">
        <v>19.573784</v>
      </c>
      <c r="S22">
        <v>19.484090999999999</v>
      </c>
      <c r="T22">
        <v>19.398598</v>
      </c>
      <c r="U22">
        <v>19.476669000000001</v>
      </c>
      <c r="V22">
        <v>19.607447000000001</v>
      </c>
      <c r="W22">
        <v>19.663853</v>
      </c>
      <c r="X22">
        <v>19.704502000000002</v>
      </c>
      <c r="Y22">
        <v>19.812111000000002</v>
      </c>
      <c r="Z22">
        <v>20.016010000000001</v>
      </c>
      <c r="AA22">
        <v>20.176352999999999</v>
      </c>
      <c r="AB22">
        <v>20.271635</v>
      </c>
      <c r="AC22">
        <v>20.358097000000001</v>
      </c>
      <c r="AD22">
        <v>20.468914000000002</v>
      </c>
      <c r="AE22" s="4">
        <v>-0.11571009460330317</v>
      </c>
    </row>
    <row r="23" spans="1:31" x14ac:dyDescent="0.25">
      <c r="A23" t="s">
        <v>74</v>
      </c>
      <c r="B23" t="s">
        <v>47</v>
      </c>
      <c r="C23" t="s">
        <v>53</v>
      </c>
      <c r="D23">
        <v>25.354225</v>
      </c>
      <c r="E23">
        <v>26.625745999999999</v>
      </c>
      <c r="F23">
        <v>24.812542000000001</v>
      </c>
      <c r="G23">
        <v>22.240224999999999</v>
      </c>
      <c r="H23">
        <v>22.338153999999999</v>
      </c>
      <c r="I23">
        <v>22.465502000000001</v>
      </c>
      <c r="J23">
        <v>22.919215999999999</v>
      </c>
      <c r="K23">
        <v>23.344605999999999</v>
      </c>
      <c r="L23">
        <v>24.322510000000001</v>
      </c>
      <c r="M23">
        <v>25.842918000000001</v>
      </c>
      <c r="N23">
        <v>26.424643</v>
      </c>
      <c r="O23">
        <v>26.964086999999999</v>
      </c>
      <c r="P23">
        <v>27.392557</v>
      </c>
      <c r="Q23">
        <v>28.000686999999999</v>
      </c>
      <c r="R23">
        <v>28.409659999999999</v>
      </c>
      <c r="S23">
        <v>28.856569</v>
      </c>
      <c r="T23">
        <v>29.325393999999999</v>
      </c>
      <c r="U23">
        <v>30.043482000000001</v>
      </c>
      <c r="V23">
        <v>30.882847000000002</v>
      </c>
      <c r="W23">
        <v>31.755123000000001</v>
      </c>
      <c r="X23">
        <v>32.583770999999999</v>
      </c>
      <c r="Y23">
        <v>33.552478999999998</v>
      </c>
      <c r="Z23">
        <v>34.708098999999997</v>
      </c>
      <c r="AA23">
        <v>35.841495999999999</v>
      </c>
      <c r="AB23">
        <v>36.891109</v>
      </c>
      <c r="AC23">
        <v>37.948478999999999</v>
      </c>
      <c r="AD23">
        <v>39.102581000000001</v>
      </c>
      <c r="AE23" s="4" cm="1">
        <f t="array" ref="AE23:AE27">(AD23:AD27-D23:D27)/D23:D27</f>
        <v>0.54225108438534408</v>
      </c>
    </row>
    <row r="24" spans="1:31" x14ac:dyDescent="0.25">
      <c r="A24" t="s">
        <v>74</v>
      </c>
      <c r="B24" t="s">
        <v>49</v>
      </c>
      <c r="C24" t="s">
        <v>53</v>
      </c>
      <c r="D24">
        <v>22.232285999999998</v>
      </c>
      <c r="E24">
        <v>23.228489</v>
      </c>
      <c r="F24">
        <v>21.710726000000001</v>
      </c>
      <c r="G24">
        <v>19.162109000000001</v>
      </c>
      <c r="H24">
        <v>19.195761000000001</v>
      </c>
      <c r="I24">
        <v>19.211728999999998</v>
      </c>
      <c r="J24">
        <v>19.651589999999999</v>
      </c>
      <c r="K24">
        <v>20.003640999999998</v>
      </c>
      <c r="L24">
        <v>20.967976</v>
      </c>
      <c r="M24">
        <v>22.641763999999998</v>
      </c>
      <c r="N24">
        <v>23.152555</v>
      </c>
      <c r="O24">
        <v>23.651796000000001</v>
      </c>
      <c r="P24">
        <v>23.991935999999999</v>
      </c>
      <c r="Q24">
        <v>24.628401</v>
      </c>
      <c r="R24">
        <v>25.028236</v>
      </c>
      <c r="S24">
        <v>25.41292</v>
      </c>
      <c r="T24">
        <v>25.836224000000001</v>
      </c>
      <c r="U24">
        <v>26.506558999999999</v>
      </c>
      <c r="V24">
        <v>27.267395</v>
      </c>
      <c r="W24">
        <v>27.857780000000002</v>
      </c>
      <c r="X24">
        <v>28.478892999999999</v>
      </c>
      <c r="Y24">
        <v>29.222276999999998</v>
      </c>
      <c r="Z24">
        <v>30.133951</v>
      </c>
      <c r="AA24">
        <v>31.015281999999999</v>
      </c>
      <c r="AB24">
        <v>31.825529</v>
      </c>
      <c r="AC24">
        <v>32.640869000000002</v>
      </c>
      <c r="AD24">
        <v>33.483795000000001</v>
      </c>
      <c r="AE24" s="4">
        <v>0.50608871260472288</v>
      </c>
    </row>
    <row r="25" spans="1:31" x14ac:dyDescent="0.25">
      <c r="A25" t="s">
        <v>74</v>
      </c>
      <c r="B25" t="s">
        <v>50</v>
      </c>
      <c r="C25" t="s">
        <v>53</v>
      </c>
      <c r="D25">
        <v>19.010265</v>
      </c>
      <c r="E25">
        <v>19.909554</v>
      </c>
      <c r="F25">
        <v>17.901195999999999</v>
      </c>
      <c r="G25">
        <v>15.23157</v>
      </c>
      <c r="H25">
        <v>15.170403</v>
      </c>
      <c r="I25">
        <v>15.185625999999999</v>
      </c>
      <c r="J25">
        <v>15.465014</v>
      </c>
      <c r="K25">
        <v>15.720940000000001</v>
      </c>
      <c r="L25">
        <v>16.516306</v>
      </c>
      <c r="M25">
        <v>17.767202000000001</v>
      </c>
      <c r="N25">
        <v>18.173718999999998</v>
      </c>
      <c r="O25">
        <v>18.551258000000001</v>
      </c>
      <c r="P25">
        <v>18.834261000000001</v>
      </c>
      <c r="Q25">
        <v>19.254221000000001</v>
      </c>
      <c r="R25">
        <v>19.510394999999999</v>
      </c>
      <c r="S25">
        <v>19.809577999999998</v>
      </c>
      <c r="T25">
        <v>20.107937</v>
      </c>
      <c r="U25">
        <v>20.623905000000001</v>
      </c>
      <c r="V25">
        <v>21.23901</v>
      </c>
      <c r="W25">
        <v>21.733250000000002</v>
      </c>
      <c r="X25">
        <v>22.227865000000001</v>
      </c>
      <c r="Y25">
        <v>22.846503999999999</v>
      </c>
      <c r="Z25">
        <v>23.62133</v>
      </c>
      <c r="AA25">
        <v>24.337166</v>
      </c>
      <c r="AB25">
        <v>24.982244000000001</v>
      </c>
      <c r="AC25">
        <v>25.603726999999999</v>
      </c>
      <c r="AD25">
        <v>26.263058000000001</v>
      </c>
      <c r="AE25" s="4">
        <v>0.38151982626228514</v>
      </c>
    </row>
    <row r="26" spans="1:31" x14ac:dyDescent="0.25">
      <c r="A26" t="s">
        <v>74</v>
      </c>
      <c r="B26" t="s">
        <v>51</v>
      </c>
      <c r="C26" t="s">
        <v>53</v>
      </c>
      <c r="D26">
        <v>21.737359999999999</v>
      </c>
      <c r="E26">
        <v>22.665545000000002</v>
      </c>
      <c r="F26">
        <v>20.705797</v>
      </c>
      <c r="G26">
        <v>18.073768999999999</v>
      </c>
      <c r="H26">
        <v>18.093042000000001</v>
      </c>
      <c r="I26">
        <v>18.198650000000001</v>
      </c>
      <c r="J26">
        <v>18.556516999999999</v>
      </c>
      <c r="K26">
        <v>18.904077999999998</v>
      </c>
      <c r="L26">
        <v>19.782496999999999</v>
      </c>
      <c r="M26">
        <v>21.088224</v>
      </c>
      <c r="N26">
        <v>21.589005</v>
      </c>
      <c r="O26">
        <v>22.049825999999999</v>
      </c>
      <c r="P26">
        <v>22.40859</v>
      </c>
      <c r="Q26">
        <v>22.890335</v>
      </c>
      <c r="R26">
        <v>23.255247000000001</v>
      </c>
      <c r="S26">
        <v>23.65991</v>
      </c>
      <c r="T26">
        <v>24.077188</v>
      </c>
      <c r="U26">
        <v>24.70327</v>
      </c>
      <c r="V26">
        <v>25.430506000000001</v>
      </c>
      <c r="W26">
        <v>26.071463000000001</v>
      </c>
      <c r="X26">
        <v>26.670096999999998</v>
      </c>
      <c r="Y26">
        <v>27.382660000000001</v>
      </c>
      <c r="Z26">
        <v>28.259271999999999</v>
      </c>
      <c r="AA26">
        <v>29.092832999999999</v>
      </c>
      <c r="AB26">
        <v>29.877863000000001</v>
      </c>
      <c r="AC26">
        <v>30.629539000000001</v>
      </c>
      <c r="AD26">
        <v>31.384444999999999</v>
      </c>
      <c r="AE26" s="4">
        <v>0.44380205323921584</v>
      </c>
    </row>
    <row r="27" spans="1:31" x14ac:dyDescent="0.25">
      <c r="A27" t="s">
        <v>74</v>
      </c>
      <c r="B27" t="s">
        <v>52</v>
      </c>
      <c r="C27" t="s">
        <v>53</v>
      </c>
      <c r="D27">
        <v>23.147289000000001</v>
      </c>
      <c r="E27">
        <v>24.208174</v>
      </c>
      <c r="F27">
        <v>22.512074999999999</v>
      </c>
      <c r="G27">
        <v>19.953175000000002</v>
      </c>
      <c r="H27">
        <v>20.020206000000002</v>
      </c>
      <c r="I27">
        <v>20.094315000000002</v>
      </c>
      <c r="J27">
        <v>20.522272000000001</v>
      </c>
      <c r="K27">
        <v>20.896218999999999</v>
      </c>
      <c r="L27">
        <v>21.845403999999998</v>
      </c>
      <c r="M27">
        <v>23.397452999999999</v>
      </c>
      <c r="N27">
        <v>23.925322000000001</v>
      </c>
      <c r="O27">
        <v>24.427931000000001</v>
      </c>
      <c r="P27">
        <v>24.802515</v>
      </c>
      <c r="Q27">
        <v>25.405353999999999</v>
      </c>
      <c r="R27">
        <v>25.796419</v>
      </c>
      <c r="S27">
        <v>26.204122999999999</v>
      </c>
      <c r="T27">
        <v>26.638054</v>
      </c>
      <c r="U27">
        <v>27.316395</v>
      </c>
      <c r="V27">
        <v>28.099602000000001</v>
      </c>
      <c r="W27">
        <v>28.807870999999999</v>
      </c>
      <c r="X27">
        <v>29.510368</v>
      </c>
      <c r="Y27">
        <v>30.341018999999999</v>
      </c>
      <c r="Z27">
        <v>31.346558000000002</v>
      </c>
      <c r="AA27">
        <v>32.318165</v>
      </c>
      <c r="AB27">
        <v>33.211185</v>
      </c>
      <c r="AC27">
        <v>34.106009999999998</v>
      </c>
      <c r="AD27">
        <v>35.059933000000001</v>
      </c>
      <c r="AE27" s="4">
        <v>0.51464532196405377</v>
      </c>
    </row>
    <row r="28" spans="1:31" x14ac:dyDescent="0.25">
      <c r="A28" t="s">
        <v>76</v>
      </c>
      <c r="B28" t="s">
        <v>54</v>
      </c>
      <c r="C28" t="s">
        <v>48</v>
      </c>
      <c r="D28">
        <v>10.320570999999999</v>
      </c>
      <c r="E28">
        <v>10.753538000000001</v>
      </c>
      <c r="F28">
        <v>8.4536859999999994</v>
      </c>
      <c r="G28">
        <v>5.5050309999999998</v>
      </c>
      <c r="H28">
        <v>5.0978849999999998</v>
      </c>
      <c r="I28">
        <v>4.7423630000000001</v>
      </c>
      <c r="J28">
        <v>4.7020479999999996</v>
      </c>
      <c r="K28">
        <v>4.5923449999999999</v>
      </c>
      <c r="L28">
        <v>4.9612819999999997</v>
      </c>
      <c r="M28">
        <v>5.7895479999999999</v>
      </c>
      <c r="N28">
        <v>5.7429709999999998</v>
      </c>
      <c r="O28">
        <v>5.6940780000000002</v>
      </c>
      <c r="P28">
        <v>5.5563029999999998</v>
      </c>
      <c r="Q28">
        <v>5.5830409999999997</v>
      </c>
      <c r="R28">
        <v>5.4466049999999999</v>
      </c>
      <c r="S28">
        <v>5.3176370000000004</v>
      </c>
      <c r="T28">
        <v>5.187875</v>
      </c>
      <c r="U28">
        <v>5.2178259999999996</v>
      </c>
      <c r="V28">
        <v>5.2888289999999998</v>
      </c>
      <c r="W28">
        <v>5.2619090000000002</v>
      </c>
      <c r="X28">
        <v>5.2149999999999999</v>
      </c>
      <c r="Y28">
        <v>5.2511169999999998</v>
      </c>
      <c r="Z28">
        <v>5.3701930000000004</v>
      </c>
      <c r="AA28">
        <v>5.4464969999999999</v>
      </c>
      <c r="AB28">
        <v>5.4651630000000004</v>
      </c>
      <c r="AC28">
        <v>5.4709880000000002</v>
      </c>
      <c r="AD28">
        <v>5.4971399999999999</v>
      </c>
      <c r="AE28" s="4" cm="1">
        <f t="array" ref="AE28:AE30">(AD28:AD30-D28:D30)/D28:D30</f>
        <v>-0.46736086598309334</v>
      </c>
    </row>
    <row r="29" spans="1:31" x14ac:dyDescent="0.25">
      <c r="A29" t="s">
        <v>76</v>
      </c>
      <c r="B29" t="s">
        <v>55</v>
      </c>
      <c r="C29" t="s">
        <v>48</v>
      </c>
      <c r="D29">
        <v>5.5108740000000003</v>
      </c>
      <c r="E29">
        <v>5.6158089999999996</v>
      </c>
      <c r="F29">
        <v>5.791887</v>
      </c>
      <c r="G29">
        <v>5.902272</v>
      </c>
      <c r="H29">
        <v>5.9842079999999997</v>
      </c>
      <c r="I29">
        <v>6.0496679999999996</v>
      </c>
      <c r="J29">
        <v>6.1050120000000003</v>
      </c>
      <c r="K29">
        <v>6.1452879999999999</v>
      </c>
      <c r="L29">
        <v>6.1845920000000003</v>
      </c>
      <c r="M29">
        <v>6.232335</v>
      </c>
      <c r="N29">
        <v>6.2651209999999997</v>
      </c>
      <c r="O29">
        <v>6.2883820000000004</v>
      </c>
      <c r="P29">
        <v>6.3149499999999996</v>
      </c>
      <c r="Q29">
        <v>6.3487799999999996</v>
      </c>
      <c r="R29">
        <v>6.3742080000000003</v>
      </c>
      <c r="S29">
        <v>6.3985240000000001</v>
      </c>
      <c r="T29">
        <v>6.4264780000000004</v>
      </c>
      <c r="U29">
        <v>6.4529839999999998</v>
      </c>
      <c r="V29">
        <v>6.4885719999999996</v>
      </c>
      <c r="W29">
        <v>6.5443470000000001</v>
      </c>
      <c r="X29">
        <v>6.6023930000000002</v>
      </c>
      <c r="Y29">
        <v>6.6417060000000001</v>
      </c>
      <c r="Z29">
        <v>6.6869589999999999</v>
      </c>
      <c r="AA29">
        <v>6.7318860000000003</v>
      </c>
      <c r="AB29">
        <v>6.7724289999999998</v>
      </c>
      <c r="AC29">
        <v>6.8162900000000004</v>
      </c>
      <c r="AD29">
        <v>6.8648829999999998</v>
      </c>
      <c r="AE29" s="4">
        <v>0.24569768788036153</v>
      </c>
    </row>
    <row r="30" spans="1:31" x14ac:dyDescent="0.25">
      <c r="A30" t="s">
        <v>76</v>
      </c>
      <c r="B30" t="s">
        <v>56</v>
      </c>
      <c r="C30" t="s">
        <v>48</v>
      </c>
      <c r="D30">
        <v>7.3158469999999998</v>
      </c>
      <c r="E30">
        <v>7.3521570000000001</v>
      </c>
      <c r="F30">
        <v>7.4475889999999998</v>
      </c>
      <c r="G30">
        <v>7.5048380000000003</v>
      </c>
      <c r="H30">
        <v>7.5419210000000003</v>
      </c>
      <c r="I30">
        <v>7.5751150000000003</v>
      </c>
      <c r="J30">
        <v>7.6071799999999996</v>
      </c>
      <c r="K30">
        <v>7.6344349999999999</v>
      </c>
      <c r="L30">
        <v>7.6632660000000001</v>
      </c>
      <c r="M30">
        <v>7.6945009999999998</v>
      </c>
      <c r="N30">
        <v>7.7163729999999999</v>
      </c>
      <c r="O30">
        <v>7.7290229999999998</v>
      </c>
      <c r="P30">
        <v>7.736694</v>
      </c>
      <c r="Q30">
        <v>7.7434859999999999</v>
      </c>
      <c r="R30">
        <v>7.7529700000000004</v>
      </c>
      <c r="S30">
        <v>7.7679280000000004</v>
      </c>
      <c r="T30">
        <v>7.7842440000000002</v>
      </c>
      <c r="U30">
        <v>7.8058579999999997</v>
      </c>
      <c r="V30">
        <v>7.830044</v>
      </c>
      <c r="W30">
        <v>7.857596</v>
      </c>
      <c r="X30">
        <v>7.8871099999999998</v>
      </c>
      <c r="Y30">
        <v>7.9192869999999997</v>
      </c>
      <c r="Z30">
        <v>7.9588580000000002</v>
      </c>
      <c r="AA30">
        <v>7.9979709999999997</v>
      </c>
      <c r="AB30">
        <v>8.0340439999999997</v>
      </c>
      <c r="AC30">
        <v>8.0708179999999992</v>
      </c>
      <c r="AD30">
        <v>8.1068890000000007</v>
      </c>
      <c r="AE30" s="4">
        <v>0.10812719292790034</v>
      </c>
    </row>
    <row r="31" spans="1:31" x14ac:dyDescent="0.25">
      <c r="A31" t="s">
        <v>77</v>
      </c>
      <c r="B31" t="s">
        <v>54</v>
      </c>
      <c r="C31" t="s">
        <v>53</v>
      </c>
      <c r="D31">
        <v>10.320570999999999</v>
      </c>
      <c r="E31">
        <v>10.974157999999999</v>
      </c>
      <c r="F31">
        <v>8.7728110000000008</v>
      </c>
      <c r="G31">
        <v>5.8080590000000001</v>
      </c>
      <c r="H31">
        <v>5.4800599999999999</v>
      </c>
      <c r="I31">
        <v>5.1883160000000004</v>
      </c>
      <c r="J31">
        <v>5.2403310000000003</v>
      </c>
      <c r="K31">
        <v>5.2232909999999997</v>
      </c>
      <c r="L31">
        <v>5.7621560000000001</v>
      </c>
      <c r="M31">
        <v>6.870463</v>
      </c>
      <c r="N31">
        <v>6.9660909999999996</v>
      </c>
      <c r="O31">
        <v>7.0565239999999996</v>
      </c>
      <c r="P31">
        <v>7.0282869999999997</v>
      </c>
      <c r="Q31">
        <v>7.2089910000000001</v>
      </c>
      <c r="R31">
        <v>7.1781170000000003</v>
      </c>
      <c r="S31">
        <v>7.1516820000000001</v>
      </c>
      <c r="T31">
        <v>7.1239629999999998</v>
      </c>
      <c r="U31">
        <v>7.3180990000000001</v>
      </c>
      <c r="V31">
        <v>7.5794670000000002</v>
      </c>
      <c r="W31">
        <v>7.7087830000000004</v>
      </c>
      <c r="X31">
        <v>7.8102239999999998</v>
      </c>
      <c r="Y31">
        <v>8.0417590000000008</v>
      </c>
      <c r="Z31">
        <v>8.4101210000000002</v>
      </c>
      <c r="AA31">
        <v>8.7241129999999991</v>
      </c>
      <c r="AB31">
        <v>8.9536210000000001</v>
      </c>
      <c r="AC31">
        <v>9.1655709999999999</v>
      </c>
      <c r="AD31">
        <v>9.4157109999999999</v>
      </c>
      <c r="AE31" s="4" cm="1">
        <f t="array" ref="AE31:AE33">(AD31:AD33-D31:D33)/D31:D33</f>
        <v>-8.7675381526855389E-2</v>
      </c>
    </row>
    <row r="32" spans="1:31" x14ac:dyDescent="0.25">
      <c r="A32" t="s">
        <v>77</v>
      </c>
      <c r="B32" t="s">
        <v>55</v>
      </c>
      <c r="C32" t="s">
        <v>53</v>
      </c>
      <c r="D32">
        <v>5.5108740000000003</v>
      </c>
      <c r="E32">
        <v>5.7310230000000004</v>
      </c>
      <c r="F32">
        <v>6.0105300000000002</v>
      </c>
      <c r="G32">
        <v>6.2271669999999997</v>
      </c>
      <c r="H32">
        <v>6.4328279999999998</v>
      </c>
      <c r="I32">
        <v>6.6185539999999996</v>
      </c>
      <c r="J32">
        <v>6.8039050000000003</v>
      </c>
      <c r="K32">
        <v>6.9895940000000003</v>
      </c>
      <c r="L32">
        <v>7.1829400000000003</v>
      </c>
      <c r="M32">
        <v>7.395918</v>
      </c>
      <c r="N32">
        <v>7.5994469999999996</v>
      </c>
      <c r="O32">
        <v>7.7930289999999998</v>
      </c>
      <c r="P32">
        <v>7.9879160000000002</v>
      </c>
      <c r="Q32">
        <v>8.1977370000000001</v>
      </c>
      <c r="R32">
        <v>8.4006120000000006</v>
      </c>
      <c r="S32">
        <v>8.6053660000000001</v>
      </c>
      <c r="T32">
        <v>8.8248060000000006</v>
      </c>
      <c r="U32">
        <v>9.0504320000000007</v>
      </c>
      <c r="V32">
        <v>9.2988289999999996</v>
      </c>
      <c r="W32">
        <v>9.5875769999999996</v>
      </c>
      <c r="X32">
        <v>9.8880459999999992</v>
      </c>
      <c r="Y32">
        <v>10.171360999999999</v>
      </c>
      <c r="Z32">
        <v>10.472274000000001</v>
      </c>
      <c r="AA32">
        <v>10.78303</v>
      </c>
      <c r="AB32">
        <v>11.095325000000001</v>
      </c>
      <c r="AC32">
        <v>11.419362</v>
      </c>
      <c r="AD32">
        <v>11.758432000000001</v>
      </c>
      <c r="AE32" s="4">
        <v>1.1336782513989614</v>
      </c>
    </row>
    <row r="33" spans="1:31" x14ac:dyDescent="0.25">
      <c r="A33" t="s">
        <v>77</v>
      </c>
      <c r="B33" t="s">
        <v>56</v>
      </c>
      <c r="C33" t="s">
        <v>53</v>
      </c>
      <c r="D33">
        <v>7.3158469999999998</v>
      </c>
      <c r="E33">
        <v>7.5029950000000003</v>
      </c>
      <c r="F33">
        <v>7.7287350000000004</v>
      </c>
      <c r="G33">
        <v>7.9179469999999998</v>
      </c>
      <c r="H33">
        <v>8.1073190000000004</v>
      </c>
      <c r="I33">
        <v>8.2874479999999995</v>
      </c>
      <c r="J33">
        <v>8.4780379999999997</v>
      </c>
      <c r="K33">
        <v>8.6833360000000006</v>
      </c>
      <c r="L33">
        <v>8.9003080000000008</v>
      </c>
      <c r="M33">
        <v>9.1310730000000007</v>
      </c>
      <c r="N33">
        <v>9.3597830000000002</v>
      </c>
      <c r="O33">
        <v>9.578379</v>
      </c>
      <c r="P33">
        <v>9.7863120000000006</v>
      </c>
      <c r="Q33">
        <v>9.9986239999999995</v>
      </c>
      <c r="R33">
        <v>10.217691</v>
      </c>
      <c r="S33">
        <v>10.447074000000001</v>
      </c>
      <c r="T33">
        <v>10.689283</v>
      </c>
      <c r="U33">
        <v>10.947863999999999</v>
      </c>
      <c r="V33">
        <v>11.221304</v>
      </c>
      <c r="W33">
        <v>11.511509</v>
      </c>
      <c r="X33">
        <v>11.812098000000001</v>
      </c>
      <c r="Y33">
        <v>12.127896</v>
      </c>
      <c r="Z33">
        <v>12.464162999999999</v>
      </c>
      <c r="AA33">
        <v>12.811023</v>
      </c>
      <c r="AB33">
        <v>13.162239</v>
      </c>
      <c r="AC33">
        <v>13.521077</v>
      </c>
      <c r="AD33">
        <v>13.885788</v>
      </c>
      <c r="AE33" s="4">
        <v>0.89804242762321307</v>
      </c>
    </row>
    <row r="34" spans="1:31" x14ac:dyDescent="0.25">
      <c r="A34" t="s">
        <v>57</v>
      </c>
      <c r="B34" t="s">
        <v>58</v>
      </c>
      <c r="C34" t="s">
        <v>59</v>
      </c>
      <c r="D34">
        <v>7.5586289999999998</v>
      </c>
      <c r="E34">
        <v>6.7580720000000003</v>
      </c>
      <c r="F34">
        <v>4.9482850000000003</v>
      </c>
      <c r="G34">
        <v>4.2510159999999999</v>
      </c>
      <c r="H34">
        <v>3.9327209999999999</v>
      </c>
      <c r="I34">
        <v>3.606093</v>
      </c>
      <c r="J34">
        <v>2.7866070000000001</v>
      </c>
      <c r="K34">
        <v>3.1369989999999999</v>
      </c>
      <c r="L34">
        <v>3.4137200000000001</v>
      </c>
      <c r="M34">
        <v>3.2959559999999999</v>
      </c>
      <c r="N34">
        <v>3.0896300000000001</v>
      </c>
      <c r="O34">
        <v>3.149591</v>
      </c>
      <c r="P34">
        <v>3.2360440000000001</v>
      </c>
      <c r="Q34">
        <v>3.1184280000000002</v>
      </c>
      <c r="R34">
        <v>3.2089539999999999</v>
      </c>
      <c r="S34">
        <v>3.038284</v>
      </c>
      <c r="T34">
        <v>3.1665649999999999</v>
      </c>
      <c r="U34">
        <v>3.180796</v>
      </c>
      <c r="V34">
        <v>3.3678430000000001</v>
      </c>
      <c r="W34">
        <v>3.4323540000000001</v>
      </c>
      <c r="X34">
        <v>3.0277590000000001</v>
      </c>
      <c r="Y34">
        <v>2.3374359999999998</v>
      </c>
      <c r="Z34">
        <v>2.595485</v>
      </c>
      <c r="AA34">
        <v>2.623936</v>
      </c>
      <c r="AB34">
        <v>2.6791710000000002</v>
      </c>
      <c r="AC34">
        <v>2.8749609999999999</v>
      </c>
      <c r="AD34">
        <v>2.726591</v>
      </c>
      <c r="AE34" s="4" cm="1">
        <f t="array" ref="AE34:AE38">(AD34:AD38-D34:D38)/D34:D38</f>
        <v>-0.63927439751309401</v>
      </c>
    </row>
    <row r="35" spans="1:31" x14ac:dyDescent="0.25">
      <c r="A35" t="s">
        <v>57</v>
      </c>
      <c r="B35" t="s">
        <v>60</v>
      </c>
      <c r="C35" t="s">
        <v>59</v>
      </c>
      <c r="D35">
        <v>27.714974999999999</v>
      </c>
      <c r="E35">
        <v>24.779612</v>
      </c>
      <c r="F35">
        <v>18.143705000000001</v>
      </c>
      <c r="G35">
        <v>15.587056</v>
      </c>
      <c r="H35">
        <v>14.419969</v>
      </c>
      <c r="I35">
        <v>13.222333000000001</v>
      </c>
      <c r="J35">
        <v>10.217560000000001</v>
      </c>
      <c r="K35">
        <v>11.502326999999999</v>
      </c>
      <c r="L35">
        <v>12.516972000000001</v>
      </c>
      <c r="M35">
        <v>12.085171000000001</v>
      </c>
      <c r="N35">
        <v>11.328644000000001</v>
      </c>
      <c r="O35">
        <v>11.548499</v>
      </c>
      <c r="P35">
        <v>11.865489</v>
      </c>
      <c r="Q35">
        <v>11.434237</v>
      </c>
      <c r="R35">
        <v>11.766164</v>
      </c>
      <c r="S35">
        <v>11.140373</v>
      </c>
      <c r="T35">
        <v>11.61074</v>
      </c>
      <c r="U35">
        <v>11.662922</v>
      </c>
      <c r="V35">
        <v>12.34876</v>
      </c>
      <c r="W35">
        <v>12.585296</v>
      </c>
      <c r="X35">
        <v>11.101787</v>
      </c>
      <c r="Y35">
        <v>8.5706120000000006</v>
      </c>
      <c r="Z35">
        <v>9.5167889999999993</v>
      </c>
      <c r="AA35">
        <v>9.6211040000000008</v>
      </c>
      <c r="AB35">
        <v>9.8236340000000002</v>
      </c>
      <c r="AC35">
        <v>10.541532</v>
      </c>
      <c r="AD35">
        <v>9.9975050000000003</v>
      </c>
      <c r="AE35" s="4">
        <v>-0.63927425516349912</v>
      </c>
    </row>
    <row r="36" spans="1:31" x14ac:dyDescent="0.25">
      <c r="A36" t="s">
        <v>57</v>
      </c>
      <c r="B36" t="s">
        <v>61</v>
      </c>
      <c r="C36" t="s">
        <v>59</v>
      </c>
      <c r="D36">
        <v>1.158E-3</v>
      </c>
      <c r="E36">
        <v>1.1230000000000001E-3</v>
      </c>
      <c r="F36">
        <v>8.3799999999999999E-4</v>
      </c>
      <c r="G36">
        <v>7.9299999999999998E-4</v>
      </c>
      <c r="H36">
        <v>7.6499999999999995E-4</v>
      </c>
      <c r="I36">
        <v>7.1100000000000004E-4</v>
      </c>
      <c r="J36">
        <v>5.4199999999999995E-4</v>
      </c>
      <c r="K36">
        <v>5.9999999999999995E-4</v>
      </c>
      <c r="L36">
        <v>1.34E-4</v>
      </c>
      <c r="M36">
        <v>1.4300000000000001E-4</v>
      </c>
      <c r="N36">
        <v>1.4300000000000001E-4</v>
      </c>
      <c r="O36">
        <v>1.4999999999999999E-4</v>
      </c>
      <c r="P36">
        <v>1.6000000000000001E-4</v>
      </c>
      <c r="Q36">
        <v>1.94E-4</v>
      </c>
      <c r="R36">
        <v>1.8900000000000001E-4</v>
      </c>
      <c r="S36">
        <v>1.0660000000000001E-3</v>
      </c>
      <c r="T36">
        <v>1.0480000000000001E-3</v>
      </c>
      <c r="U36">
        <v>1.075E-3</v>
      </c>
      <c r="V36">
        <v>1.0430000000000001E-3</v>
      </c>
      <c r="W36">
        <v>1.0460000000000001E-3</v>
      </c>
      <c r="X36">
        <v>1.0529999999999999E-3</v>
      </c>
      <c r="Y36">
        <v>1.0920000000000001E-3</v>
      </c>
      <c r="Z36">
        <v>1.0640000000000001E-3</v>
      </c>
      <c r="AA36">
        <v>1.0679999999999999E-3</v>
      </c>
      <c r="AB36">
        <v>1.0640000000000001E-3</v>
      </c>
      <c r="AC36">
        <v>1.0640000000000001E-3</v>
      </c>
      <c r="AD36">
        <v>1.072E-3</v>
      </c>
      <c r="AE36" s="4">
        <v>-7.4265975820379901E-2</v>
      </c>
    </row>
    <row r="37" spans="1:31" x14ac:dyDescent="0.25">
      <c r="A37" t="s">
        <v>57</v>
      </c>
      <c r="B37" t="s">
        <v>62</v>
      </c>
      <c r="C37" t="s">
        <v>59</v>
      </c>
      <c r="D37">
        <v>1.5245E-2</v>
      </c>
      <c r="E37">
        <v>1.5737000000000001E-2</v>
      </c>
      <c r="F37">
        <v>1.2789E-2</v>
      </c>
      <c r="G37">
        <v>1.2413E-2</v>
      </c>
      <c r="H37">
        <v>1.1854999999999999E-2</v>
      </c>
      <c r="I37">
        <v>1.1653E-2</v>
      </c>
      <c r="J37">
        <v>1.2978E-2</v>
      </c>
      <c r="K37">
        <v>1.3161000000000001E-2</v>
      </c>
      <c r="L37">
        <v>1.2304000000000001E-2</v>
      </c>
      <c r="M37">
        <v>1.1789000000000001E-2</v>
      </c>
      <c r="N37">
        <v>1.2004000000000001E-2</v>
      </c>
      <c r="O37">
        <v>1.2505E-2</v>
      </c>
      <c r="P37">
        <v>1.2304000000000001E-2</v>
      </c>
      <c r="Q37">
        <v>1.2300999999999999E-2</v>
      </c>
      <c r="R37">
        <v>1.2538000000000001E-2</v>
      </c>
      <c r="S37">
        <v>1.3058E-2</v>
      </c>
      <c r="T37">
        <v>1.3587999999999999E-2</v>
      </c>
      <c r="U37">
        <v>1.3236E-2</v>
      </c>
      <c r="V37">
        <v>1.3731E-2</v>
      </c>
      <c r="W37">
        <v>1.3589E-2</v>
      </c>
      <c r="X37">
        <v>1.3381000000000001E-2</v>
      </c>
      <c r="Y37">
        <v>1.2792E-2</v>
      </c>
      <c r="Z37">
        <v>1.3180000000000001E-2</v>
      </c>
      <c r="AA37">
        <v>1.3365E-2</v>
      </c>
      <c r="AB37">
        <v>1.3365E-2</v>
      </c>
      <c r="AC37">
        <v>1.3722E-2</v>
      </c>
      <c r="AD37">
        <v>1.3599999999999999E-2</v>
      </c>
      <c r="AE37" s="4">
        <v>-0.10790423089537557</v>
      </c>
    </row>
    <row r="38" spans="1:31" x14ac:dyDescent="0.25">
      <c r="A38" t="s">
        <v>57</v>
      </c>
      <c r="B38" t="s">
        <v>63</v>
      </c>
      <c r="C38" t="s">
        <v>64</v>
      </c>
      <c r="D38">
        <v>1.2999999999999999E-5</v>
      </c>
      <c r="E38">
        <v>2.1999999999999999E-5</v>
      </c>
      <c r="F38">
        <v>1.2E-5</v>
      </c>
      <c r="G38">
        <v>1.2E-5</v>
      </c>
      <c r="H38">
        <v>1.2E-5</v>
      </c>
      <c r="I38">
        <v>1.2E-5</v>
      </c>
      <c r="J38">
        <v>9.0000000000000002E-6</v>
      </c>
      <c r="K38">
        <v>5.0000000000000004E-6</v>
      </c>
      <c r="L38">
        <v>6.0000000000000002E-6</v>
      </c>
      <c r="M38">
        <v>3.9999999999999998E-6</v>
      </c>
      <c r="N38">
        <v>5.0000000000000004E-6</v>
      </c>
      <c r="O38">
        <v>6.0000000000000002E-6</v>
      </c>
      <c r="P38">
        <v>6.0000000000000002E-6</v>
      </c>
      <c r="Q38">
        <v>6.9999999999999999E-6</v>
      </c>
      <c r="R38">
        <v>5.0000000000000004E-6</v>
      </c>
      <c r="S38">
        <v>9.0000000000000002E-6</v>
      </c>
      <c r="T38">
        <v>6.0000000000000002E-6</v>
      </c>
      <c r="U38">
        <v>9.0000000000000002E-6</v>
      </c>
      <c r="V38">
        <v>5.0000000000000004E-6</v>
      </c>
      <c r="W38">
        <v>3.9999999999999998E-6</v>
      </c>
      <c r="X38">
        <v>5.0000000000000004E-6</v>
      </c>
      <c r="Y38">
        <v>1.0000000000000001E-5</v>
      </c>
      <c r="Z38">
        <v>6.9999999999999999E-6</v>
      </c>
      <c r="AA38">
        <v>1.1E-5</v>
      </c>
      <c r="AB38">
        <v>1.1E-5</v>
      </c>
      <c r="AC38">
        <v>1.1E-5</v>
      </c>
      <c r="AD38">
        <v>9.0000000000000002E-6</v>
      </c>
      <c r="AE38" s="4">
        <v>-0.30769230769230765</v>
      </c>
    </row>
    <row r="39" spans="1:31" x14ac:dyDescent="0.25">
      <c r="A39" t="s">
        <v>65</v>
      </c>
      <c r="B39" t="s">
        <v>66</v>
      </c>
      <c r="C39" t="s">
        <v>71</v>
      </c>
      <c r="D39" cm="1">
        <f t="array" ref="D39:D42">907185*D34:D37*10^6/(D17*10^9)</f>
        <v>64.749588439177359</v>
      </c>
      <c r="E39" cm="1">
        <f t="array" ref="E39:E42">907185*E34:E37*10^6/(E17*10^9)</f>
        <v>57.808717909487655</v>
      </c>
      <c r="F39" cm="1">
        <f t="array" ref="F39:F42">907185*F34:F37*10^6/(F17*10^9)</f>
        <v>44.39584521600321</v>
      </c>
      <c r="G39" cm="1">
        <f t="array" ref="G39:G42">907185*G34:G37*10^6/(G17*10^9)</f>
        <v>38.756498969542243</v>
      </c>
      <c r="H39" cm="1">
        <f t="array" ref="H39:H42">907185*H34:H37*10^6/(H17*10^9)</f>
        <v>35.719273399043999</v>
      </c>
      <c r="I39" cm="1">
        <f t="array" ref="I39:I42">907185*I34:I37*10^6/(I17*10^9)</f>
        <v>32.603878759104703</v>
      </c>
      <c r="J39" cm="1">
        <f t="array" ref="J39:J42">907185*J34:J37*10^6/(J17*10^9)</f>
        <v>26.163509711235037</v>
      </c>
      <c r="K39" cm="1">
        <f t="array" ref="K39:K42">907185*K34:K37*10^6/(K17*10^9)</f>
        <v>28.23660112408492</v>
      </c>
      <c r="L39" cm="1">
        <f t="array" ref="L39:L42">907185*L34:L37*10^6/(L17*10^9)</f>
        <v>29.831259144618766</v>
      </c>
      <c r="M39" cm="1">
        <f t="array" ref="M39:M42">907185*M34:M37*10^6/(M17*10^9)</f>
        <v>28.873128409993072</v>
      </c>
      <c r="N39" cm="1">
        <f t="array" ref="N39:N42">907185*N34:N37*10^6/(N17*10^9)</f>
        <v>27.319223394697147</v>
      </c>
      <c r="O39" cm="1">
        <f t="array" ref="O39:O42">907185*O34:O37*10^6/(O17*10^9)</f>
        <v>27.520543078573017</v>
      </c>
      <c r="P39" cm="1">
        <f t="array" ref="P39:P42">907185*P34:P37*10^6/(P17*10^9)</f>
        <v>27.088881567291665</v>
      </c>
      <c r="Q39" cm="1">
        <f t="array" ref="Q39:Q42">907185*Q34:Q37*10^6/(Q17*10^9)</f>
        <v>24.974515189902785</v>
      </c>
      <c r="R39" cm="1">
        <f t="array" ref="R39:R42">907185*R34:R37*10^6/(R17*10^9)</f>
        <v>25.129394521347052</v>
      </c>
      <c r="S39" cm="1">
        <f t="array" ref="S39:S42">907185*S34:S37*10^6/(S17*10^9)</f>
        <v>22.697285468116508</v>
      </c>
      <c r="T39" cm="1">
        <f t="array" ref="T39:T42">907185*T34:T37*10^6/(T17*10^9)</f>
        <v>23.014219001752796</v>
      </c>
      <c r="U39" cm="1">
        <f t="array" ref="U39:U42">907185*U34:U37*10^6/(U17*10^9)</f>
        <v>22.92933268894912</v>
      </c>
      <c r="V39" cm="1">
        <f t="array" ref="V39:V42">907185*V34:V37*10^6/(V17*10^9)</f>
        <v>23.195294800793491</v>
      </c>
      <c r="W39" cm="1">
        <f t="array" ref="W39:W42">907185*W34:W37*10^6/(W17*10^9)</f>
        <v>21.77398640259058</v>
      </c>
      <c r="X39" cm="1">
        <f t="array" ref="X39:X42">907185*X34:X37*10^6/(X17*10^9)</f>
        <v>19.264612108231287</v>
      </c>
      <c r="Y39" cm="1">
        <f t="array" ref="Y39:Y42">907185*Y34:Y37*10^6/(Y17*10^9)</f>
        <v>15.363516249618218</v>
      </c>
      <c r="Z39" cm="1">
        <f t="array" ref="Z39:Z42">907185*Z34:Z37*10^6/(Z17*10^9)</f>
        <v>16.683287895482909</v>
      </c>
      <c r="AA39" cm="1">
        <f t="array" ref="AA39:AA42">907185*AA34:AA37*10^6/(AA17*10^9)</f>
        <v>16.730127017150387</v>
      </c>
      <c r="AB39" cm="1">
        <f t="array" ref="AB39:AB42">907185*AB34:AB37*10^6/(AB17*10^9)</f>
        <v>16.931687469737398</v>
      </c>
      <c r="AC39" cm="1">
        <f t="array" ref="AC39:AC42">907185*AC34:AC37*10^6/(AC17*10^9)</f>
        <v>17.871223487445448</v>
      </c>
      <c r="AD39" cm="1">
        <f t="array" ref="AD39:AD42">907185*AD34:AD37*10^6/(AD17*10^9)</f>
        <v>16.98973478577911</v>
      </c>
      <c r="AE39" s="4" cm="1">
        <f t="array" ref="AE39:AE43">(AD39:AD43-D39:D43)/D39:D43</f>
        <v>-0.7376086057791944</v>
      </c>
    </row>
    <row r="40" spans="1:31" x14ac:dyDescent="0.25">
      <c r="A40" t="s">
        <v>65</v>
      </c>
      <c r="B40" t="s">
        <v>67</v>
      </c>
      <c r="C40" t="s">
        <v>71</v>
      </c>
      <c r="D40">
        <v>237.41517474294469</v>
      </c>
      <c r="E40">
        <v>211.9654244604904</v>
      </c>
      <c r="F40">
        <v>162.78470597890453</v>
      </c>
      <c r="G40">
        <v>142.1071385763303</v>
      </c>
      <c r="H40">
        <v>130.9705964691467</v>
      </c>
      <c r="I40">
        <v>119.54748311940629</v>
      </c>
      <c r="J40">
        <v>95.932878330215445</v>
      </c>
      <c r="K40">
        <v>103.53418011857585</v>
      </c>
      <c r="L40">
        <v>109.38127187875311</v>
      </c>
      <c r="M40">
        <v>105.86812874313989</v>
      </c>
      <c r="N40">
        <v>100.17049167537714</v>
      </c>
      <c r="O40">
        <v>100.90864630434788</v>
      </c>
      <c r="P40">
        <v>99.325851644477652</v>
      </c>
      <c r="Q40">
        <v>91.573230371664323</v>
      </c>
      <c r="R40">
        <v>92.141108024256795</v>
      </c>
      <c r="S40">
        <v>83.223367599045218</v>
      </c>
      <c r="T40">
        <v>84.38548178622932</v>
      </c>
      <c r="U40">
        <v>84.074243888405249</v>
      </c>
      <c r="V40">
        <v>85.049430339907957</v>
      </c>
      <c r="W40">
        <v>79.837937455337538</v>
      </c>
      <c r="X40">
        <v>70.636936514169292</v>
      </c>
      <c r="Y40">
        <v>56.332980552696597</v>
      </c>
      <c r="Z40">
        <v>61.172124180091537</v>
      </c>
      <c r="AA40">
        <v>61.343833068037362</v>
      </c>
      <c r="AB40">
        <v>62.082898293944758</v>
      </c>
      <c r="AC40">
        <v>65.527871255317123</v>
      </c>
      <c r="AD40">
        <v>62.295723293116048</v>
      </c>
      <c r="AE40" s="4">
        <v>-0.73760850223426033</v>
      </c>
    </row>
    <row r="41" spans="1:31" x14ac:dyDescent="0.25">
      <c r="A41" t="s">
        <v>65</v>
      </c>
      <c r="B41" t="s">
        <v>68</v>
      </c>
      <c r="C41" t="s">
        <v>71</v>
      </c>
      <c r="D41">
        <v>9.919791461198502E-3</v>
      </c>
      <c r="E41">
        <v>9.6061702527517664E-3</v>
      </c>
      <c r="F41">
        <v>7.5185075821240467E-3</v>
      </c>
      <c r="G41">
        <v>7.2297784065849203E-3</v>
      </c>
      <c r="H41">
        <v>6.9481776485717283E-3</v>
      </c>
      <c r="I41">
        <v>6.4283860115985489E-3</v>
      </c>
      <c r="J41">
        <v>5.0888490065120013E-3</v>
      </c>
      <c r="K41">
        <v>5.4006904925538541E-3</v>
      </c>
      <c r="L41">
        <v>1.1709773283628754E-3</v>
      </c>
      <c r="M41">
        <v>1.2527040296135654E-3</v>
      </c>
      <c r="N41">
        <v>1.2644390899368828E-3</v>
      </c>
      <c r="O41">
        <v>1.3106722307074004E-3</v>
      </c>
      <c r="P41">
        <v>1.3393578859764168E-3</v>
      </c>
      <c r="Q41">
        <v>1.5536853654601421E-3</v>
      </c>
      <c r="R41">
        <v>1.4800634613442863E-3</v>
      </c>
      <c r="S41">
        <v>7.9634775119811711E-3</v>
      </c>
      <c r="T41">
        <v>7.6167397523300272E-3</v>
      </c>
      <c r="U41">
        <v>7.7493283569962691E-3</v>
      </c>
      <c r="V41">
        <v>7.1834383245381727E-3</v>
      </c>
      <c r="W41">
        <v>6.6355596704505849E-3</v>
      </c>
      <c r="X41">
        <v>6.699884815788688E-3</v>
      </c>
      <c r="Y41">
        <v>7.1775054994374591E-3</v>
      </c>
      <c r="Z41">
        <v>6.8391912574312002E-3</v>
      </c>
      <c r="AA41">
        <v>6.8095318080611013E-3</v>
      </c>
      <c r="AB41">
        <v>6.7242126268911521E-3</v>
      </c>
      <c r="AC41">
        <v>6.6139964300879067E-3</v>
      </c>
      <c r="AD41">
        <v>6.6797681391727644E-3</v>
      </c>
      <c r="AE41" s="4">
        <v>-0.32662212050517042</v>
      </c>
    </row>
    <row r="42" spans="1:31" x14ac:dyDescent="0.25">
      <c r="A42" t="s">
        <v>65</v>
      </c>
      <c r="B42" t="s">
        <v>69</v>
      </c>
      <c r="C42" t="s">
        <v>71</v>
      </c>
      <c r="D42">
        <v>0.13059345494470742</v>
      </c>
      <c r="E42">
        <v>0.134614693915899</v>
      </c>
      <c r="F42">
        <v>0.11474247430523203</v>
      </c>
      <c r="G42">
        <v>0.11316928040471452</v>
      </c>
      <c r="H42">
        <v>0.10767404708995798</v>
      </c>
      <c r="I42">
        <v>0.10535862474424458</v>
      </c>
      <c r="J42">
        <v>0.12185070554707152</v>
      </c>
      <c r="K42">
        <v>0.11846414595416883</v>
      </c>
      <c r="L42">
        <v>0.10752018692669267</v>
      </c>
      <c r="M42">
        <v>0.1032736210147855</v>
      </c>
      <c r="N42">
        <v>0.10614214570351291</v>
      </c>
      <c r="O42">
        <v>0.1092663749666403</v>
      </c>
      <c r="P42">
        <v>0.10299662143158643</v>
      </c>
      <c r="Q42">
        <v>9.8514864332604174E-2</v>
      </c>
      <c r="R42">
        <v>9.8185373959442671E-2</v>
      </c>
      <c r="S42">
        <v>9.7548864307176478E-2</v>
      </c>
      <c r="T42">
        <v>9.8755973048340079E-2</v>
      </c>
      <c r="U42">
        <v>9.541405593786291E-2</v>
      </c>
      <c r="V42">
        <v>9.4569311250463695E-2</v>
      </c>
      <c r="W42">
        <v>8.6205181990203633E-2</v>
      </c>
      <c r="X42">
        <v>8.5138802203293867E-2</v>
      </c>
      <c r="Y42">
        <v>8.4079350136267356E-2</v>
      </c>
      <c r="Z42">
        <v>8.471855335802933E-2</v>
      </c>
      <c r="AA42">
        <v>8.521478709245002E-2</v>
      </c>
      <c r="AB42">
        <v>8.4463441502255862E-2</v>
      </c>
      <c r="AC42">
        <v>8.5298175764723913E-2</v>
      </c>
      <c r="AD42">
        <v>8.4743327138758942E-2</v>
      </c>
      <c r="AE42" s="4">
        <v>-0.35109054910417359</v>
      </c>
    </row>
    <row r="43" spans="1:31" x14ac:dyDescent="0.25">
      <c r="A43" t="s">
        <v>65</v>
      </c>
      <c r="B43" t="s">
        <v>70</v>
      </c>
      <c r="C43" t="s">
        <v>71</v>
      </c>
      <c r="D43">
        <f>907185*D38/(D17*10^9)</f>
        <v>1.1136208030706437E-10</v>
      </c>
      <c r="E43">
        <f>907185*E38/(E17*10^9)</f>
        <v>1.8818855348222516E-10</v>
      </c>
      <c r="F43">
        <f>907185*F38/(F17*10^9)</f>
        <v>1.0766359306144219E-10</v>
      </c>
      <c r="G43">
        <f>907185*G38/(G17*10^9)</f>
        <v>1.0940396075538341E-10</v>
      </c>
      <c r="H43">
        <f>907185*H38/(H17*10^9)</f>
        <v>1.0899102193838007E-10</v>
      </c>
      <c r="I43">
        <f>907185*I38/(I17*10^9)</f>
        <v>1.0849596644048183E-10</v>
      </c>
      <c r="J43">
        <f>907185*J38/(J17*10^9)</f>
        <v>8.4501182764959431E-11</v>
      </c>
      <c r="K43">
        <f>907185*K38/(K17*10^9)</f>
        <v>4.500575410461547E-11</v>
      </c>
      <c r="L43">
        <f>907185*L38/(L17*10^9)</f>
        <v>5.2431820672964566E-11</v>
      </c>
      <c r="M43">
        <f>907185*M38/(M17*10^9)</f>
        <v>3.5040672157022813E-11</v>
      </c>
      <c r="N43">
        <f>907185*N38/(N17*10^9)</f>
        <v>4.4211156990800114E-11</v>
      </c>
      <c r="O43">
        <f>907185*O38/(O17*10^9)</f>
        <v>5.2426889228296021E-11</v>
      </c>
      <c r="P43">
        <f>907185*P38/(P17*10^9)</f>
        <v>5.0225920724115615E-11</v>
      </c>
      <c r="Q43">
        <f>907185*Q38/(Q17*10^9)</f>
        <v>5.6060812155778325E-11</v>
      </c>
      <c r="R43">
        <f>907185*R38/(R17*10^9)</f>
        <v>3.9155118024981122E-11</v>
      </c>
      <c r="S43">
        <f>907185*S38/(S17*10^9)</f>
        <v>6.7233862671510821E-11</v>
      </c>
      <c r="T43">
        <f>907185*T38/(T17*10^9)</f>
        <v>4.3607288658378017E-11</v>
      </c>
      <c r="U43">
        <f>907185*U38/(U17*10^9)</f>
        <v>6.4878097872526906E-11</v>
      </c>
      <c r="V43">
        <f>907185*V38/(V17*10^9)</f>
        <v>3.4436425333356531E-11</v>
      </c>
      <c r="W43">
        <f>907185*W38/(W17*10^9)</f>
        <v>2.5374989179543342E-11</v>
      </c>
      <c r="X43">
        <f>907185*X38/(X17*10^9)</f>
        <v>3.1813318213621513E-11</v>
      </c>
      <c r="Y43">
        <f>907185*Y38/(Y17*10^9)</f>
        <v>6.572807233917087E-11</v>
      </c>
      <c r="Z43">
        <f>907185*Z38/(Z17*10^9)</f>
        <v>4.4994679325205261E-11</v>
      </c>
      <c r="AA43">
        <f>907185*AA38/(AA17*10^9)</f>
        <v>7.0135627236584375E-11</v>
      </c>
      <c r="AB43">
        <f>907185*AB38/(AB17*10^9)</f>
        <v>6.9517235804325802E-11</v>
      </c>
      <c r="AC43">
        <f>907185*AC38/(AC17*10^9)</f>
        <v>6.8377782641886249E-11</v>
      </c>
      <c r="AD43">
        <f>907185*AD38/(AD17*10^9)</f>
        <v>5.6080142959472829E-11</v>
      </c>
      <c r="AE43" s="4">
        <v>-0.49641616962578128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43"/>
  <sheetViews>
    <sheetView tabSelected="1" topLeftCell="C1" zoomScale="55" zoomScaleNormal="55" workbookViewId="0">
      <selection sqref="A1:A1048576"/>
    </sheetView>
  </sheetViews>
  <sheetFormatPr defaultRowHeight="15" x14ac:dyDescent="0.25"/>
  <cols>
    <col min="1" max="1" width="50.28515625" bestFit="1" customWidth="1"/>
    <col min="2" max="2" width="35.7109375" bestFit="1" customWidth="1"/>
    <col min="3" max="3" width="17.5703125" bestFit="1" customWidth="1"/>
    <col min="4" max="30" width="16" bestFit="1" customWidth="1"/>
    <col min="31" max="31" width="27.42578125" bestFit="1" customWidth="1"/>
  </cols>
  <sheetData>
    <row r="1" spans="1:31" s="3" customFormat="1" ht="15.75" thickBot="1" x14ac:dyDescent="0.3">
      <c r="A1" s="3" t="s">
        <v>72</v>
      </c>
      <c r="B1" s="1" t="s">
        <v>73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</row>
    <row r="2" spans="1:31" ht="15.75" thickTop="1" x14ac:dyDescent="0.25">
      <c r="A2" t="s">
        <v>29</v>
      </c>
      <c r="B2" t="s">
        <v>30</v>
      </c>
      <c r="C2" t="s">
        <v>31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 s="4" t="e" cm="1">
        <f t="array" ref="AE2:AE17">(AD2:AD17-D2:D17)/D2:D17</f>
        <v>#DIV/0!</v>
      </c>
    </row>
    <row r="3" spans="1:31" x14ac:dyDescent="0.25">
      <c r="A3" t="s">
        <v>29</v>
      </c>
      <c r="B3" t="s">
        <v>32</v>
      </c>
      <c r="C3" t="s">
        <v>31</v>
      </c>
      <c r="D3">
        <v>0.51487000000000005</v>
      </c>
      <c r="E3">
        <v>0.49437599999999998</v>
      </c>
      <c r="F3">
        <v>0.46970400000000001</v>
      </c>
      <c r="G3">
        <v>0.47137299999999999</v>
      </c>
      <c r="H3">
        <v>0.305504</v>
      </c>
      <c r="I3">
        <v>0.30089199999999999</v>
      </c>
      <c r="J3">
        <v>0.29945899999999998</v>
      </c>
      <c r="K3">
        <v>0.111579</v>
      </c>
      <c r="L3">
        <v>0.109046</v>
      </c>
      <c r="M3">
        <v>0.113214</v>
      </c>
      <c r="N3">
        <v>0.12706899999999999</v>
      </c>
      <c r="O3">
        <v>0.125579</v>
      </c>
      <c r="P3">
        <v>0.12551599999999999</v>
      </c>
      <c r="Q3">
        <v>0.12545999999999999</v>
      </c>
      <c r="R3">
        <v>0.10464900000000001</v>
      </c>
      <c r="S3">
        <v>0.11998300000000001</v>
      </c>
      <c r="T3">
        <v>0.10464900000000001</v>
      </c>
      <c r="U3">
        <v>0.10464900000000001</v>
      </c>
      <c r="V3">
        <v>0.10464900000000001</v>
      </c>
      <c r="W3">
        <v>0.10464900000000001</v>
      </c>
      <c r="X3">
        <v>3.7963999999999998E-2</v>
      </c>
      <c r="Y3">
        <v>3.7963999999999998E-2</v>
      </c>
      <c r="Z3">
        <v>3.7082999999999998E-2</v>
      </c>
      <c r="AA3">
        <v>3.7963999999999998E-2</v>
      </c>
      <c r="AB3">
        <v>3.7963999999999998E-2</v>
      </c>
      <c r="AC3">
        <v>3.7963999999999998E-2</v>
      </c>
      <c r="AD3">
        <v>3.7963999999999998E-2</v>
      </c>
      <c r="AE3" s="4">
        <v>-0.92626488239749838</v>
      </c>
    </row>
    <row r="4" spans="1:31" x14ac:dyDescent="0.25">
      <c r="A4" t="s">
        <v>29</v>
      </c>
      <c r="B4" t="s">
        <v>33</v>
      </c>
      <c r="C4" t="s">
        <v>31</v>
      </c>
      <c r="D4">
        <v>41.033805999999998</v>
      </c>
      <c r="E4">
        <v>19.336834</v>
      </c>
      <c r="F4">
        <v>28.077465</v>
      </c>
      <c r="G4">
        <v>25.995293</v>
      </c>
      <c r="H4">
        <v>19.704559</v>
      </c>
      <c r="I4">
        <v>16.300497</v>
      </c>
      <c r="J4">
        <v>27.176953999999999</v>
      </c>
      <c r="K4">
        <v>18.576571000000001</v>
      </c>
      <c r="L4">
        <v>19.339335999999999</v>
      </c>
      <c r="M4">
        <v>20.222415999999999</v>
      </c>
      <c r="N4">
        <v>19.833659999999998</v>
      </c>
      <c r="O4">
        <v>20.109425999999999</v>
      </c>
      <c r="P4">
        <v>20.278106999999999</v>
      </c>
      <c r="Q4">
        <v>20.243765</v>
      </c>
      <c r="R4">
        <v>19.967877999999999</v>
      </c>
      <c r="S4">
        <v>19.513000000000002</v>
      </c>
      <c r="T4">
        <v>19.577866</v>
      </c>
      <c r="U4">
        <v>19.585626999999999</v>
      </c>
      <c r="V4">
        <v>18.794505999999998</v>
      </c>
      <c r="W4">
        <v>19.211147</v>
      </c>
      <c r="X4">
        <v>18.013162999999999</v>
      </c>
      <c r="Y4">
        <v>17.867785000000001</v>
      </c>
      <c r="Z4">
        <v>20.986001999999999</v>
      </c>
      <c r="AA4">
        <v>20.381959999999999</v>
      </c>
      <c r="AB4">
        <v>21.168572999999999</v>
      </c>
      <c r="AC4">
        <v>21.531471</v>
      </c>
      <c r="AD4">
        <v>21.856612999999999</v>
      </c>
      <c r="AE4" s="4">
        <v>-0.46735106658154008</v>
      </c>
    </row>
    <row r="5" spans="1:31" x14ac:dyDescent="0.25">
      <c r="A5" t="s">
        <v>29</v>
      </c>
      <c r="B5" t="s">
        <v>34</v>
      </c>
      <c r="C5" t="s">
        <v>31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 s="4" t="e">
        <v>#DIV/0!</v>
      </c>
    </row>
    <row r="6" spans="1:31" x14ac:dyDescent="0.25">
      <c r="A6" t="s">
        <v>29</v>
      </c>
      <c r="B6" t="s">
        <v>35</v>
      </c>
      <c r="C6" t="s">
        <v>31</v>
      </c>
      <c r="D6">
        <v>0.33779700000000001</v>
      </c>
      <c r="E6">
        <v>0.33557100000000001</v>
      </c>
      <c r="F6">
        <v>0.31523699999999999</v>
      </c>
      <c r="G6">
        <v>0.32023099999999999</v>
      </c>
      <c r="H6">
        <v>0.33089000000000002</v>
      </c>
      <c r="I6">
        <v>0.34071800000000002</v>
      </c>
      <c r="J6">
        <v>0.341422</v>
      </c>
      <c r="K6">
        <v>0.34184999999999999</v>
      </c>
      <c r="L6">
        <v>0.34169899999999997</v>
      </c>
      <c r="M6">
        <v>0.338972</v>
      </c>
      <c r="N6">
        <v>0.30011500000000002</v>
      </c>
      <c r="O6">
        <v>0.28759099999999999</v>
      </c>
      <c r="P6">
        <v>0.28797499999999998</v>
      </c>
      <c r="Q6">
        <v>0.25968799999999997</v>
      </c>
      <c r="R6">
        <v>0.26167499999999999</v>
      </c>
      <c r="S6">
        <v>0.267733</v>
      </c>
      <c r="T6">
        <v>0.23878099999999999</v>
      </c>
      <c r="U6">
        <v>0.241261</v>
      </c>
      <c r="V6">
        <v>0.25717499999999999</v>
      </c>
      <c r="W6">
        <v>0.26085199999999997</v>
      </c>
      <c r="X6">
        <v>0.26219199999999998</v>
      </c>
      <c r="Y6">
        <v>0.22262499999999999</v>
      </c>
      <c r="Z6">
        <v>0.23860400000000001</v>
      </c>
      <c r="AA6">
        <v>0.23264599999999999</v>
      </c>
      <c r="AB6">
        <v>0.23714299999999999</v>
      </c>
      <c r="AC6">
        <v>0.184755</v>
      </c>
      <c r="AD6">
        <v>0.17277200000000001</v>
      </c>
      <c r="AE6" s="4">
        <v>-0.48853305387555246</v>
      </c>
    </row>
    <row r="7" spans="1:31" x14ac:dyDescent="0.25">
      <c r="A7" t="s">
        <v>29</v>
      </c>
      <c r="B7" t="s">
        <v>36</v>
      </c>
      <c r="C7" t="s">
        <v>31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 s="4" t="e">
        <v>#DIV/0!</v>
      </c>
    </row>
    <row r="8" spans="1:31" x14ac:dyDescent="0.25">
      <c r="A8" t="s">
        <v>29</v>
      </c>
      <c r="B8" t="s">
        <v>37</v>
      </c>
      <c r="C8" t="s">
        <v>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 s="4" t="e">
        <v>#DIV/0!</v>
      </c>
    </row>
    <row r="9" spans="1:31" x14ac:dyDescent="0.25">
      <c r="A9" t="s">
        <v>29</v>
      </c>
      <c r="B9" t="s">
        <v>38</v>
      </c>
      <c r="C9" t="s">
        <v>31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 s="4" t="e">
        <v>#DIV/0!</v>
      </c>
    </row>
    <row r="10" spans="1:31" x14ac:dyDescent="0.25">
      <c r="A10" t="s">
        <v>29</v>
      </c>
      <c r="B10" t="s">
        <v>39</v>
      </c>
      <c r="C10" t="s">
        <v>31</v>
      </c>
      <c r="D10">
        <v>3.9469999999999998E-2</v>
      </c>
      <c r="E10">
        <v>5.5198999999999998E-2</v>
      </c>
      <c r="F10">
        <v>5.5198999999999998E-2</v>
      </c>
      <c r="G10">
        <v>5.5198999999999998E-2</v>
      </c>
      <c r="H10">
        <v>5.5198999999999998E-2</v>
      </c>
      <c r="I10">
        <v>5.5198999999999998E-2</v>
      </c>
      <c r="J10">
        <v>5.5198999999999998E-2</v>
      </c>
      <c r="K10">
        <v>5.5198999999999998E-2</v>
      </c>
      <c r="L10">
        <v>5.5198999999999998E-2</v>
      </c>
      <c r="M10">
        <v>5.5198999999999998E-2</v>
      </c>
      <c r="N10">
        <v>5.5198999999999998E-2</v>
      </c>
      <c r="O10">
        <v>5.5198999999999998E-2</v>
      </c>
      <c r="P10">
        <v>5.5198999999999998E-2</v>
      </c>
      <c r="Q10">
        <v>5.5198999999999998E-2</v>
      </c>
      <c r="R10">
        <v>5.5198999999999998E-2</v>
      </c>
      <c r="S10">
        <v>5.5198999999999998E-2</v>
      </c>
      <c r="T10">
        <v>5.5198999999999998E-2</v>
      </c>
      <c r="U10">
        <v>5.5198999999999998E-2</v>
      </c>
      <c r="V10">
        <v>5.5198999999999998E-2</v>
      </c>
      <c r="W10">
        <v>5.5198999999999998E-2</v>
      </c>
      <c r="X10">
        <v>5.5198999999999998E-2</v>
      </c>
      <c r="Y10">
        <v>5.5198999999999998E-2</v>
      </c>
      <c r="Z10">
        <v>5.5198999999999998E-2</v>
      </c>
      <c r="AA10">
        <v>5.5198999999999998E-2</v>
      </c>
      <c r="AB10">
        <v>5.5198999999999998E-2</v>
      </c>
      <c r="AC10">
        <v>5.5198999999999998E-2</v>
      </c>
      <c r="AD10">
        <v>5.5198999999999998E-2</v>
      </c>
      <c r="AE10" s="4">
        <v>0.39850519381808969</v>
      </c>
    </row>
    <row r="11" spans="1:31" x14ac:dyDescent="0.25">
      <c r="A11" t="s">
        <v>29</v>
      </c>
      <c r="B11" t="s">
        <v>40</v>
      </c>
      <c r="C11" t="s">
        <v>31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 s="4" t="e">
        <v>#DIV/0!</v>
      </c>
    </row>
    <row r="12" spans="1:31" x14ac:dyDescent="0.25">
      <c r="A12" t="s">
        <v>29</v>
      </c>
      <c r="B12" t="s">
        <v>41</v>
      </c>
      <c r="C12" t="s">
        <v>31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s="4" t="e">
        <v>#DIV/0!</v>
      </c>
    </row>
    <row r="13" spans="1:31" x14ac:dyDescent="0.25">
      <c r="A13" t="s">
        <v>29</v>
      </c>
      <c r="B13" t="s">
        <v>42</v>
      </c>
      <c r="C13" t="s">
        <v>31</v>
      </c>
      <c r="D13">
        <v>0.26185399999999998</v>
      </c>
      <c r="E13">
        <v>0.28145300000000001</v>
      </c>
      <c r="F13">
        <v>4.9827120000000003</v>
      </c>
      <c r="G13">
        <v>6.0956799999999998</v>
      </c>
      <c r="H13">
        <v>6.0785109999999998</v>
      </c>
      <c r="I13">
        <v>6.0707979999999999</v>
      </c>
      <c r="J13">
        <v>6.0515499999999998</v>
      </c>
      <c r="K13">
        <v>6.0732499999999998</v>
      </c>
      <c r="L13">
        <v>6.0681279999999997</v>
      </c>
      <c r="M13">
        <v>6.078144</v>
      </c>
      <c r="N13">
        <v>6.0622220000000002</v>
      </c>
      <c r="O13">
        <v>6.0708919999999997</v>
      </c>
      <c r="P13">
        <v>6.0665820000000004</v>
      </c>
      <c r="Q13">
        <v>6.0688409999999999</v>
      </c>
      <c r="R13">
        <v>6.054513</v>
      </c>
      <c r="S13">
        <v>6.0609260000000003</v>
      </c>
      <c r="T13">
        <v>6.0615199999999998</v>
      </c>
      <c r="U13">
        <v>6.0858049999999997</v>
      </c>
      <c r="V13">
        <v>6.077191</v>
      </c>
      <c r="W13">
        <v>6.0757589999999997</v>
      </c>
      <c r="X13">
        <v>7.146541</v>
      </c>
      <c r="Y13">
        <v>7.3820649999999999</v>
      </c>
      <c r="Z13">
        <v>7.3722659999999998</v>
      </c>
      <c r="AA13">
        <v>7.3773759999999999</v>
      </c>
      <c r="AB13">
        <v>7.4352780000000003</v>
      </c>
      <c r="AC13">
        <v>9.1612679999999997</v>
      </c>
      <c r="AD13">
        <v>10.259047000000001</v>
      </c>
      <c r="AE13" s="4">
        <v>38.178500232954249</v>
      </c>
    </row>
    <row r="14" spans="1:31" x14ac:dyDescent="0.25">
      <c r="A14" t="s">
        <v>29</v>
      </c>
      <c r="B14" t="s">
        <v>43</v>
      </c>
      <c r="C14" t="s">
        <v>31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s="4" t="e">
        <v>#DIV/0!</v>
      </c>
    </row>
    <row r="15" spans="1:31" x14ac:dyDescent="0.25">
      <c r="A15" t="s">
        <v>29</v>
      </c>
      <c r="B15" t="s">
        <v>44</v>
      </c>
      <c r="C15" t="s">
        <v>31</v>
      </c>
      <c r="D15">
        <v>0.25730500000000001</v>
      </c>
      <c r="E15">
        <v>2.8385850000000001</v>
      </c>
      <c r="F15">
        <v>4.5405309999999997</v>
      </c>
      <c r="G15">
        <v>7.9358230000000001</v>
      </c>
      <c r="H15">
        <v>10.566404</v>
      </c>
      <c r="I15">
        <v>13.649988</v>
      </c>
      <c r="J15">
        <v>16.736076000000001</v>
      </c>
      <c r="K15">
        <v>19.820540999999999</v>
      </c>
      <c r="L15">
        <v>22.904602000000001</v>
      </c>
      <c r="M15">
        <v>25.993621999999998</v>
      </c>
      <c r="N15">
        <v>29.069092000000001</v>
      </c>
      <c r="O15">
        <v>32.152453999999999</v>
      </c>
      <c r="P15">
        <v>32.782490000000003</v>
      </c>
      <c r="Q15">
        <v>32.782555000000002</v>
      </c>
      <c r="R15">
        <v>32.781494000000002</v>
      </c>
      <c r="S15">
        <v>32.793208999999997</v>
      </c>
      <c r="T15">
        <v>32.781052000000003</v>
      </c>
      <c r="U15">
        <v>32.780819000000001</v>
      </c>
      <c r="V15">
        <v>32.769089000000001</v>
      </c>
      <c r="W15">
        <v>32.768344999999997</v>
      </c>
      <c r="X15">
        <v>32.768397999999998</v>
      </c>
      <c r="Y15">
        <v>32.767913999999998</v>
      </c>
      <c r="Z15">
        <v>32.768349000000001</v>
      </c>
      <c r="AA15">
        <v>32.785460999999998</v>
      </c>
      <c r="AB15">
        <v>32.784973000000001</v>
      </c>
      <c r="AC15">
        <v>32.779594000000003</v>
      </c>
      <c r="AD15">
        <v>32.791313000000002</v>
      </c>
      <c r="AE15" s="4">
        <v>126.44141388624395</v>
      </c>
    </row>
    <row r="16" spans="1:31" x14ac:dyDescent="0.25">
      <c r="A16" t="s">
        <v>29</v>
      </c>
      <c r="B16" s="5" t="s">
        <v>45</v>
      </c>
      <c r="C16" t="s">
        <v>31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3.3939999999999999E-3</v>
      </c>
      <c r="Q16">
        <v>6.7299999999999999E-3</v>
      </c>
      <c r="R16">
        <v>1.0165E-2</v>
      </c>
      <c r="S16">
        <v>1.9755000000000002E-2</v>
      </c>
      <c r="T16">
        <v>2.3233E-2</v>
      </c>
      <c r="U16">
        <v>2.6407E-2</v>
      </c>
      <c r="V16">
        <v>2.9256000000000001E-2</v>
      </c>
      <c r="W16">
        <v>3.2199999999999999E-2</v>
      </c>
      <c r="X16">
        <v>3.5321999999999999E-2</v>
      </c>
      <c r="Y16">
        <v>4.3615000000000001E-2</v>
      </c>
      <c r="Z16">
        <v>4.6765000000000001E-2</v>
      </c>
      <c r="AA16">
        <v>5.5048E-2</v>
      </c>
      <c r="AB16">
        <v>6.3353000000000007E-2</v>
      </c>
      <c r="AC16">
        <v>7.1525000000000005E-2</v>
      </c>
      <c r="AD16">
        <v>8.0350000000000005E-2</v>
      </c>
      <c r="AE16" s="4" t="e">
        <v>#DIV/0!</v>
      </c>
    </row>
    <row r="17" spans="1:31" x14ac:dyDescent="0.25">
      <c r="A17" t="s">
        <v>29</v>
      </c>
      <c r="B17" s="5" t="s">
        <v>46</v>
      </c>
      <c r="C17" t="s">
        <v>31</v>
      </c>
      <c r="D17">
        <v>42.445098999999999</v>
      </c>
      <c r="E17">
        <v>23.342020000000002</v>
      </c>
      <c r="F17">
        <v>38.440849</v>
      </c>
      <c r="G17">
        <v>40.873595999999999</v>
      </c>
      <c r="H17">
        <v>37.041069</v>
      </c>
      <c r="I17">
        <v>36.718089999999997</v>
      </c>
      <c r="J17">
        <v>50.66066</v>
      </c>
      <c r="K17">
        <v>44.978988999999999</v>
      </c>
      <c r="L17">
        <v>48.818007999999999</v>
      </c>
      <c r="M17">
        <v>52.801566999999999</v>
      </c>
      <c r="N17">
        <v>55.447356999999997</v>
      </c>
      <c r="O17">
        <v>58.801136</v>
      </c>
      <c r="P17">
        <v>59.599257999999999</v>
      </c>
      <c r="Q17">
        <v>59.542236000000003</v>
      </c>
      <c r="R17">
        <v>59.235573000000002</v>
      </c>
      <c r="S17">
        <v>58.829807000000002</v>
      </c>
      <c r="T17">
        <v>58.842300000000002</v>
      </c>
      <c r="U17">
        <v>58.879761000000002</v>
      </c>
      <c r="V17">
        <v>58.087063000000001</v>
      </c>
      <c r="W17">
        <v>58.508147999999998</v>
      </c>
      <c r="X17">
        <v>58.318775000000002</v>
      </c>
      <c r="Y17">
        <v>58.377170999999997</v>
      </c>
      <c r="Z17">
        <v>61.504269000000001</v>
      </c>
      <c r="AA17">
        <v>60.925651999999999</v>
      </c>
      <c r="AB17">
        <v>61.782482000000002</v>
      </c>
      <c r="AC17">
        <v>63.821776999999997</v>
      </c>
      <c r="AD17">
        <v>65.253264999999999</v>
      </c>
      <c r="AE17" s="4">
        <v>0.53735688070841825</v>
      </c>
    </row>
    <row r="18" spans="1:31" x14ac:dyDescent="0.25">
      <c r="A18" t="s">
        <v>75</v>
      </c>
      <c r="B18" t="s">
        <v>47</v>
      </c>
      <c r="C18" t="s">
        <v>48</v>
      </c>
      <c r="D18">
        <v>30.008284</v>
      </c>
      <c r="E18">
        <v>31.345396000000001</v>
      </c>
      <c r="F18">
        <v>30.734252999999999</v>
      </c>
      <c r="G18">
        <v>29.457632</v>
      </c>
      <c r="H18">
        <v>29.217210999999999</v>
      </c>
      <c r="I18">
        <v>29.360489000000001</v>
      </c>
      <c r="J18">
        <v>29.739269</v>
      </c>
      <c r="K18">
        <v>29.703866999999999</v>
      </c>
      <c r="L18">
        <v>29.598521999999999</v>
      </c>
      <c r="M18">
        <v>30.022925999999998</v>
      </c>
      <c r="N18">
        <v>30.045938</v>
      </c>
      <c r="O18">
        <v>30.350807</v>
      </c>
      <c r="P18">
        <v>30.464355000000001</v>
      </c>
      <c r="Q18">
        <v>30.287167</v>
      </c>
      <c r="R18">
        <v>30.245274999999999</v>
      </c>
      <c r="S18">
        <v>29.909578</v>
      </c>
      <c r="T18">
        <v>29.839338000000001</v>
      </c>
      <c r="U18">
        <v>30.024553000000001</v>
      </c>
      <c r="V18">
        <v>30.205734</v>
      </c>
      <c r="W18">
        <v>30.345040999999998</v>
      </c>
      <c r="X18">
        <v>30.604555000000001</v>
      </c>
      <c r="Y18">
        <v>30.731459000000001</v>
      </c>
      <c r="Z18">
        <v>31.044696999999999</v>
      </c>
      <c r="AA18">
        <v>31.323554999999999</v>
      </c>
      <c r="AB18">
        <v>31.685321999999999</v>
      </c>
      <c r="AC18">
        <v>31.876387000000001</v>
      </c>
      <c r="AD18">
        <v>32.029274000000001</v>
      </c>
      <c r="AE18" s="4" cm="1">
        <f t="array" ref="AE18:AE22">(AD18:AD22-D18:D22)/D18:D22</f>
        <v>6.7347736378394751E-2</v>
      </c>
    </row>
    <row r="19" spans="1:31" x14ac:dyDescent="0.25">
      <c r="A19" t="s">
        <v>75</v>
      </c>
      <c r="B19" t="s">
        <v>49</v>
      </c>
      <c r="C19" t="s">
        <v>48</v>
      </c>
      <c r="D19">
        <v>22.260725000000001</v>
      </c>
      <c r="E19">
        <v>23.014433</v>
      </c>
      <c r="F19">
        <v>22.355761000000001</v>
      </c>
      <c r="G19">
        <v>20.995107999999998</v>
      </c>
      <c r="H19">
        <v>20.774135999999999</v>
      </c>
      <c r="I19">
        <v>20.883102000000001</v>
      </c>
      <c r="J19">
        <v>21.328899</v>
      </c>
      <c r="K19">
        <v>21.324408999999999</v>
      </c>
      <c r="L19">
        <v>21.083645000000001</v>
      </c>
      <c r="M19">
        <v>21.510103000000001</v>
      </c>
      <c r="N19">
        <v>21.532</v>
      </c>
      <c r="O19">
        <v>21.875105000000001</v>
      </c>
      <c r="P19">
        <v>21.933796000000001</v>
      </c>
      <c r="Q19">
        <v>21.683615</v>
      </c>
      <c r="R19">
        <v>21.598973999999998</v>
      </c>
      <c r="S19">
        <v>21.145303999999999</v>
      </c>
      <c r="T19">
        <v>20.986134</v>
      </c>
      <c r="U19">
        <v>21.074493</v>
      </c>
      <c r="V19">
        <v>21.133161999999999</v>
      </c>
      <c r="W19">
        <v>21.129411999999999</v>
      </c>
      <c r="X19">
        <v>21.237278</v>
      </c>
      <c r="Y19">
        <v>21.179359000000002</v>
      </c>
      <c r="Z19">
        <v>21.298331999999998</v>
      </c>
      <c r="AA19">
        <v>21.378971</v>
      </c>
      <c r="AB19">
        <v>21.577974000000001</v>
      </c>
      <c r="AC19">
        <v>21.599008999999999</v>
      </c>
      <c r="AD19">
        <v>21.525877000000001</v>
      </c>
      <c r="AE19" s="4">
        <v>-3.3010964377844815E-2</v>
      </c>
    </row>
    <row r="20" spans="1:31" x14ac:dyDescent="0.25">
      <c r="A20" t="s">
        <v>75</v>
      </c>
      <c r="B20" t="s">
        <v>50</v>
      </c>
      <c r="C20" t="s">
        <v>48</v>
      </c>
      <c r="D20">
        <v>24.079926</v>
      </c>
      <c r="E20">
        <v>24.888726999999999</v>
      </c>
      <c r="F20">
        <v>24.073084000000001</v>
      </c>
      <c r="G20">
        <v>22.809898</v>
      </c>
      <c r="H20">
        <v>22.723433</v>
      </c>
      <c r="I20">
        <v>22.962198000000001</v>
      </c>
      <c r="J20">
        <v>23.305063000000001</v>
      </c>
      <c r="K20">
        <v>23.325823</v>
      </c>
      <c r="L20">
        <v>23.391251</v>
      </c>
      <c r="M20">
        <v>23.880372999999999</v>
      </c>
      <c r="N20">
        <v>23.95356</v>
      </c>
      <c r="O20">
        <v>24.235043000000001</v>
      </c>
      <c r="P20">
        <v>24.35</v>
      </c>
      <c r="Q20">
        <v>24.210491000000001</v>
      </c>
      <c r="R20">
        <v>24.154133000000002</v>
      </c>
      <c r="S20">
        <v>23.896996999999999</v>
      </c>
      <c r="T20">
        <v>23.863320999999999</v>
      </c>
      <c r="U20">
        <v>24.045513</v>
      </c>
      <c r="V20">
        <v>24.236162</v>
      </c>
      <c r="W20">
        <v>24.369084999999998</v>
      </c>
      <c r="X20">
        <v>24.608509000000002</v>
      </c>
      <c r="Y20">
        <v>24.724297</v>
      </c>
      <c r="Z20">
        <v>24.998622999999998</v>
      </c>
      <c r="AA20">
        <v>25.215996000000001</v>
      </c>
      <c r="AB20">
        <v>25.477297</v>
      </c>
      <c r="AC20">
        <v>25.597044</v>
      </c>
      <c r="AD20">
        <v>25.660979999999999</v>
      </c>
      <c r="AE20" s="4">
        <v>6.5658590479057047E-2</v>
      </c>
    </row>
    <row r="21" spans="1:31" x14ac:dyDescent="0.25">
      <c r="A21" t="s">
        <v>75</v>
      </c>
      <c r="B21" t="s">
        <v>51</v>
      </c>
      <c r="C21" t="s">
        <v>48</v>
      </c>
      <c r="D21">
        <v>21.797412999999999</v>
      </c>
      <c r="E21">
        <v>22.660565999999999</v>
      </c>
      <c r="F21">
        <v>21.805448999999999</v>
      </c>
      <c r="G21">
        <v>20.408228000000001</v>
      </c>
      <c r="H21">
        <v>20.162289000000001</v>
      </c>
      <c r="I21">
        <v>20.265787</v>
      </c>
      <c r="J21">
        <v>20.535454000000001</v>
      </c>
      <c r="K21">
        <v>20.498895999999998</v>
      </c>
      <c r="L21">
        <v>20.533685999999999</v>
      </c>
      <c r="M21">
        <v>20.956543</v>
      </c>
      <c r="N21">
        <v>21.006533000000001</v>
      </c>
      <c r="O21">
        <v>21.237964999999999</v>
      </c>
      <c r="P21">
        <v>21.294998</v>
      </c>
      <c r="Q21">
        <v>21.073505000000001</v>
      </c>
      <c r="R21">
        <v>20.9499</v>
      </c>
      <c r="S21">
        <v>20.628971</v>
      </c>
      <c r="T21">
        <v>20.513871999999999</v>
      </c>
      <c r="U21">
        <v>20.602926</v>
      </c>
      <c r="V21">
        <v>20.696964000000001</v>
      </c>
      <c r="W21">
        <v>20.723693999999998</v>
      </c>
      <c r="X21">
        <v>20.827649999999998</v>
      </c>
      <c r="Y21">
        <v>20.826333999999999</v>
      </c>
      <c r="Z21">
        <v>20.958144999999998</v>
      </c>
      <c r="AA21">
        <v>21.06531</v>
      </c>
      <c r="AB21">
        <v>21.233606000000002</v>
      </c>
      <c r="AC21">
        <v>21.274397</v>
      </c>
      <c r="AD21">
        <v>21.237860000000001</v>
      </c>
      <c r="AE21" s="4">
        <v>-2.5670615132171764E-2</v>
      </c>
    </row>
    <row r="22" spans="1:31" x14ac:dyDescent="0.25">
      <c r="A22" t="s">
        <v>75</v>
      </c>
      <c r="B22" t="s">
        <v>52</v>
      </c>
      <c r="C22" t="s">
        <v>48</v>
      </c>
      <c r="D22">
        <v>25.12529</v>
      </c>
      <c r="E22">
        <v>26.052605</v>
      </c>
      <c r="F22">
        <v>25.430565000000001</v>
      </c>
      <c r="G22">
        <v>24.095980000000001</v>
      </c>
      <c r="H22">
        <v>23.862822000000001</v>
      </c>
      <c r="I22">
        <v>23.967907</v>
      </c>
      <c r="J22">
        <v>24.378696000000001</v>
      </c>
      <c r="K22">
        <v>24.352395999999999</v>
      </c>
      <c r="L22">
        <v>24.148430000000001</v>
      </c>
      <c r="M22">
        <v>24.565294000000002</v>
      </c>
      <c r="N22">
        <v>24.574480000000001</v>
      </c>
      <c r="O22">
        <v>24.889797000000002</v>
      </c>
      <c r="P22">
        <v>24.953908999999999</v>
      </c>
      <c r="Q22">
        <v>24.71904</v>
      </c>
      <c r="R22">
        <v>24.636658000000001</v>
      </c>
      <c r="S22">
        <v>24.211227000000001</v>
      </c>
      <c r="T22">
        <v>24.070924999999999</v>
      </c>
      <c r="U22">
        <v>24.179864999999999</v>
      </c>
      <c r="V22">
        <v>24.266838</v>
      </c>
      <c r="W22">
        <v>24.296157999999998</v>
      </c>
      <c r="X22">
        <v>24.437719000000001</v>
      </c>
      <c r="Y22">
        <v>24.423061000000001</v>
      </c>
      <c r="Z22">
        <v>24.586925999999998</v>
      </c>
      <c r="AA22">
        <v>24.711939000000001</v>
      </c>
      <c r="AB22">
        <v>24.942544999999999</v>
      </c>
      <c r="AC22">
        <v>24.996649000000001</v>
      </c>
      <c r="AD22">
        <v>24.972297999999999</v>
      </c>
      <c r="AE22" s="4">
        <v>-6.0891635479630732E-3</v>
      </c>
    </row>
    <row r="23" spans="1:31" x14ac:dyDescent="0.25">
      <c r="A23" t="s">
        <v>74</v>
      </c>
      <c r="B23" t="s">
        <v>47</v>
      </c>
      <c r="C23" t="s">
        <v>53</v>
      </c>
      <c r="D23">
        <v>30.008284</v>
      </c>
      <c r="E23">
        <v>31.988479999999999</v>
      </c>
      <c r="F23">
        <v>31.894468</v>
      </c>
      <c r="G23">
        <v>31.079145</v>
      </c>
      <c r="H23">
        <v>31.407547000000001</v>
      </c>
      <c r="I23">
        <v>32.121426</v>
      </c>
      <c r="J23">
        <v>33.143771999999998</v>
      </c>
      <c r="K23">
        <v>33.784903999999997</v>
      </c>
      <c r="L23">
        <v>34.376460999999999</v>
      </c>
      <c r="M23">
        <v>35.628239000000001</v>
      </c>
      <c r="N23">
        <v>36.445030000000003</v>
      </c>
      <c r="O23">
        <v>37.612971999999999</v>
      </c>
      <c r="P23">
        <v>38.535018999999998</v>
      </c>
      <c r="Q23">
        <v>39.107708000000002</v>
      </c>
      <c r="R23">
        <v>39.860450999999998</v>
      </c>
      <c r="S23">
        <v>40.225346000000002</v>
      </c>
      <c r="T23">
        <v>40.975223999999997</v>
      </c>
      <c r="U23">
        <v>42.110004000000004</v>
      </c>
      <c r="V23">
        <v>43.288097</v>
      </c>
      <c r="W23">
        <v>44.45599</v>
      </c>
      <c r="X23">
        <v>45.834789000000001</v>
      </c>
      <c r="Y23">
        <v>47.063319999999997</v>
      </c>
      <c r="Z23">
        <v>48.618298000000003</v>
      </c>
      <c r="AA23">
        <v>50.173575999999997</v>
      </c>
      <c r="AB23">
        <v>51.910319999999999</v>
      </c>
      <c r="AC23">
        <v>53.402656999999998</v>
      </c>
      <c r="AD23">
        <v>54.860957999999997</v>
      </c>
      <c r="AE23" s="4" cm="1">
        <f t="array" ref="AE23:AE27">(AD23:AD27-D23:D27)/D23:D27</f>
        <v>0.82819377475899647</v>
      </c>
    </row>
    <row r="24" spans="1:31" x14ac:dyDescent="0.25">
      <c r="A24" t="s">
        <v>74</v>
      </c>
      <c r="B24" t="s">
        <v>49</v>
      </c>
      <c r="C24" t="s">
        <v>53</v>
      </c>
      <c r="D24">
        <v>22.260725000000001</v>
      </c>
      <c r="E24">
        <v>23.486597</v>
      </c>
      <c r="F24">
        <v>23.199687999999998</v>
      </c>
      <c r="G24">
        <v>22.150797000000001</v>
      </c>
      <c r="H24">
        <v>22.331517999999999</v>
      </c>
      <c r="I24">
        <v>22.846862999999999</v>
      </c>
      <c r="J24">
        <v>23.770596999999999</v>
      </c>
      <c r="K24">
        <v>24.254187000000002</v>
      </c>
      <c r="L24">
        <v>24.487069999999999</v>
      </c>
      <c r="M24">
        <v>25.526062</v>
      </c>
      <c r="N24">
        <v>26.117819000000001</v>
      </c>
      <c r="O24">
        <v>27.109252999999999</v>
      </c>
      <c r="P24">
        <v>27.744532</v>
      </c>
      <c r="Q24">
        <v>27.998539000000001</v>
      </c>
      <c r="R24">
        <v>28.465430999999999</v>
      </c>
      <c r="S24">
        <v>28.438286000000002</v>
      </c>
      <c r="T24">
        <v>28.818048000000001</v>
      </c>
      <c r="U24">
        <v>29.557375</v>
      </c>
      <c r="V24">
        <v>30.286117999999998</v>
      </c>
      <c r="W24">
        <v>30.954939</v>
      </c>
      <c r="X24">
        <v>31.805923</v>
      </c>
      <c r="Y24">
        <v>32.434874999999998</v>
      </c>
      <c r="Z24">
        <v>33.354771</v>
      </c>
      <c r="AA24">
        <v>34.244498999999998</v>
      </c>
      <c r="AB24">
        <v>35.351371999999998</v>
      </c>
      <c r="AC24">
        <v>36.184916999999999</v>
      </c>
      <c r="AD24">
        <v>36.870342000000001</v>
      </c>
      <c r="AE24" s="4">
        <v>0.65629565074812246</v>
      </c>
    </row>
    <row r="25" spans="1:31" x14ac:dyDescent="0.25">
      <c r="A25" t="s">
        <v>74</v>
      </c>
      <c r="B25" t="s">
        <v>50</v>
      </c>
      <c r="C25" t="s">
        <v>53</v>
      </c>
      <c r="D25">
        <v>24.079926</v>
      </c>
      <c r="E25">
        <v>25.399345</v>
      </c>
      <c r="F25">
        <v>24.981839999999998</v>
      </c>
      <c r="G25">
        <v>24.065483</v>
      </c>
      <c r="H25">
        <v>24.426946999999998</v>
      </c>
      <c r="I25">
        <v>25.121468</v>
      </c>
      <c r="J25">
        <v>25.972988000000001</v>
      </c>
      <c r="K25">
        <v>26.530577000000001</v>
      </c>
      <c r="L25">
        <v>27.167180999999999</v>
      </c>
      <c r="M25">
        <v>28.338863</v>
      </c>
      <c r="N25">
        <v>29.055115000000001</v>
      </c>
      <c r="O25">
        <v>30.033863</v>
      </c>
      <c r="P25">
        <v>30.800840000000001</v>
      </c>
      <c r="Q25">
        <v>31.261320000000001</v>
      </c>
      <c r="R25">
        <v>31.832892999999999</v>
      </c>
      <c r="S25">
        <v>32.139034000000002</v>
      </c>
      <c r="T25">
        <v>32.768985999999998</v>
      </c>
      <c r="U25">
        <v>33.724285000000002</v>
      </c>
      <c r="V25">
        <v>34.733055</v>
      </c>
      <c r="W25">
        <v>35.701115000000001</v>
      </c>
      <c r="X25">
        <v>36.854835999999999</v>
      </c>
      <c r="Y25">
        <v>37.863723999999998</v>
      </c>
      <c r="Z25">
        <v>39.149700000000003</v>
      </c>
      <c r="AA25">
        <v>40.390582999999999</v>
      </c>
      <c r="AB25">
        <v>41.739662000000003</v>
      </c>
      <c r="AC25">
        <v>42.882843000000001</v>
      </c>
      <c r="AD25">
        <v>43.953102000000001</v>
      </c>
      <c r="AE25" s="4">
        <v>0.82530054286711685</v>
      </c>
    </row>
    <row r="26" spans="1:31" x14ac:dyDescent="0.25">
      <c r="A26" t="s">
        <v>74</v>
      </c>
      <c r="B26" t="s">
        <v>51</v>
      </c>
      <c r="C26" t="s">
        <v>53</v>
      </c>
      <c r="D26">
        <v>21.797412999999999</v>
      </c>
      <c r="E26">
        <v>23.125473</v>
      </c>
      <c r="F26">
        <v>22.628601</v>
      </c>
      <c r="G26">
        <v>21.531610000000001</v>
      </c>
      <c r="H26">
        <v>21.673801000000001</v>
      </c>
      <c r="I26">
        <v>22.171499000000001</v>
      </c>
      <c r="J26">
        <v>22.886317999999999</v>
      </c>
      <c r="K26">
        <v>23.315256000000002</v>
      </c>
      <c r="L26">
        <v>23.848334999999999</v>
      </c>
      <c r="M26">
        <v>24.869150000000001</v>
      </c>
      <c r="N26">
        <v>25.480440000000002</v>
      </c>
      <c r="O26">
        <v>26.319662000000001</v>
      </c>
      <c r="P26">
        <v>26.936502000000001</v>
      </c>
      <c r="Q26">
        <v>27.210749</v>
      </c>
      <c r="R26">
        <v>27.610014</v>
      </c>
      <c r="S26">
        <v>27.743870000000001</v>
      </c>
      <c r="T26">
        <v>28.169542</v>
      </c>
      <c r="U26">
        <v>28.895992</v>
      </c>
      <c r="V26">
        <v>29.660999</v>
      </c>
      <c r="W26">
        <v>30.360554</v>
      </c>
      <c r="X26">
        <v>31.192446</v>
      </c>
      <c r="Y26">
        <v>31.894238000000001</v>
      </c>
      <c r="Z26">
        <v>32.822009999999999</v>
      </c>
      <c r="AA26">
        <v>33.742080999999999</v>
      </c>
      <c r="AB26">
        <v>34.787188999999998</v>
      </c>
      <c r="AC26">
        <v>35.641094000000002</v>
      </c>
      <c r="AD26">
        <v>36.377014000000003</v>
      </c>
      <c r="AE26" s="4">
        <v>0.66886841112750417</v>
      </c>
    </row>
    <row r="27" spans="1:31" x14ac:dyDescent="0.25">
      <c r="A27" t="s">
        <v>74</v>
      </c>
      <c r="B27" t="s">
        <v>52</v>
      </c>
      <c r="C27" t="s">
        <v>53</v>
      </c>
      <c r="D27">
        <v>25.12529</v>
      </c>
      <c r="E27">
        <v>26.587101000000001</v>
      </c>
      <c r="F27">
        <v>26.390566</v>
      </c>
      <c r="G27">
        <v>25.422359</v>
      </c>
      <c r="H27">
        <v>25.651754</v>
      </c>
      <c r="I27">
        <v>26.221748000000002</v>
      </c>
      <c r="J27">
        <v>27.169530999999999</v>
      </c>
      <c r="K27">
        <v>27.698193</v>
      </c>
      <c r="L27">
        <v>28.046590999999999</v>
      </c>
      <c r="M27">
        <v>29.151658999999999</v>
      </c>
      <c r="N27">
        <v>29.808277</v>
      </c>
      <c r="O27">
        <v>30.845283999999999</v>
      </c>
      <c r="P27">
        <v>31.564737000000001</v>
      </c>
      <c r="Q27">
        <v>31.917971000000001</v>
      </c>
      <c r="R27">
        <v>32.468814999999999</v>
      </c>
      <c r="S27">
        <v>32.561641999999999</v>
      </c>
      <c r="T27">
        <v>33.054065999999999</v>
      </c>
      <c r="U27">
        <v>33.912716000000003</v>
      </c>
      <c r="V27">
        <v>34.777016000000003</v>
      </c>
      <c r="W27">
        <v>35.594276000000001</v>
      </c>
      <c r="X27">
        <v>36.599052</v>
      </c>
      <c r="Y27">
        <v>37.402400999999998</v>
      </c>
      <c r="Z27">
        <v>38.504947999999999</v>
      </c>
      <c r="AA27">
        <v>39.583195000000003</v>
      </c>
      <c r="AB27">
        <v>40.863571</v>
      </c>
      <c r="AC27">
        <v>41.876998999999998</v>
      </c>
      <c r="AD27">
        <v>42.773502000000001</v>
      </c>
      <c r="AE27" s="4">
        <v>0.70240829061077503</v>
      </c>
    </row>
    <row r="28" spans="1:31" x14ac:dyDescent="0.25">
      <c r="A28" t="s">
        <v>76</v>
      </c>
      <c r="B28" t="s">
        <v>54</v>
      </c>
      <c r="C28" t="s">
        <v>48</v>
      </c>
      <c r="D28">
        <v>8.851286</v>
      </c>
      <c r="E28">
        <v>9.1797839999999997</v>
      </c>
      <c r="F28">
        <v>7.9539989999999996</v>
      </c>
      <c r="G28">
        <v>6.2481559999999998</v>
      </c>
      <c r="H28">
        <v>5.8963039999999998</v>
      </c>
      <c r="I28">
        <v>5.8959859999999997</v>
      </c>
      <c r="J28">
        <v>6.2126650000000003</v>
      </c>
      <c r="K28">
        <v>6.1057069999999998</v>
      </c>
      <c r="L28">
        <v>5.8718669999999999</v>
      </c>
      <c r="M28">
        <v>6.2601240000000002</v>
      </c>
      <c r="N28">
        <v>6.2614460000000003</v>
      </c>
      <c r="O28">
        <v>6.5889430000000004</v>
      </c>
      <c r="P28">
        <v>6.6822350000000004</v>
      </c>
      <c r="Q28">
        <v>6.4764090000000003</v>
      </c>
      <c r="R28">
        <v>6.4158470000000003</v>
      </c>
      <c r="S28">
        <v>6.0057859999999996</v>
      </c>
      <c r="T28">
        <v>5.8817279999999998</v>
      </c>
      <c r="U28">
        <v>5.9772790000000002</v>
      </c>
      <c r="V28">
        <v>6.0336759999999998</v>
      </c>
      <c r="W28">
        <v>6.0207920000000001</v>
      </c>
      <c r="X28">
        <v>6.1196529999999996</v>
      </c>
      <c r="Y28">
        <v>6.0580629999999998</v>
      </c>
      <c r="Z28">
        <v>6.1703929999999998</v>
      </c>
      <c r="AA28">
        <v>6.2484609999999998</v>
      </c>
      <c r="AB28">
        <v>6.4287520000000002</v>
      </c>
      <c r="AC28">
        <v>6.4283390000000002</v>
      </c>
      <c r="AD28">
        <v>6.3506330000000002</v>
      </c>
      <c r="AE28" s="4" cm="1">
        <f t="array" ref="AE28:AE30">(AD28:AD30-D28:D30)/D28:D30</f>
        <v>-0.28251860803051665</v>
      </c>
    </row>
    <row r="29" spans="1:31" x14ac:dyDescent="0.25">
      <c r="A29" t="s">
        <v>76</v>
      </c>
      <c r="B29" t="s">
        <v>55</v>
      </c>
      <c r="C29" t="s">
        <v>48</v>
      </c>
      <c r="D29">
        <v>2.5099499999999999</v>
      </c>
      <c r="E29">
        <v>2.649089</v>
      </c>
      <c r="F29">
        <v>2.7791619999999999</v>
      </c>
      <c r="G29">
        <v>2.8965839999999998</v>
      </c>
      <c r="H29">
        <v>2.9145819999999998</v>
      </c>
      <c r="I29">
        <v>2.9357319999999998</v>
      </c>
      <c r="J29">
        <v>2.9529369999999999</v>
      </c>
      <c r="K29">
        <v>2.9685079999999999</v>
      </c>
      <c r="L29">
        <v>2.9756659999999999</v>
      </c>
      <c r="M29">
        <v>2.981805</v>
      </c>
      <c r="N29">
        <v>2.9832559999999999</v>
      </c>
      <c r="O29">
        <v>2.974113</v>
      </c>
      <c r="P29">
        <v>2.9588909999999999</v>
      </c>
      <c r="Q29">
        <v>2.938936</v>
      </c>
      <c r="R29">
        <v>2.9195890000000002</v>
      </c>
      <c r="S29">
        <v>2.9083670000000001</v>
      </c>
      <c r="T29">
        <v>2.8904019999999999</v>
      </c>
      <c r="U29">
        <v>2.8834780000000002</v>
      </c>
      <c r="V29">
        <v>2.8821720000000002</v>
      </c>
      <c r="W29">
        <v>2.8876059999999999</v>
      </c>
      <c r="X29">
        <v>2.8925000000000001</v>
      </c>
      <c r="Y29">
        <v>2.9022869999999998</v>
      </c>
      <c r="Z29">
        <v>2.904528</v>
      </c>
      <c r="AA29">
        <v>2.9039670000000002</v>
      </c>
      <c r="AB29">
        <v>2.9105799999999999</v>
      </c>
      <c r="AC29">
        <v>2.919699</v>
      </c>
      <c r="AD29">
        <v>2.9352610000000001</v>
      </c>
      <c r="AE29" s="4">
        <v>0.16944998904360653</v>
      </c>
    </row>
    <row r="30" spans="1:31" x14ac:dyDescent="0.25">
      <c r="A30" t="s">
        <v>76</v>
      </c>
      <c r="B30" t="s">
        <v>56</v>
      </c>
      <c r="C30" t="s">
        <v>48</v>
      </c>
      <c r="D30">
        <v>13.764054</v>
      </c>
      <c r="E30">
        <v>14.223732999999999</v>
      </c>
      <c r="F30">
        <v>14.697404000000001</v>
      </c>
      <c r="G30">
        <v>14.951241</v>
      </c>
      <c r="H30">
        <v>15.051937000000001</v>
      </c>
      <c r="I30">
        <v>15.136187</v>
      </c>
      <c r="J30">
        <v>15.213096</v>
      </c>
      <c r="K30">
        <v>15.278181999999999</v>
      </c>
      <c r="L30">
        <v>15.300898</v>
      </c>
      <c r="M30">
        <v>15.323365000000001</v>
      </c>
      <c r="N30">
        <v>15.329779</v>
      </c>
      <c r="O30">
        <v>15.326741999999999</v>
      </c>
      <c r="P30">
        <v>15.312784000000001</v>
      </c>
      <c r="Q30">
        <v>15.303694</v>
      </c>
      <c r="R30">
        <v>15.301223999999999</v>
      </c>
      <c r="S30">
        <v>15.297075</v>
      </c>
      <c r="T30">
        <v>15.298795999999999</v>
      </c>
      <c r="U30">
        <v>15.319107000000001</v>
      </c>
      <c r="V30">
        <v>15.350989999999999</v>
      </c>
      <c r="W30">
        <v>15.38776</v>
      </c>
      <c r="X30">
        <v>15.425566999999999</v>
      </c>
      <c r="Y30">
        <v>15.462711000000001</v>
      </c>
      <c r="Z30">
        <v>15.512003999999999</v>
      </c>
      <c r="AA30">
        <v>15.559511000000001</v>
      </c>
      <c r="AB30">
        <v>15.603211999999999</v>
      </c>
      <c r="AC30">
        <v>15.64861</v>
      </c>
      <c r="AD30">
        <v>15.686403</v>
      </c>
      <c r="AE30" s="4">
        <v>0.13966444769833078</v>
      </c>
    </row>
    <row r="31" spans="1:31" x14ac:dyDescent="0.25">
      <c r="A31" t="s">
        <v>77</v>
      </c>
      <c r="B31" t="s">
        <v>54</v>
      </c>
      <c r="C31" t="s">
        <v>53</v>
      </c>
      <c r="D31">
        <v>8.851286</v>
      </c>
      <c r="E31">
        <v>9.3681160000000006</v>
      </c>
      <c r="F31">
        <v>8.2542609999999996</v>
      </c>
      <c r="G31">
        <v>6.5920899999999998</v>
      </c>
      <c r="H31">
        <v>6.3383339999999997</v>
      </c>
      <c r="I31">
        <v>6.4504200000000003</v>
      </c>
      <c r="J31">
        <v>6.9238809999999997</v>
      </c>
      <c r="K31">
        <v>6.9445750000000004</v>
      </c>
      <c r="L31">
        <v>6.8197320000000001</v>
      </c>
      <c r="M31">
        <v>7.4288949999999998</v>
      </c>
      <c r="N31">
        <v>7.5949900000000001</v>
      </c>
      <c r="O31">
        <v>8.1655069999999998</v>
      </c>
      <c r="P31">
        <v>8.4525039999999994</v>
      </c>
      <c r="Q31">
        <v>8.3625349999999994</v>
      </c>
      <c r="R31">
        <v>8.4554869999999998</v>
      </c>
      <c r="S31">
        <v>8.0771719999999991</v>
      </c>
      <c r="T31">
        <v>8.0767570000000006</v>
      </c>
      <c r="U31">
        <v>8.3832459999999998</v>
      </c>
      <c r="V31">
        <v>8.6469140000000007</v>
      </c>
      <c r="W31">
        <v>8.8205600000000004</v>
      </c>
      <c r="X31">
        <v>9.1650729999999996</v>
      </c>
      <c r="Y31">
        <v>9.2775470000000002</v>
      </c>
      <c r="Z31">
        <v>9.6632920000000002</v>
      </c>
      <c r="AA31">
        <v>10.008686000000001</v>
      </c>
      <c r="AB31">
        <v>10.532277000000001</v>
      </c>
      <c r="AC31">
        <v>10.769425999999999</v>
      </c>
      <c r="AD31">
        <v>10.877606</v>
      </c>
      <c r="AE31" s="4" cm="1">
        <f t="array" ref="AE31:AE33">(AD31:AD33-D31:D33)/D31:D33</f>
        <v>0.22892944595847431</v>
      </c>
    </row>
    <row r="32" spans="1:31" x14ac:dyDescent="0.25">
      <c r="A32" t="s">
        <v>77</v>
      </c>
      <c r="B32" t="s">
        <v>55</v>
      </c>
      <c r="C32" t="s">
        <v>53</v>
      </c>
      <c r="D32">
        <v>2.5099499999999999</v>
      </c>
      <c r="E32">
        <v>2.7034379999999998</v>
      </c>
      <c r="F32">
        <v>2.8840750000000002</v>
      </c>
      <c r="G32">
        <v>3.056028</v>
      </c>
      <c r="H32">
        <v>3.1330800000000001</v>
      </c>
      <c r="I32">
        <v>3.2117969999999998</v>
      </c>
      <c r="J32">
        <v>3.290985</v>
      </c>
      <c r="K32">
        <v>3.3763540000000001</v>
      </c>
      <c r="L32">
        <v>3.456013</v>
      </c>
      <c r="M32">
        <v>3.5385110000000002</v>
      </c>
      <c r="N32">
        <v>3.6186210000000001</v>
      </c>
      <c r="O32">
        <v>3.6857410000000002</v>
      </c>
      <c r="P32">
        <v>3.7427649999999999</v>
      </c>
      <c r="Q32">
        <v>3.7948430000000002</v>
      </c>
      <c r="R32">
        <v>3.8477459999999999</v>
      </c>
      <c r="S32">
        <v>3.9114589999999998</v>
      </c>
      <c r="T32">
        <v>3.9690850000000002</v>
      </c>
      <c r="U32">
        <v>4.0441330000000004</v>
      </c>
      <c r="V32">
        <v>4.1304660000000002</v>
      </c>
      <c r="W32">
        <v>4.2303920000000002</v>
      </c>
      <c r="X32">
        <v>4.3319419999999997</v>
      </c>
      <c r="Y32">
        <v>4.4446719999999997</v>
      </c>
      <c r="Z32">
        <v>4.5487070000000003</v>
      </c>
      <c r="AA32">
        <v>4.6515279999999999</v>
      </c>
      <c r="AB32">
        <v>4.7684259999999998</v>
      </c>
      <c r="AC32">
        <v>4.8913859999999998</v>
      </c>
      <c r="AD32">
        <v>5.0276269999999998</v>
      </c>
      <c r="AE32" s="4">
        <v>1.0030785473814219</v>
      </c>
    </row>
    <row r="33" spans="1:31" x14ac:dyDescent="0.25">
      <c r="A33" t="s">
        <v>77</v>
      </c>
      <c r="B33" t="s">
        <v>56</v>
      </c>
      <c r="C33" t="s">
        <v>53</v>
      </c>
      <c r="D33">
        <v>13.764054</v>
      </c>
      <c r="E33">
        <v>14.515548000000001</v>
      </c>
      <c r="F33">
        <v>15.252229</v>
      </c>
      <c r="G33">
        <v>15.774241</v>
      </c>
      <c r="H33">
        <v>16.180340000000001</v>
      </c>
      <c r="I33">
        <v>16.559532000000001</v>
      </c>
      <c r="J33">
        <v>16.954666</v>
      </c>
      <c r="K33">
        <v>17.377264</v>
      </c>
      <c r="L33">
        <v>17.770845000000001</v>
      </c>
      <c r="M33">
        <v>18.184253999999999</v>
      </c>
      <c r="N33">
        <v>18.594667000000001</v>
      </c>
      <c r="O33">
        <v>18.994036000000001</v>
      </c>
      <c r="P33">
        <v>19.369471000000001</v>
      </c>
      <c r="Q33">
        <v>19.760591999999999</v>
      </c>
      <c r="R33">
        <v>20.165585</v>
      </c>
      <c r="S33">
        <v>20.573011000000001</v>
      </c>
      <c r="T33">
        <v>21.008226000000001</v>
      </c>
      <c r="U33">
        <v>21.485336</v>
      </c>
      <c r="V33">
        <v>21.999638000000001</v>
      </c>
      <c r="W33">
        <v>22.543323999999998</v>
      </c>
      <c r="X33">
        <v>23.102036999999999</v>
      </c>
      <c r="Y33">
        <v>23.680181999999999</v>
      </c>
      <c r="Z33">
        <v>24.292950000000001</v>
      </c>
      <c r="AA33">
        <v>24.922979000000002</v>
      </c>
      <c r="AB33">
        <v>25.56287</v>
      </c>
      <c r="AC33">
        <v>26.216187999999999</v>
      </c>
      <c r="AD33">
        <v>26.868269000000002</v>
      </c>
      <c r="AE33" s="4">
        <v>0.95206070827679123</v>
      </c>
    </row>
    <row r="34" spans="1:31" x14ac:dyDescent="0.25">
      <c r="A34" t="s">
        <v>57</v>
      </c>
      <c r="B34" t="s">
        <v>58</v>
      </c>
      <c r="C34" t="s">
        <v>59</v>
      </c>
      <c r="D34">
        <v>5.771706</v>
      </c>
      <c r="E34">
        <v>3.0083989999999998</v>
      </c>
      <c r="F34">
        <v>3.9628999999999999</v>
      </c>
      <c r="G34">
        <v>3.7175400000000001</v>
      </c>
      <c r="H34">
        <v>2.8721390000000002</v>
      </c>
      <c r="I34">
        <v>2.470933</v>
      </c>
      <c r="J34">
        <v>3.6370200000000001</v>
      </c>
      <c r="K34">
        <v>2.4680059999999999</v>
      </c>
      <c r="L34">
        <v>2.3454359999999999</v>
      </c>
      <c r="M34">
        <v>2.3079559999999999</v>
      </c>
      <c r="N34">
        <v>2.2445140000000001</v>
      </c>
      <c r="O34">
        <v>2.2912340000000002</v>
      </c>
      <c r="P34">
        <v>2.3257590000000001</v>
      </c>
      <c r="Q34">
        <v>2.3255970000000001</v>
      </c>
      <c r="R34">
        <v>2.295782</v>
      </c>
      <c r="S34">
        <v>2.2320899999999999</v>
      </c>
      <c r="T34">
        <v>2.2517740000000002</v>
      </c>
      <c r="U34">
        <v>2.2574010000000002</v>
      </c>
      <c r="V34">
        <v>2.2487970000000002</v>
      </c>
      <c r="W34">
        <v>2.3771960000000001</v>
      </c>
      <c r="X34">
        <v>2.4430990000000001</v>
      </c>
      <c r="Y34">
        <v>2.5726680000000002</v>
      </c>
      <c r="Z34">
        <v>2.9722430000000002</v>
      </c>
      <c r="AA34">
        <v>2.8857539999999999</v>
      </c>
      <c r="AB34">
        <v>2.9853930000000002</v>
      </c>
      <c r="AC34">
        <v>3.023339</v>
      </c>
      <c r="AD34">
        <v>3.0704859999999998</v>
      </c>
      <c r="AE34" s="4" cm="1">
        <f t="array" ref="AE34:AE38">(AD34:AD38-D34:D38)/D34:D38</f>
        <v>-0.46801067136822289</v>
      </c>
    </row>
    <row r="35" spans="1:31" x14ac:dyDescent="0.25">
      <c r="A35" t="s">
        <v>57</v>
      </c>
      <c r="B35" t="s">
        <v>60</v>
      </c>
      <c r="C35" t="s">
        <v>59</v>
      </c>
      <c r="D35">
        <v>21.162931</v>
      </c>
      <c r="E35">
        <v>11.030797</v>
      </c>
      <c r="F35">
        <v>14.530621999999999</v>
      </c>
      <c r="G35">
        <v>13.630971000000001</v>
      </c>
      <c r="H35">
        <v>10.531174</v>
      </c>
      <c r="I35">
        <v>9.0600869999999993</v>
      </c>
      <c r="J35">
        <v>13.335739</v>
      </c>
      <c r="K35">
        <v>9.0493559999999995</v>
      </c>
      <c r="L35">
        <v>8.5999289999999995</v>
      </c>
      <c r="M35">
        <v>8.4625029999999999</v>
      </c>
      <c r="N35">
        <v>8.2298849999999995</v>
      </c>
      <c r="O35">
        <v>8.4011910000000007</v>
      </c>
      <c r="P35">
        <v>8.5277860000000008</v>
      </c>
      <c r="Q35">
        <v>8.5271910000000002</v>
      </c>
      <c r="R35">
        <v>8.4178700000000006</v>
      </c>
      <c r="S35">
        <v>8.1843350000000008</v>
      </c>
      <c r="T35">
        <v>8.2565069999999992</v>
      </c>
      <c r="U35">
        <v>8.277139</v>
      </c>
      <c r="V35">
        <v>8.2455940000000005</v>
      </c>
      <c r="W35">
        <v>8.7163900000000005</v>
      </c>
      <c r="X35">
        <v>8.9580280000000005</v>
      </c>
      <c r="Y35">
        <v>9.4331169999999993</v>
      </c>
      <c r="Z35">
        <v>10.898222000000001</v>
      </c>
      <c r="AA35">
        <v>10.581097</v>
      </c>
      <c r="AB35">
        <v>10.946437</v>
      </c>
      <c r="AC35">
        <v>11.085578999999999</v>
      </c>
      <c r="AD35">
        <v>11.25845</v>
      </c>
      <c r="AE35" s="4">
        <v>-0.46801083460509324</v>
      </c>
    </row>
    <row r="36" spans="1:31" x14ac:dyDescent="0.25">
      <c r="A36" t="s">
        <v>57</v>
      </c>
      <c r="B36" t="s">
        <v>61</v>
      </c>
      <c r="C36" t="s">
        <v>59</v>
      </c>
      <c r="D36">
        <v>1.158E-3</v>
      </c>
      <c r="E36">
        <v>9.8700000000000003E-4</v>
      </c>
      <c r="F36">
        <v>8.7399999999999999E-4</v>
      </c>
      <c r="G36">
        <v>8.3600000000000005E-4</v>
      </c>
      <c r="H36">
        <v>1.36E-4</v>
      </c>
      <c r="I36">
        <v>1.17E-4</v>
      </c>
      <c r="J36">
        <v>9.0000000000000006E-5</v>
      </c>
      <c r="K36">
        <v>7.4999999999999993E-5</v>
      </c>
      <c r="L36">
        <v>1.4E-5</v>
      </c>
      <c r="M36">
        <v>1.5E-5</v>
      </c>
      <c r="N36">
        <v>1.2999999999999999E-5</v>
      </c>
      <c r="O36">
        <v>1.2E-5</v>
      </c>
      <c r="P36">
        <v>1.2999999999999999E-5</v>
      </c>
      <c r="Q36">
        <v>1.5999999999999999E-5</v>
      </c>
      <c r="R36">
        <v>1.5999999999999999E-5</v>
      </c>
      <c r="S36">
        <v>8.7000000000000001E-5</v>
      </c>
      <c r="T36">
        <v>8.7000000000000001E-5</v>
      </c>
      <c r="U36">
        <v>8.7000000000000001E-5</v>
      </c>
      <c r="V36">
        <v>8.7000000000000001E-5</v>
      </c>
      <c r="W36">
        <v>8.7000000000000001E-5</v>
      </c>
      <c r="X36">
        <v>8.7999999999999998E-5</v>
      </c>
      <c r="Y36">
        <v>8.7999999999999998E-5</v>
      </c>
      <c r="Z36">
        <v>8.2999999999999998E-5</v>
      </c>
      <c r="AA36">
        <v>8.8999999999999995E-5</v>
      </c>
      <c r="AB36">
        <v>8.7999999999999998E-5</v>
      </c>
      <c r="AC36">
        <v>8.7999999999999998E-5</v>
      </c>
      <c r="AD36">
        <v>8.8999999999999995E-5</v>
      </c>
      <c r="AE36" s="4">
        <v>-0.9231433506044906</v>
      </c>
    </row>
    <row r="37" spans="1:31" x14ac:dyDescent="0.25">
      <c r="A37" t="s">
        <v>57</v>
      </c>
      <c r="B37" t="s">
        <v>62</v>
      </c>
      <c r="C37" t="s">
        <v>59</v>
      </c>
      <c r="D37">
        <v>5.653E-3</v>
      </c>
      <c r="E37">
        <v>4.3E-3</v>
      </c>
      <c r="F37">
        <v>4.1159999999999999E-3</v>
      </c>
      <c r="G37">
        <v>4.0109999999999998E-3</v>
      </c>
      <c r="H37">
        <v>2.6180000000000001E-3</v>
      </c>
      <c r="I37">
        <v>2.4420000000000002E-3</v>
      </c>
      <c r="J37">
        <v>3.7079999999999999E-3</v>
      </c>
      <c r="K37">
        <v>3.261E-3</v>
      </c>
      <c r="L37">
        <v>3.1840000000000002E-3</v>
      </c>
      <c r="M37">
        <v>3.1089999999999998E-3</v>
      </c>
      <c r="N37">
        <v>3.0439999999999998E-3</v>
      </c>
      <c r="O37">
        <v>3.1979999999999999E-3</v>
      </c>
      <c r="P37">
        <v>3.1939999999999998E-3</v>
      </c>
      <c r="Q37">
        <v>3.215E-3</v>
      </c>
      <c r="R37">
        <v>3.2959999999999999E-3</v>
      </c>
      <c r="S37">
        <v>3.3370000000000001E-3</v>
      </c>
      <c r="T37">
        <v>3.539E-3</v>
      </c>
      <c r="U37">
        <v>3.5490000000000001E-3</v>
      </c>
      <c r="V37">
        <v>3.6960000000000001E-3</v>
      </c>
      <c r="W37">
        <v>3.519E-3</v>
      </c>
      <c r="X37">
        <v>2.5839999999999999E-3</v>
      </c>
      <c r="Y37">
        <v>2.5270000000000002E-3</v>
      </c>
      <c r="Z37">
        <v>2.8679999999999999E-3</v>
      </c>
      <c r="AA37">
        <v>2.7859999999999998E-3</v>
      </c>
      <c r="AB37">
        <v>2.8609999999999998E-3</v>
      </c>
      <c r="AC37">
        <v>2.8860000000000001E-3</v>
      </c>
      <c r="AD37">
        <v>2.967E-3</v>
      </c>
      <c r="AE37" s="4">
        <v>-0.47514594020873874</v>
      </c>
    </row>
    <row r="38" spans="1:31" x14ac:dyDescent="0.25">
      <c r="A38" t="s">
        <v>57</v>
      </c>
      <c r="B38" t="s">
        <v>63</v>
      </c>
      <c r="C38" t="s">
        <v>64</v>
      </c>
      <c r="D38">
        <v>3.3700000000000001E-4</v>
      </c>
      <c r="E38">
        <v>3.2600000000000001E-4</v>
      </c>
      <c r="F38">
        <v>3.1700000000000001E-4</v>
      </c>
      <c r="G38">
        <v>3.19E-4</v>
      </c>
      <c r="H38">
        <v>2.13E-4</v>
      </c>
      <c r="I38">
        <v>2.1000000000000001E-4</v>
      </c>
      <c r="J38">
        <v>2.04E-4</v>
      </c>
      <c r="K38">
        <v>7.6000000000000004E-5</v>
      </c>
      <c r="L38">
        <v>7.4999999999999993E-5</v>
      </c>
      <c r="M38">
        <v>8.0000000000000007E-5</v>
      </c>
      <c r="N38">
        <v>9.0000000000000006E-5</v>
      </c>
      <c r="O38">
        <v>9.0000000000000006E-5</v>
      </c>
      <c r="P38">
        <v>9.0000000000000006E-5</v>
      </c>
      <c r="Q38">
        <v>8.8999999999999995E-5</v>
      </c>
      <c r="R38">
        <v>7.3999999999999996E-5</v>
      </c>
      <c r="S38">
        <v>9.1000000000000003E-5</v>
      </c>
      <c r="T38">
        <v>7.8999999999999996E-5</v>
      </c>
      <c r="U38">
        <v>7.8999999999999996E-5</v>
      </c>
      <c r="V38">
        <v>7.8999999999999996E-5</v>
      </c>
      <c r="W38">
        <v>7.8999999999999996E-5</v>
      </c>
      <c r="X38">
        <v>2.9E-5</v>
      </c>
      <c r="Y38">
        <v>3.0000000000000001E-5</v>
      </c>
      <c r="Z38">
        <v>3.8000000000000002E-5</v>
      </c>
      <c r="AA38">
        <v>5.7000000000000003E-5</v>
      </c>
      <c r="AB38">
        <v>5.8999999999999998E-5</v>
      </c>
      <c r="AC38">
        <v>6.0000000000000002E-5</v>
      </c>
      <c r="AD38">
        <v>5.7000000000000003E-5</v>
      </c>
      <c r="AE38" s="4">
        <v>-0.83086053412462901</v>
      </c>
    </row>
    <row r="39" spans="1:31" x14ac:dyDescent="0.25">
      <c r="A39" t="s">
        <v>65</v>
      </c>
      <c r="B39" t="s">
        <v>66</v>
      </c>
      <c r="C39" t="s">
        <v>71</v>
      </c>
      <c r="D39" cm="1">
        <f t="array" ref="D39:D42">907185*D34:D37*10^6/(D17*10^9)</f>
        <v>123.35947449692601</v>
      </c>
      <c r="E39" cm="1">
        <f t="array" ref="E39:E42">907185*E34:E37*10^6/(E17*10^9)</f>
        <v>116.92109109730006</v>
      </c>
      <c r="F39" cm="1">
        <f t="array" ref="F39:F42">907185*F34:F37*10^6/(F17*10^9)</f>
        <v>93.52247752124309</v>
      </c>
      <c r="G39" cm="1">
        <f t="array" ref="G39:G42">907185*G34:G37*10^6/(G17*10^9)</f>
        <v>82.51039436070171</v>
      </c>
      <c r="H39" cm="1">
        <f t="array" ref="H39:H42">907185*H34:H37*10^6/(H17*10^9)</f>
        <v>70.34250060966113</v>
      </c>
      <c r="I39" cm="1">
        <f t="array" ref="I39:I42">907185*I34:I37*10^6/(I17*10^9)</f>
        <v>61.048746097768159</v>
      </c>
      <c r="J39" cm="1">
        <f t="array" ref="J39:J42">907185*J34:J37*10^6/(J17*10^9)</f>
        <v>65.128444609683328</v>
      </c>
      <c r="K39" cm="1">
        <f t="array" ref="K39:K42">907185*K34:K37*10^6/(K17*10^9)</f>
        <v>49.777419921777252</v>
      </c>
      <c r="L39" cm="1">
        <f t="array" ref="L39:L42">907185*L34:L37*10^6/(L17*10^9)</f>
        <v>43.585235138230132</v>
      </c>
      <c r="M39" cm="1">
        <f t="array" ref="M39:M42">907185*M34:M37*10^6/(M17*10^9)</f>
        <v>39.653047869961888</v>
      </c>
      <c r="N39" cm="1">
        <f t="array" ref="N39:N42">907185*N34:N37*10^6/(N17*10^9)</f>
        <v>36.722930420110018</v>
      </c>
      <c r="O39" cm="1">
        <f t="array" ref="O39:O42">907185*O34:O37*10^6/(O17*10^9)</f>
        <v>35.34919999317701</v>
      </c>
      <c r="P39" cm="1">
        <f t="array" ref="P39:P42">907185*P34:P37*10^6/(P17*10^9)</f>
        <v>35.401341379367508</v>
      </c>
      <c r="Q39" cm="1">
        <f t="array" ref="Q39:Q42">907185*Q34:Q37*10^6/(Q17*10^9)</f>
        <v>35.432776062440787</v>
      </c>
      <c r="R39" cm="1">
        <f t="array" ref="R39:R42">907185*R34:R37*10^6/(R17*10^9)</f>
        <v>35.159599007677365</v>
      </c>
      <c r="S39" cm="1">
        <f t="array" ref="S39:S42">907185*S34:S37*10^6/(S17*10^9)</f>
        <v>34.419942371220088</v>
      </c>
      <c r="T39" cm="1">
        <f t="array" ref="T39:T42">907185*T34:T37*10^6/(T17*10^9)</f>
        <v>34.716107225414376</v>
      </c>
      <c r="U39" cm="1">
        <f t="array" ref="U39:U42">907185*U34:U37*10^6/(U17*10^9)</f>
        <v>34.78071737052398</v>
      </c>
      <c r="V39" cm="1">
        <f t="array" ref="V39:V42">907185*V34:V37*10^6/(V17*10^9)</f>
        <v>35.12098565639306</v>
      </c>
      <c r="W39" cm="1">
        <f t="array" ref="W39:W42">907185*W34:W37*10^6/(W17*10^9)</f>
        <v>36.859080777262001</v>
      </c>
      <c r="X39" cm="1">
        <f t="array" ref="X39:X42">907185*X34:X37*10^6/(X17*10^9)</f>
        <v>38.003932118172919</v>
      </c>
      <c r="Y39" cm="1">
        <f t="array" ref="Y39:Y42">907185*Y34:Y37*10^6/(Y17*10^9)</f>
        <v>39.979426539528617</v>
      </c>
      <c r="Z39" cm="1">
        <f t="array" ref="Z39:Z42">907185*Z34:Z37*10^6/(Z17*10^9)</f>
        <v>43.840440831107188</v>
      </c>
      <c r="AA39" cm="1">
        <f t="array" ref="AA39:AA42">907185*AA34:AA37*10^6/(AA17*10^9)</f>
        <v>42.968973766419438</v>
      </c>
      <c r="AB39" cm="1">
        <f t="array" ref="AB39:AB42">907185*AB34:AB37*10^6/(AB17*10^9)</f>
        <v>43.836111160199103</v>
      </c>
      <c r="AC39" cm="1">
        <f t="array" ref="AC39:AC42">907185*AC34:AC37*10^6/(AC17*10^9)</f>
        <v>42.974795119148752</v>
      </c>
      <c r="AD39" cm="1">
        <f t="array" ref="AD39:AD42">907185*AD34:AD37*10^6/(AD17*10^9)</f>
        <v>42.687501413300929</v>
      </c>
      <c r="AE39" s="4" cm="1">
        <f t="array" ref="AE39:AE43">(AD39:AD43-D39:D43)/D39:D43</f>
        <v>-0.65395846904029531</v>
      </c>
    </row>
    <row r="40" spans="1:31" x14ac:dyDescent="0.25">
      <c r="A40" t="s">
        <v>65</v>
      </c>
      <c r="B40" t="s">
        <v>67</v>
      </c>
      <c r="C40" t="s">
        <v>71</v>
      </c>
      <c r="D40">
        <v>452.31826551364622</v>
      </c>
      <c r="E40">
        <v>428.71069326669243</v>
      </c>
      <c r="F40">
        <v>342.91548345017043</v>
      </c>
      <c r="G40">
        <v>302.53791290188906</v>
      </c>
      <c r="H40">
        <v>257.92244508899029</v>
      </c>
      <c r="I40">
        <v>223.84538588731056</v>
      </c>
      <c r="J40">
        <v>238.80427899508217</v>
      </c>
      <c r="K40">
        <v>182.51721982590581</v>
      </c>
      <c r="L40">
        <v>159.81247309117978</v>
      </c>
      <c r="M40">
        <v>145.39446876747047</v>
      </c>
      <c r="N40">
        <v>134.65075032746824</v>
      </c>
      <c r="O40">
        <v>129.61372816564293</v>
      </c>
      <c r="P40">
        <v>129.80496405525719</v>
      </c>
      <c r="Q40">
        <v>129.92020936759917</v>
      </c>
      <c r="R40">
        <v>128.91857053446586</v>
      </c>
      <c r="S40">
        <v>126.20653246363703</v>
      </c>
      <c r="T40">
        <v>127.29242913337852</v>
      </c>
      <c r="U40">
        <v>127.52932784008753</v>
      </c>
      <c r="V40">
        <v>128.77702549516061</v>
      </c>
      <c r="W40">
        <v>135.15003520791669</v>
      </c>
      <c r="X40">
        <v>139.34772517392557</v>
      </c>
      <c r="Y40">
        <v>146.59124618500269</v>
      </c>
      <c r="Z40">
        <v>160.74824863083893</v>
      </c>
      <c r="AA40">
        <v>157.55288892017109</v>
      </c>
      <c r="AB40">
        <v>160.73234885327204</v>
      </c>
      <c r="AC40">
        <v>157.57428667514225</v>
      </c>
      <c r="AD40">
        <v>156.52085705213372</v>
      </c>
      <c r="AE40" s="4">
        <v>-0.65395857522050138</v>
      </c>
    </row>
    <row r="41" spans="1:31" x14ac:dyDescent="0.25">
      <c r="A41" t="s">
        <v>65</v>
      </c>
      <c r="B41" t="s">
        <v>68</v>
      </c>
      <c r="C41" t="s">
        <v>71</v>
      </c>
      <c r="D41">
        <v>2.4750094940289805E-2</v>
      </c>
      <c r="E41">
        <v>3.835964475225366E-2</v>
      </c>
      <c r="F41">
        <v>2.0625967184023434E-2</v>
      </c>
      <c r="G41">
        <v>1.8554928712413755E-2</v>
      </c>
      <c r="H41">
        <v>3.3308207168643001E-3</v>
      </c>
      <c r="I41">
        <v>2.8906908011827408E-3</v>
      </c>
      <c r="J41">
        <v>1.6116381034119969E-3</v>
      </c>
      <c r="K41">
        <v>1.5126812877007971E-3</v>
      </c>
      <c r="L41">
        <v>2.6016198776484287E-4</v>
      </c>
      <c r="M41">
        <v>2.5771536287928727E-4</v>
      </c>
      <c r="N41">
        <v>2.1269553028469869E-4</v>
      </c>
      <c r="O41">
        <v>1.8513621913699083E-4</v>
      </c>
      <c r="P41">
        <v>1.9787838633829972E-4</v>
      </c>
      <c r="Q41">
        <v>2.4377586357354799E-4</v>
      </c>
      <c r="R41">
        <v>2.4503789302417986E-4</v>
      </c>
      <c r="S41">
        <v>1.3415834425565937E-3</v>
      </c>
      <c r="T41">
        <v>1.3412986066146293E-3</v>
      </c>
      <c r="U41">
        <v>1.3404452338045326E-3</v>
      </c>
      <c r="V41">
        <v>1.3587379172536232E-3</v>
      </c>
      <c r="W41">
        <v>1.3489590372951132E-3</v>
      </c>
      <c r="X41">
        <v>1.3688950085114099E-3</v>
      </c>
      <c r="Y41">
        <v>1.367525671978863E-3</v>
      </c>
      <c r="Z41">
        <v>1.2242459950219063E-3</v>
      </c>
      <c r="AA41">
        <v>1.3252129825381269E-3</v>
      </c>
      <c r="AB41">
        <v>1.2921507426652105E-3</v>
      </c>
      <c r="AC41">
        <v>1.2508626953461356E-3</v>
      </c>
      <c r="AD41">
        <v>1.237324523148382E-3</v>
      </c>
      <c r="AE41" s="4">
        <v>-0.95000728174443538</v>
      </c>
    </row>
    <row r="42" spans="1:31" x14ac:dyDescent="0.25">
      <c r="A42" t="s">
        <v>65</v>
      </c>
      <c r="B42" t="s">
        <v>69</v>
      </c>
      <c r="C42" t="s">
        <v>71</v>
      </c>
      <c r="D42">
        <v>0.12082235466101751</v>
      </c>
      <c r="E42">
        <v>0.16711901969066945</v>
      </c>
      <c r="F42">
        <v>9.7135561704165263E-2</v>
      </c>
      <c r="G42">
        <v>8.9023707016138237E-2</v>
      </c>
      <c r="H42">
        <v>6.4118298799637777E-2</v>
      </c>
      <c r="I42">
        <v>6.0333905440070563E-2</v>
      </c>
      <c r="J42">
        <v>6.6399489860574257E-2</v>
      </c>
      <c r="K42">
        <v>6.5771382389230665E-2</v>
      </c>
      <c r="L42">
        <v>5.9168269217375689E-2</v>
      </c>
      <c r="M42">
        <v>5.3415804212780277E-2</v>
      </c>
      <c r="N42">
        <v>4.9803476475894053E-2</v>
      </c>
      <c r="O42">
        <v>4.9338802400008049E-2</v>
      </c>
      <c r="P42">
        <v>4.861719738188687E-2</v>
      </c>
      <c r="Q42">
        <v>4.8983712586809808E-2</v>
      </c>
      <c r="R42">
        <v>5.0477805962981064E-2</v>
      </c>
      <c r="S42">
        <v>5.1458206296682227E-2</v>
      </c>
      <c r="T42">
        <v>5.4561560561024978E-2</v>
      </c>
      <c r="U42">
        <v>5.4680921089336622E-2</v>
      </c>
      <c r="V42">
        <v>5.7722934967464279E-2</v>
      </c>
      <c r="W42">
        <v>5.4563067267143717E-2</v>
      </c>
      <c r="X42">
        <v>4.0195735249925944E-2</v>
      </c>
      <c r="Y42">
        <v>3.9269742876029405E-2</v>
      </c>
      <c r="Z42">
        <v>4.230286161111841E-2</v>
      </c>
      <c r="AA42">
        <v>4.148363336349687E-2</v>
      </c>
      <c r="AB42">
        <v>4.2009582667785983E-2</v>
      </c>
      <c r="AC42">
        <v>4.1022610667828946E-2</v>
      </c>
      <c r="AD42">
        <v>4.124878494585673E-2</v>
      </c>
      <c r="AE42" s="4">
        <v>-0.65859972633718777</v>
      </c>
    </row>
    <row r="43" spans="1:31" x14ac:dyDescent="0.25">
      <c r="A43" t="s">
        <v>65</v>
      </c>
      <c r="B43" t="s">
        <v>70</v>
      </c>
      <c r="C43" t="s">
        <v>71</v>
      </c>
      <c r="D43">
        <f>907185*D38/(D17*10^9)</f>
        <v>7.2027478366819214E-9</v>
      </c>
      <c r="E43">
        <f>907185*E38/(E17*10^9)</f>
        <v>1.2669953585850755E-8</v>
      </c>
      <c r="F43">
        <f>907185*F38/(F17*10^9)</f>
        <v>7.4810430175462575E-9</v>
      </c>
      <c r="G43">
        <f>907185*G38/(G17*10^9)</f>
        <v>7.0801701665789329E-9</v>
      </c>
      <c r="H43">
        <f>907185*H38/(H17*10^9)</f>
        <v>5.2166530345007048E-9</v>
      </c>
      <c r="I43">
        <f>907185*I38/(I17*10^9)</f>
        <v>5.1884193867382537E-9</v>
      </c>
      <c r="J43">
        <f>907185*J38/(J17*10^9)</f>
        <v>3.653046367733859E-9</v>
      </c>
      <c r="K43">
        <f>907185*K38/(K17*10^9)</f>
        <v>1.532850371536808E-9</v>
      </c>
      <c r="L43">
        <f>907185*L38/(L17*10^9)</f>
        <v>1.3937249344545151E-9</v>
      </c>
      <c r="M43">
        <f>907185*M38/(M17*10^9)</f>
        <v>1.3744819353561991E-9</v>
      </c>
      <c r="N43">
        <f>907185*N38/(N17*10^9)</f>
        <v>1.4725075173556064E-9</v>
      </c>
      <c r="O43">
        <f>907185*O38/(O17*10^9)</f>
        <v>1.3885216435274312E-9</v>
      </c>
      <c r="P43">
        <f>907185*P38/(P17*10^9)</f>
        <v>1.3699272900343828E-9</v>
      </c>
      <c r="Q43">
        <f>907185*Q38/(Q17*10^9)</f>
        <v>1.3560032411278608E-9</v>
      </c>
      <c r="R43">
        <f>907185*R38/(R17*10^9)</f>
        <v>1.1333002552368319E-9</v>
      </c>
      <c r="S43">
        <f>907185*S38/(S17*10^9)</f>
        <v>1.4032654399155178E-9</v>
      </c>
      <c r="T43">
        <f>907185*T38/(T17*10^9)</f>
        <v>1.2179608037075369E-9</v>
      </c>
      <c r="U43">
        <f>907185*U38/(U17*10^9)</f>
        <v>1.2171859019604376E-9</v>
      </c>
      <c r="V43">
        <f>907185*V38/(V17*10^9)</f>
        <v>1.2337964995751292E-9</v>
      </c>
      <c r="W43">
        <f>907185*W38/(W17*10^9)</f>
        <v>1.2249168269691257E-9</v>
      </c>
      <c r="X43">
        <f>907185*X38/(X17*10^9)</f>
        <v>4.5111312780489643E-10</v>
      </c>
      <c r="Y43">
        <f>907185*Y38/(Y17*10^9)</f>
        <v>4.6620193362915787E-10</v>
      </c>
      <c r="Z43">
        <f>907185*Z38/(Z17*10^9)</f>
        <v>5.6049816639557164E-10</v>
      </c>
      <c r="AA43">
        <f>907185*AA38/(AA17*10^9)</f>
        <v>8.487319101648679E-10</v>
      </c>
      <c r="AB43">
        <f>907185*AB38/(AB17*10^9)</f>
        <v>8.6632833883235701E-10</v>
      </c>
      <c r="AC43">
        <f>907185*AC38/(AC17*10^9)</f>
        <v>8.5286092864509242E-10</v>
      </c>
      <c r="AD43">
        <f>907185*AD38/(AD17*10^9)</f>
        <v>7.9244379572424466E-10</v>
      </c>
      <c r="AE43" s="4">
        <v>-0.88998035004245013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43"/>
  <sheetViews>
    <sheetView tabSelected="1" topLeftCell="C1" zoomScale="55" zoomScaleNormal="55" workbookViewId="0">
      <selection sqref="A1:A1048576"/>
    </sheetView>
  </sheetViews>
  <sheetFormatPr defaultRowHeight="15" x14ac:dyDescent="0.25"/>
  <cols>
    <col min="1" max="1" width="50.28515625" bestFit="1" customWidth="1"/>
    <col min="2" max="2" width="35.7109375" bestFit="1" customWidth="1"/>
    <col min="3" max="3" width="17.5703125" bestFit="1" customWidth="1"/>
    <col min="4" max="30" width="16" bestFit="1" customWidth="1"/>
    <col min="31" max="31" width="27.42578125" bestFit="1" customWidth="1"/>
  </cols>
  <sheetData>
    <row r="1" spans="1:31" s="3" customFormat="1" ht="15.75" thickBot="1" x14ac:dyDescent="0.3">
      <c r="A1" s="3" t="s">
        <v>72</v>
      </c>
      <c r="B1" s="1" t="s">
        <v>73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</row>
    <row r="2" spans="1:31" ht="15.75" thickTop="1" x14ac:dyDescent="0.25">
      <c r="A2" t="s">
        <v>29</v>
      </c>
      <c r="B2" t="s">
        <v>30</v>
      </c>
      <c r="C2" t="s">
        <v>31</v>
      </c>
      <c r="D2">
        <v>1.816641</v>
      </c>
      <c r="E2">
        <v>3.95783</v>
      </c>
      <c r="F2">
        <v>0.96557000000000004</v>
      </c>
      <c r="G2">
        <v>0.56093199999999999</v>
      </c>
      <c r="H2">
        <v>1.2680279999999999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 s="4" cm="1">
        <f t="array" ref="AE2:AE17">(AD2:AD17-D2:D17)/D2:D17</f>
        <v>-1</v>
      </c>
    </row>
    <row r="3" spans="1:31" x14ac:dyDescent="0.25">
      <c r="A3" t="s">
        <v>29</v>
      </c>
      <c r="B3" t="s">
        <v>32</v>
      </c>
      <c r="C3" t="s">
        <v>31</v>
      </c>
      <c r="D3">
        <v>1.1073E-2</v>
      </c>
      <c r="E3">
        <v>1.9022000000000001E-2</v>
      </c>
      <c r="F3">
        <v>6.999E-3</v>
      </c>
      <c r="G3">
        <v>5.3740000000000003E-3</v>
      </c>
      <c r="H3">
        <v>8.2129999999999998E-3</v>
      </c>
      <c r="I3">
        <v>2.2690000000000002E-3</v>
      </c>
      <c r="J3">
        <v>1.2329999999999999E-3</v>
      </c>
      <c r="K3">
        <v>1.029E-3</v>
      </c>
      <c r="L3">
        <v>1.029E-3</v>
      </c>
      <c r="M3">
        <v>1.029E-3</v>
      </c>
      <c r="N3">
        <v>2.05E-4</v>
      </c>
      <c r="O3">
        <v>0</v>
      </c>
      <c r="P3">
        <v>2.03E-4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 s="4">
        <v>-1</v>
      </c>
    </row>
    <row r="4" spans="1:31" x14ac:dyDescent="0.25">
      <c r="A4" t="s">
        <v>29</v>
      </c>
      <c r="B4" t="s">
        <v>33</v>
      </c>
      <c r="C4" t="s">
        <v>31</v>
      </c>
      <c r="D4">
        <v>31.42428</v>
      </c>
      <c r="E4">
        <v>28.223472999999998</v>
      </c>
      <c r="F4">
        <v>25.895410999999999</v>
      </c>
      <c r="G4">
        <v>32.428345</v>
      </c>
      <c r="H4">
        <v>27.652304000000001</v>
      </c>
      <c r="I4">
        <v>28.248197999999999</v>
      </c>
      <c r="J4">
        <v>32.327613999999997</v>
      </c>
      <c r="K4">
        <v>27.331651999999998</v>
      </c>
      <c r="L4">
        <v>33.941490000000002</v>
      </c>
      <c r="M4">
        <v>30.836075000000001</v>
      </c>
      <c r="N4">
        <v>25.586506</v>
      </c>
      <c r="O4">
        <v>22.420254</v>
      </c>
      <c r="P4">
        <v>21.480415000000001</v>
      </c>
      <c r="Q4">
        <v>18.102449</v>
      </c>
      <c r="R4">
        <v>15.891736</v>
      </c>
      <c r="S4">
        <v>15.006328</v>
      </c>
      <c r="T4">
        <v>14.926968</v>
      </c>
      <c r="U4">
        <v>16.235216000000001</v>
      </c>
      <c r="V4">
        <v>13.919385999999999</v>
      </c>
      <c r="W4">
        <v>14.138140999999999</v>
      </c>
      <c r="X4">
        <v>14.744135</v>
      </c>
      <c r="Y4">
        <v>17.165991000000002</v>
      </c>
      <c r="Z4">
        <v>17.722878000000001</v>
      </c>
      <c r="AA4">
        <v>18.173908000000001</v>
      </c>
      <c r="AB4">
        <v>18.301818999999998</v>
      </c>
      <c r="AC4">
        <v>18.302295999999998</v>
      </c>
      <c r="AD4">
        <v>18.331078000000002</v>
      </c>
      <c r="AE4" s="4">
        <v>-0.41665877467996076</v>
      </c>
    </row>
    <row r="5" spans="1:31" x14ac:dyDescent="0.25">
      <c r="A5" t="s">
        <v>29</v>
      </c>
      <c r="B5" t="s">
        <v>34</v>
      </c>
      <c r="C5" t="s">
        <v>31</v>
      </c>
      <c r="D5">
        <v>89.070824000000002</v>
      </c>
      <c r="E5">
        <v>90.452567999999999</v>
      </c>
      <c r="F5">
        <v>90.246673999999999</v>
      </c>
      <c r="G5">
        <v>90.040794000000005</v>
      </c>
      <c r="H5">
        <v>90.040794000000005</v>
      </c>
      <c r="I5">
        <v>90.040809999999993</v>
      </c>
      <c r="J5">
        <v>90.040321000000006</v>
      </c>
      <c r="K5">
        <v>90.040809999999993</v>
      </c>
      <c r="L5">
        <v>90.040809999999993</v>
      </c>
      <c r="M5">
        <v>90.039803000000006</v>
      </c>
      <c r="N5">
        <v>90.039803000000006</v>
      </c>
      <c r="O5">
        <v>90.039803000000006</v>
      </c>
      <c r="P5">
        <v>90.039803000000006</v>
      </c>
      <c r="Q5">
        <v>90.039803000000006</v>
      </c>
      <c r="R5">
        <v>90.039803000000006</v>
      </c>
      <c r="S5">
        <v>88.684875000000005</v>
      </c>
      <c r="T5">
        <v>89.210243000000006</v>
      </c>
      <c r="U5">
        <v>90.039803000000006</v>
      </c>
      <c r="V5">
        <v>89.117714000000007</v>
      </c>
      <c r="W5">
        <v>89.545012999999997</v>
      </c>
      <c r="X5">
        <v>89.914726000000002</v>
      </c>
      <c r="Y5">
        <v>90.039803000000006</v>
      </c>
      <c r="Z5">
        <v>90.039803000000006</v>
      </c>
      <c r="AA5">
        <v>90.039803000000006</v>
      </c>
      <c r="AB5">
        <v>90.039803000000006</v>
      </c>
      <c r="AC5">
        <v>90.039803000000006</v>
      </c>
      <c r="AD5">
        <v>90.039803000000006</v>
      </c>
      <c r="AE5" s="4">
        <v>1.0878747456069392E-2</v>
      </c>
    </row>
    <row r="6" spans="1:31" x14ac:dyDescent="0.25">
      <c r="A6" t="s">
        <v>29</v>
      </c>
      <c r="B6" t="s">
        <v>35</v>
      </c>
      <c r="C6" t="s">
        <v>31</v>
      </c>
      <c r="D6">
        <v>-2.1225000000000001E-2</v>
      </c>
      <c r="E6">
        <v>-9.3900000000000008E-3</v>
      </c>
      <c r="F6">
        <v>-1.2725E-2</v>
      </c>
      <c r="G6">
        <v>-1.5254E-2</v>
      </c>
      <c r="H6">
        <v>-1.4618000000000001E-2</v>
      </c>
      <c r="I6">
        <v>-1.3752E-2</v>
      </c>
      <c r="J6">
        <v>-1.9729E-2</v>
      </c>
      <c r="K6">
        <v>-2.3023999999999999E-2</v>
      </c>
      <c r="L6">
        <v>-2.1974E-2</v>
      </c>
      <c r="M6">
        <v>-2.4986999999999999E-2</v>
      </c>
      <c r="N6">
        <v>-2.4944999999999998E-2</v>
      </c>
      <c r="O6">
        <v>-2.4974E-2</v>
      </c>
      <c r="P6">
        <v>-2.4511999999999999E-2</v>
      </c>
      <c r="Q6">
        <v>-2.4867E-2</v>
      </c>
      <c r="R6">
        <v>-2.3767E-2</v>
      </c>
      <c r="S6">
        <v>-2.5446E-2</v>
      </c>
      <c r="T6">
        <v>-2.7796000000000001E-2</v>
      </c>
      <c r="U6">
        <v>-2.7529000000000001E-2</v>
      </c>
      <c r="V6">
        <v>-2.7581000000000001E-2</v>
      </c>
      <c r="W6">
        <v>-3.3436E-2</v>
      </c>
      <c r="X6">
        <v>-4.1041000000000001E-2</v>
      </c>
      <c r="Y6">
        <v>-5.0757999999999998E-2</v>
      </c>
      <c r="Z6">
        <v>-7.8950000000000006E-2</v>
      </c>
      <c r="AA6">
        <v>-0.115842</v>
      </c>
      <c r="AB6">
        <v>-0.108587</v>
      </c>
      <c r="AC6">
        <v>-0.20006599999999999</v>
      </c>
      <c r="AD6">
        <v>-0.22708900000000001</v>
      </c>
      <c r="AE6" s="4">
        <v>9.6991283863368682</v>
      </c>
    </row>
    <row r="7" spans="1:31" x14ac:dyDescent="0.25">
      <c r="A7" t="s">
        <v>29</v>
      </c>
      <c r="B7" t="s">
        <v>36</v>
      </c>
      <c r="C7" t="s">
        <v>31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 s="4" t="e">
        <v>#DIV/0!</v>
      </c>
    </row>
    <row r="8" spans="1:31" x14ac:dyDescent="0.25">
      <c r="A8" t="s">
        <v>29</v>
      </c>
      <c r="B8" t="s">
        <v>37</v>
      </c>
      <c r="C8" t="s">
        <v>31</v>
      </c>
      <c r="D8">
        <v>4.6456999999999998E-2</v>
      </c>
      <c r="E8">
        <v>5.0444999999999997E-2</v>
      </c>
      <c r="F8">
        <v>5.2427000000000001E-2</v>
      </c>
      <c r="G8">
        <v>5.4373999999999999E-2</v>
      </c>
      <c r="H8">
        <v>5.4371999999999997E-2</v>
      </c>
      <c r="I8">
        <v>5.4354E-2</v>
      </c>
      <c r="J8">
        <v>5.4378999999999997E-2</v>
      </c>
      <c r="K8">
        <v>5.4398000000000002E-2</v>
      </c>
      <c r="L8">
        <v>5.4400999999999998E-2</v>
      </c>
      <c r="M8">
        <v>5.4405000000000002E-2</v>
      </c>
      <c r="N8">
        <v>5.4414999999999998E-2</v>
      </c>
      <c r="O8">
        <v>5.4413999999999997E-2</v>
      </c>
      <c r="P8">
        <v>5.4412000000000002E-2</v>
      </c>
      <c r="Q8">
        <v>5.4392000000000003E-2</v>
      </c>
      <c r="R8">
        <v>5.4323000000000003E-2</v>
      </c>
      <c r="S8">
        <v>5.4385000000000003E-2</v>
      </c>
      <c r="T8">
        <v>5.432E-2</v>
      </c>
      <c r="U8">
        <v>5.4288000000000003E-2</v>
      </c>
      <c r="V8">
        <v>5.4368E-2</v>
      </c>
      <c r="W8">
        <v>5.4346999999999999E-2</v>
      </c>
      <c r="X8">
        <v>5.4295000000000003E-2</v>
      </c>
      <c r="Y8">
        <v>5.4383000000000001E-2</v>
      </c>
      <c r="Z8">
        <v>5.4285E-2</v>
      </c>
      <c r="AA8">
        <v>5.4219999999999997E-2</v>
      </c>
      <c r="AB8">
        <v>5.4207999999999999E-2</v>
      </c>
      <c r="AC8">
        <v>5.4253000000000003E-2</v>
      </c>
      <c r="AD8">
        <v>5.4261999999999998E-2</v>
      </c>
      <c r="AE8" s="4">
        <v>0.16800482166304323</v>
      </c>
    </row>
    <row r="9" spans="1:31" x14ac:dyDescent="0.25">
      <c r="A9" t="s">
        <v>29</v>
      </c>
      <c r="B9" t="s">
        <v>38</v>
      </c>
      <c r="C9" t="s">
        <v>31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 s="4" t="e">
        <v>#DIV/0!</v>
      </c>
    </row>
    <row r="10" spans="1:31" x14ac:dyDescent="0.25">
      <c r="A10" t="s">
        <v>29</v>
      </c>
      <c r="B10" t="s">
        <v>39</v>
      </c>
      <c r="C10" t="s">
        <v>31</v>
      </c>
      <c r="D10">
        <v>0.201457</v>
      </c>
      <c r="E10">
        <v>0.205376</v>
      </c>
      <c r="F10">
        <v>0.20941899999999999</v>
      </c>
      <c r="G10">
        <v>0.21318000000000001</v>
      </c>
      <c r="H10">
        <v>0.21731800000000001</v>
      </c>
      <c r="I10">
        <v>0.22090899999999999</v>
      </c>
      <c r="J10">
        <v>0.22453400000000001</v>
      </c>
      <c r="K10">
        <v>0.228518</v>
      </c>
      <c r="L10">
        <v>0.232628</v>
      </c>
      <c r="M10">
        <v>0.23677500000000001</v>
      </c>
      <c r="N10">
        <v>0.24601899999999999</v>
      </c>
      <c r="O10">
        <v>0.24951100000000001</v>
      </c>
      <c r="P10">
        <v>0.25312099999999998</v>
      </c>
      <c r="Q10">
        <v>0.25698399999999999</v>
      </c>
      <c r="R10">
        <v>0.26098900000000003</v>
      </c>
      <c r="S10">
        <v>0.25843699999999997</v>
      </c>
      <c r="T10">
        <v>0.261322</v>
      </c>
      <c r="U10">
        <v>0.26423799999999997</v>
      </c>
      <c r="V10">
        <v>0.26718399999999998</v>
      </c>
      <c r="W10">
        <v>0.27013199999999998</v>
      </c>
      <c r="X10">
        <v>0.27165800000000001</v>
      </c>
      <c r="Y10">
        <v>0.27842299999999998</v>
      </c>
      <c r="Z10">
        <v>0.27993899999999999</v>
      </c>
      <c r="AA10">
        <v>0.28147699999999998</v>
      </c>
      <c r="AB10">
        <v>0.28301700000000002</v>
      </c>
      <c r="AC10">
        <v>0.283028</v>
      </c>
      <c r="AD10">
        <v>0.28303499999999998</v>
      </c>
      <c r="AE10" s="4">
        <v>0.40494001201248897</v>
      </c>
    </row>
    <row r="11" spans="1:31" x14ac:dyDescent="0.25">
      <c r="A11" t="s">
        <v>29</v>
      </c>
      <c r="B11" t="s">
        <v>40</v>
      </c>
      <c r="C11" t="s">
        <v>31</v>
      </c>
      <c r="D11">
        <v>9.2119999999999997E-3</v>
      </c>
      <c r="E11">
        <v>1.0324E-2</v>
      </c>
      <c r="F11">
        <v>8.7159999999999998E-3</v>
      </c>
      <c r="G11">
        <v>8.7159999999999998E-3</v>
      </c>
      <c r="H11">
        <v>8.7159999999999998E-3</v>
      </c>
      <c r="I11">
        <v>8.8039999999999993E-3</v>
      </c>
      <c r="J11">
        <v>8.8039999999999993E-3</v>
      </c>
      <c r="K11">
        <v>8.8039999999999993E-3</v>
      </c>
      <c r="L11">
        <v>8.8039999999999993E-3</v>
      </c>
      <c r="M11">
        <v>8.8039999999999993E-3</v>
      </c>
      <c r="N11">
        <v>8.8039999999999993E-3</v>
      </c>
      <c r="O11">
        <v>8.8039999999999993E-3</v>
      </c>
      <c r="P11">
        <v>8.8039999999999993E-3</v>
      </c>
      <c r="Q11">
        <v>8.7159999999999998E-3</v>
      </c>
      <c r="R11">
        <v>8.7159999999999998E-3</v>
      </c>
      <c r="S11">
        <v>8.7159999999999998E-3</v>
      </c>
      <c r="T11">
        <v>8.7159999999999998E-3</v>
      </c>
      <c r="U11">
        <v>8.7159999999999998E-3</v>
      </c>
      <c r="V11">
        <v>8.7159999999999998E-3</v>
      </c>
      <c r="W11">
        <v>8.7159999999999998E-3</v>
      </c>
      <c r="X11">
        <v>8.7159999999999998E-3</v>
      </c>
      <c r="Y11">
        <v>8.7159999999999998E-3</v>
      </c>
      <c r="Z11">
        <v>8.7159999999999998E-3</v>
      </c>
      <c r="AA11">
        <v>8.7159999999999998E-3</v>
      </c>
      <c r="AB11">
        <v>8.7159999999999998E-3</v>
      </c>
      <c r="AC11">
        <v>8.7159999999999998E-3</v>
      </c>
      <c r="AD11">
        <v>8.7159999999999998E-3</v>
      </c>
      <c r="AE11" s="4">
        <v>-5.3842813721233167E-2</v>
      </c>
    </row>
    <row r="12" spans="1:31" x14ac:dyDescent="0.25">
      <c r="A12" t="s">
        <v>29</v>
      </c>
      <c r="B12" t="s">
        <v>41</v>
      </c>
      <c r="C12" t="s">
        <v>31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s="4" t="e">
        <v>#DIV/0!</v>
      </c>
    </row>
    <row r="13" spans="1:31" x14ac:dyDescent="0.25">
      <c r="A13" t="s">
        <v>29</v>
      </c>
      <c r="B13" t="s">
        <v>42</v>
      </c>
      <c r="C13" t="s">
        <v>31</v>
      </c>
      <c r="D13">
        <v>0.39937800000000001</v>
      </c>
      <c r="E13">
        <v>0.53341799999999995</v>
      </c>
      <c r="F13">
        <v>0.70716500000000004</v>
      </c>
      <c r="G13">
        <v>0.76369699999999996</v>
      </c>
      <c r="H13">
        <v>0.76376900000000003</v>
      </c>
      <c r="I13">
        <v>0.763123</v>
      </c>
      <c r="J13">
        <v>0.76348800000000006</v>
      </c>
      <c r="K13">
        <v>0.76413799999999998</v>
      </c>
      <c r="L13">
        <v>0.76380099999999995</v>
      </c>
      <c r="M13">
        <v>0.76415500000000003</v>
      </c>
      <c r="N13">
        <v>0.76291299999999995</v>
      </c>
      <c r="O13">
        <v>0.76329100000000005</v>
      </c>
      <c r="P13">
        <v>0.76319999999999999</v>
      </c>
      <c r="Q13">
        <v>0.76281500000000002</v>
      </c>
      <c r="R13">
        <v>1.495579</v>
      </c>
      <c r="S13">
        <v>2.1823130000000002</v>
      </c>
      <c r="T13">
        <v>2.5499939999999999</v>
      </c>
      <c r="U13">
        <v>2.6995439999999999</v>
      </c>
      <c r="V13">
        <v>2.7257380000000002</v>
      </c>
      <c r="W13">
        <v>2.7255600000000002</v>
      </c>
      <c r="X13">
        <v>2.7284480000000002</v>
      </c>
      <c r="Y13">
        <v>2.7306650000000001</v>
      </c>
      <c r="Z13">
        <v>2.731735</v>
      </c>
      <c r="AA13">
        <v>2.7303000000000002</v>
      </c>
      <c r="AB13">
        <v>2.7302360000000001</v>
      </c>
      <c r="AC13">
        <v>2.7273239999999999</v>
      </c>
      <c r="AD13">
        <v>2.7267510000000001</v>
      </c>
      <c r="AE13" s="4">
        <v>5.8274942535642928</v>
      </c>
    </row>
    <row r="14" spans="1:31" x14ac:dyDescent="0.25">
      <c r="A14" t="s">
        <v>29</v>
      </c>
      <c r="B14" t="s">
        <v>43</v>
      </c>
      <c r="C14" t="s">
        <v>31</v>
      </c>
      <c r="D14">
        <v>14.525895999999999</v>
      </c>
      <c r="E14">
        <v>14.410428</v>
      </c>
      <c r="F14">
        <v>15.965093</v>
      </c>
      <c r="G14">
        <v>16.846440999999999</v>
      </c>
      <c r="H14">
        <v>19.798484999999999</v>
      </c>
      <c r="I14">
        <v>20.538542</v>
      </c>
      <c r="J14">
        <v>20.539473000000001</v>
      </c>
      <c r="K14">
        <v>20.533148000000001</v>
      </c>
      <c r="L14">
        <v>20.535809</v>
      </c>
      <c r="M14">
        <v>20.534486999999999</v>
      </c>
      <c r="N14">
        <v>20.538077999999999</v>
      </c>
      <c r="O14">
        <v>20.537023999999999</v>
      </c>
      <c r="P14">
        <v>20.537531000000001</v>
      </c>
      <c r="Q14">
        <v>31.691025</v>
      </c>
      <c r="R14">
        <v>41.669510000000002</v>
      </c>
      <c r="S14">
        <v>51.124741</v>
      </c>
      <c r="T14">
        <v>54.040545999999999</v>
      </c>
      <c r="U14">
        <v>54.554290999999999</v>
      </c>
      <c r="V14">
        <v>54.768559000000003</v>
      </c>
      <c r="W14">
        <v>54.802447999999998</v>
      </c>
      <c r="X14">
        <v>54.798817</v>
      </c>
      <c r="Y14">
        <v>54.787266000000002</v>
      </c>
      <c r="Z14">
        <v>54.773372999999999</v>
      </c>
      <c r="AA14">
        <v>54.754337</v>
      </c>
      <c r="AB14">
        <v>54.779583000000002</v>
      </c>
      <c r="AC14">
        <v>54.788074000000002</v>
      </c>
      <c r="AD14">
        <v>54.792107000000001</v>
      </c>
      <c r="AE14" s="4">
        <v>2.7720294156036913</v>
      </c>
    </row>
    <row r="15" spans="1:31" x14ac:dyDescent="0.25">
      <c r="A15" t="s">
        <v>29</v>
      </c>
      <c r="B15" t="s">
        <v>44</v>
      </c>
      <c r="C15" t="s">
        <v>31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s="4" t="e">
        <v>#DIV/0!</v>
      </c>
    </row>
    <row r="16" spans="1:31" x14ac:dyDescent="0.25">
      <c r="A16" t="s">
        <v>29</v>
      </c>
      <c r="B16" s="5" t="s">
        <v>45</v>
      </c>
      <c r="C16" t="s">
        <v>31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6.5820000000000002E-3</v>
      </c>
      <c r="M16">
        <v>6.5820000000000002E-3</v>
      </c>
      <c r="N16">
        <v>6.5820000000000002E-3</v>
      </c>
      <c r="O16">
        <v>6.5820000000000002E-3</v>
      </c>
      <c r="P16">
        <v>6.5820000000000002E-3</v>
      </c>
      <c r="Q16">
        <v>6.5820000000000002E-3</v>
      </c>
      <c r="R16">
        <v>6.5820000000000002E-3</v>
      </c>
      <c r="S16">
        <v>6.5820000000000002E-3</v>
      </c>
      <c r="T16">
        <v>6.5820000000000002E-3</v>
      </c>
      <c r="U16">
        <v>6.5820000000000002E-3</v>
      </c>
      <c r="V16">
        <v>6.5820000000000002E-3</v>
      </c>
      <c r="W16">
        <v>6.5820000000000002E-3</v>
      </c>
      <c r="X16">
        <v>6.5820000000000002E-3</v>
      </c>
      <c r="Y16">
        <v>6.5820000000000002E-3</v>
      </c>
      <c r="Z16">
        <v>6.5820000000000002E-3</v>
      </c>
      <c r="AA16">
        <v>6.5820000000000002E-3</v>
      </c>
      <c r="AB16">
        <v>6.5820000000000002E-3</v>
      </c>
      <c r="AC16">
        <v>6.5820000000000002E-3</v>
      </c>
      <c r="AD16">
        <v>6.5820000000000002E-3</v>
      </c>
      <c r="AE16" s="4" t="e">
        <v>#DIV/0!</v>
      </c>
    </row>
    <row r="17" spans="1:31" x14ac:dyDescent="0.25">
      <c r="A17" t="s">
        <v>29</v>
      </c>
      <c r="B17" s="5" t="s">
        <v>46</v>
      </c>
      <c r="C17" t="s">
        <v>31</v>
      </c>
      <c r="D17">
        <v>137.483994</v>
      </c>
      <c r="E17">
        <v>137.85348500000001</v>
      </c>
      <c r="F17">
        <v>134.04475400000001</v>
      </c>
      <c r="G17">
        <v>140.90660099999999</v>
      </c>
      <c r="H17">
        <v>139.79737900000001</v>
      </c>
      <c r="I17">
        <v>139.86326600000001</v>
      </c>
      <c r="J17">
        <v>143.94012499999999</v>
      </c>
      <c r="K17">
        <v>138.93946800000001</v>
      </c>
      <c r="L17">
        <v>145.56336999999999</v>
      </c>
      <c r="M17">
        <v>142.457123</v>
      </c>
      <c r="N17">
        <v>137.218369</v>
      </c>
      <c r="O17">
        <v>134.05470299999999</v>
      </c>
      <c r="P17">
        <v>133.119553</v>
      </c>
      <c r="Q17">
        <v>140.89790300000001</v>
      </c>
      <c r="R17">
        <v>149.40347299999999</v>
      </c>
      <c r="S17">
        <v>157.30091899999999</v>
      </c>
      <c r="T17">
        <v>161.03088399999999</v>
      </c>
      <c r="U17">
        <v>163.83514400000001</v>
      </c>
      <c r="V17">
        <v>160.84066799999999</v>
      </c>
      <c r="W17">
        <v>161.51748699999999</v>
      </c>
      <c r="X17">
        <v>162.48632799999999</v>
      </c>
      <c r="Y17">
        <v>165.021072</v>
      </c>
      <c r="Z17">
        <v>165.53836100000001</v>
      </c>
      <c r="AA17">
        <v>165.933502</v>
      </c>
      <c r="AB17">
        <v>166.09536700000001</v>
      </c>
      <c r="AC17">
        <v>166.01000999999999</v>
      </c>
      <c r="AD17">
        <v>166.015244</v>
      </c>
      <c r="AE17" s="4">
        <v>0.20752415732117879</v>
      </c>
    </row>
    <row r="18" spans="1:31" x14ac:dyDescent="0.25">
      <c r="A18" t="s">
        <v>75</v>
      </c>
      <c r="B18" t="s">
        <v>47</v>
      </c>
      <c r="C18" t="s">
        <v>48</v>
      </c>
      <c r="D18">
        <v>12.942067</v>
      </c>
      <c r="E18">
        <v>12.909138</v>
      </c>
      <c r="F18">
        <v>12.412176000000001</v>
      </c>
      <c r="G18">
        <v>11.714829</v>
      </c>
      <c r="H18">
        <v>11.72471</v>
      </c>
      <c r="I18">
        <v>12.311446999999999</v>
      </c>
      <c r="J18">
        <v>12.409115999999999</v>
      </c>
      <c r="K18">
        <v>12.988543</v>
      </c>
      <c r="L18">
        <v>12.784019000000001</v>
      </c>
      <c r="M18">
        <v>13.157876</v>
      </c>
      <c r="N18">
        <v>13.097352000000001</v>
      </c>
      <c r="O18">
        <v>12.930754</v>
      </c>
      <c r="P18">
        <v>12.333594</v>
      </c>
      <c r="Q18">
        <v>12.443414000000001</v>
      </c>
      <c r="R18">
        <v>12.368909</v>
      </c>
      <c r="S18">
        <v>11.982735999999999</v>
      </c>
      <c r="T18">
        <v>11.715479</v>
      </c>
      <c r="U18">
        <v>11.728268</v>
      </c>
      <c r="V18">
        <v>11.694098</v>
      </c>
      <c r="W18">
        <v>11.584904999999999</v>
      </c>
      <c r="X18">
        <v>11.576421</v>
      </c>
      <c r="Y18">
        <v>11.677282999999999</v>
      </c>
      <c r="Z18">
        <v>11.812215999999999</v>
      </c>
      <c r="AA18">
        <v>11.855214</v>
      </c>
      <c r="AB18">
        <v>11.926740000000001</v>
      </c>
      <c r="AC18">
        <v>11.974695000000001</v>
      </c>
      <c r="AD18">
        <v>11.981897</v>
      </c>
      <c r="AE18" s="4" cm="1">
        <f t="array" ref="AE18:AE22">(AD18:AD22-D18:D22)/D18:D22</f>
        <v>-7.4189849272144837E-2</v>
      </c>
    </row>
    <row r="19" spans="1:31" x14ac:dyDescent="0.25">
      <c r="A19" t="s">
        <v>75</v>
      </c>
      <c r="B19" t="s">
        <v>49</v>
      </c>
      <c r="C19" t="s">
        <v>48</v>
      </c>
      <c r="D19">
        <v>11.133305</v>
      </c>
      <c r="E19">
        <v>10.83822</v>
      </c>
      <c r="F19">
        <v>10.438393</v>
      </c>
      <c r="G19">
        <v>9.766114</v>
      </c>
      <c r="H19">
        <v>9.8065979999999993</v>
      </c>
      <c r="I19">
        <v>10.498497</v>
      </c>
      <c r="J19">
        <v>10.593309</v>
      </c>
      <c r="K19">
        <v>11.286866</v>
      </c>
      <c r="L19">
        <v>10.954552</v>
      </c>
      <c r="M19">
        <v>11.323859000000001</v>
      </c>
      <c r="N19">
        <v>11.183975999999999</v>
      </c>
      <c r="O19">
        <v>10.989107000000001</v>
      </c>
      <c r="P19">
        <v>10.299355</v>
      </c>
      <c r="Q19">
        <v>10.499498000000001</v>
      </c>
      <c r="R19">
        <v>10.45082</v>
      </c>
      <c r="S19">
        <v>10.104481</v>
      </c>
      <c r="T19">
        <v>9.8756070000000005</v>
      </c>
      <c r="U19">
        <v>9.9111709999999995</v>
      </c>
      <c r="V19">
        <v>9.8871690000000001</v>
      </c>
      <c r="W19">
        <v>9.7775750000000006</v>
      </c>
      <c r="X19">
        <v>9.772691</v>
      </c>
      <c r="Y19">
        <v>9.8645980000000009</v>
      </c>
      <c r="Z19">
        <v>9.9839769999999994</v>
      </c>
      <c r="AA19">
        <v>10.015752000000001</v>
      </c>
      <c r="AB19">
        <v>10.090771</v>
      </c>
      <c r="AC19">
        <v>10.131084</v>
      </c>
      <c r="AD19">
        <v>10.10871</v>
      </c>
      <c r="AE19" s="4">
        <v>-9.2029725225348594E-2</v>
      </c>
    </row>
    <row r="20" spans="1:31" x14ac:dyDescent="0.25">
      <c r="A20" t="s">
        <v>75</v>
      </c>
      <c r="B20" t="s">
        <v>50</v>
      </c>
      <c r="C20" t="s">
        <v>48</v>
      </c>
      <c r="D20">
        <v>9.1329130000000003</v>
      </c>
      <c r="E20">
        <v>8.9836430000000007</v>
      </c>
      <c r="F20">
        <v>8.4854120000000002</v>
      </c>
      <c r="G20">
        <v>7.7922840000000004</v>
      </c>
      <c r="H20">
        <v>7.8225280000000001</v>
      </c>
      <c r="I20">
        <v>8.3551710000000003</v>
      </c>
      <c r="J20">
        <v>8.4709900000000005</v>
      </c>
      <c r="K20">
        <v>8.9875779999999992</v>
      </c>
      <c r="L20">
        <v>8.8568049999999996</v>
      </c>
      <c r="M20">
        <v>9.2409909999999993</v>
      </c>
      <c r="N20">
        <v>9.1546339999999997</v>
      </c>
      <c r="O20">
        <v>8.9823850000000007</v>
      </c>
      <c r="P20">
        <v>8.4412579999999995</v>
      </c>
      <c r="Q20">
        <v>8.52454</v>
      </c>
      <c r="R20">
        <v>8.4489669999999997</v>
      </c>
      <c r="S20">
        <v>8.1021110000000007</v>
      </c>
      <c r="T20">
        <v>7.8740649999999999</v>
      </c>
      <c r="U20">
        <v>7.9143869999999996</v>
      </c>
      <c r="V20">
        <v>7.8964749999999997</v>
      </c>
      <c r="W20">
        <v>7.8009700000000004</v>
      </c>
      <c r="X20">
        <v>7.8031860000000002</v>
      </c>
      <c r="Y20">
        <v>7.9077580000000003</v>
      </c>
      <c r="Z20">
        <v>8.0321960000000008</v>
      </c>
      <c r="AA20">
        <v>8.0673449999999995</v>
      </c>
      <c r="AB20">
        <v>8.1344799999999999</v>
      </c>
      <c r="AC20">
        <v>8.1641359999999992</v>
      </c>
      <c r="AD20">
        <v>8.1370199999999997</v>
      </c>
      <c r="AE20" s="4">
        <v>-0.10904439799218503</v>
      </c>
    </row>
    <row r="21" spans="1:31" x14ac:dyDescent="0.25">
      <c r="A21" t="s">
        <v>75</v>
      </c>
      <c r="B21" t="s">
        <v>51</v>
      </c>
      <c r="C21" t="s">
        <v>48</v>
      </c>
      <c r="D21">
        <v>10.502573999999999</v>
      </c>
      <c r="E21">
        <v>10.323021000000001</v>
      </c>
      <c r="F21">
        <v>9.8341539999999998</v>
      </c>
      <c r="G21">
        <v>9.1848530000000004</v>
      </c>
      <c r="H21">
        <v>9.2246030000000001</v>
      </c>
      <c r="I21">
        <v>9.7589500000000005</v>
      </c>
      <c r="J21">
        <v>9.8838069999999991</v>
      </c>
      <c r="K21">
        <v>10.451409</v>
      </c>
      <c r="L21">
        <v>10.30109</v>
      </c>
      <c r="M21">
        <v>10.695264999999999</v>
      </c>
      <c r="N21">
        <v>10.668221000000001</v>
      </c>
      <c r="O21">
        <v>10.51787</v>
      </c>
      <c r="P21">
        <v>9.9604079999999993</v>
      </c>
      <c r="Q21">
        <v>10.083149000000001</v>
      </c>
      <c r="R21">
        <v>9.9873159999999999</v>
      </c>
      <c r="S21">
        <v>9.6268159999999998</v>
      </c>
      <c r="T21">
        <v>9.3827569999999998</v>
      </c>
      <c r="U21">
        <v>9.4192549999999997</v>
      </c>
      <c r="V21">
        <v>9.410247</v>
      </c>
      <c r="W21">
        <v>9.3210010000000008</v>
      </c>
      <c r="X21">
        <v>9.3197080000000003</v>
      </c>
      <c r="Y21">
        <v>9.4340460000000004</v>
      </c>
      <c r="Z21">
        <v>9.5747940000000007</v>
      </c>
      <c r="AA21">
        <v>9.6097699999999993</v>
      </c>
      <c r="AB21">
        <v>9.6695060000000002</v>
      </c>
      <c r="AC21">
        <v>9.6907969999999999</v>
      </c>
      <c r="AD21">
        <v>9.6713179999999994</v>
      </c>
      <c r="AE21" s="4">
        <v>-7.9147835568690095E-2</v>
      </c>
    </row>
    <row r="22" spans="1:31" x14ac:dyDescent="0.25">
      <c r="A22" t="s">
        <v>75</v>
      </c>
      <c r="B22" t="s">
        <v>52</v>
      </c>
      <c r="C22" t="s">
        <v>48</v>
      </c>
      <c r="D22">
        <v>11.078118999999999</v>
      </c>
      <c r="E22">
        <v>10.899062000000001</v>
      </c>
      <c r="F22">
        <v>10.438974999999999</v>
      </c>
      <c r="G22">
        <v>9.7610860000000006</v>
      </c>
      <c r="H22">
        <v>9.7987230000000007</v>
      </c>
      <c r="I22">
        <v>10.411205000000001</v>
      </c>
      <c r="J22">
        <v>10.514119000000001</v>
      </c>
      <c r="K22">
        <v>11.113576999999999</v>
      </c>
      <c r="L22">
        <v>10.883346</v>
      </c>
      <c r="M22">
        <v>11.255423</v>
      </c>
      <c r="N22">
        <v>11.153100999999999</v>
      </c>
      <c r="O22">
        <v>10.973015</v>
      </c>
      <c r="P22">
        <v>10.361732999999999</v>
      </c>
      <c r="Q22">
        <v>10.502328</v>
      </c>
      <c r="R22">
        <v>10.443723</v>
      </c>
      <c r="S22">
        <v>10.090597000000001</v>
      </c>
      <c r="T22">
        <v>9.8549589999999991</v>
      </c>
      <c r="U22">
        <v>9.8900469999999991</v>
      </c>
      <c r="V22">
        <v>9.8691460000000006</v>
      </c>
      <c r="W22">
        <v>9.7687089999999994</v>
      </c>
      <c r="X22">
        <v>9.7700840000000007</v>
      </c>
      <c r="Y22">
        <v>9.8735210000000002</v>
      </c>
      <c r="Z22">
        <v>10.003007</v>
      </c>
      <c r="AA22">
        <v>10.04186</v>
      </c>
      <c r="AB22">
        <v>10.11504</v>
      </c>
      <c r="AC22">
        <v>10.155628999999999</v>
      </c>
      <c r="AD22">
        <v>10.142481999999999</v>
      </c>
      <c r="AE22" s="4">
        <v>-8.4458110623292629E-2</v>
      </c>
    </row>
    <row r="23" spans="1:31" x14ac:dyDescent="0.25">
      <c r="A23" t="s">
        <v>74</v>
      </c>
      <c r="B23" t="s">
        <v>47</v>
      </c>
      <c r="C23" t="s">
        <v>53</v>
      </c>
      <c r="D23">
        <v>12.942067</v>
      </c>
      <c r="E23">
        <v>13.173983</v>
      </c>
      <c r="F23">
        <v>12.880734</v>
      </c>
      <c r="G23">
        <v>12.359679</v>
      </c>
      <c r="H23">
        <v>12.603681999999999</v>
      </c>
      <c r="I23">
        <v>13.469165</v>
      </c>
      <c r="J23">
        <v>13.829691</v>
      </c>
      <c r="K23">
        <v>14.773049</v>
      </c>
      <c r="L23">
        <v>14.847678999999999</v>
      </c>
      <c r="M23">
        <v>15.614466</v>
      </c>
      <c r="N23">
        <v>15.886786000000001</v>
      </c>
      <c r="O23">
        <v>16.024750000000001</v>
      </c>
      <c r="P23">
        <v>15.601029</v>
      </c>
      <c r="Q23">
        <v>16.067312000000001</v>
      </c>
      <c r="R23">
        <v>16.301067</v>
      </c>
      <c r="S23">
        <v>16.115562000000001</v>
      </c>
      <c r="T23">
        <v>16.087634999999999</v>
      </c>
      <c r="U23">
        <v>16.449117999999999</v>
      </c>
      <c r="V23">
        <v>16.758913</v>
      </c>
      <c r="W23">
        <v>16.972076000000001</v>
      </c>
      <c r="X23">
        <v>17.337378999999999</v>
      </c>
      <c r="Y23">
        <v>17.883033999999999</v>
      </c>
      <c r="Z23">
        <v>18.498805999999998</v>
      </c>
      <c r="AA23">
        <v>18.989494000000001</v>
      </c>
      <c r="AB23">
        <v>19.539674999999999</v>
      </c>
      <c r="AC23">
        <v>20.061261999999999</v>
      </c>
      <c r="AD23">
        <v>20.523047999999999</v>
      </c>
      <c r="AE23" s="4" cm="1">
        <f t="array" ref="AE23:AE27">(AD23:AD27-D23:D27)/D23:D27</f>
        <v>0.5857627688065592</v>
      </c>
    </row>
    <row r="24" spans="1:31" x14ac:dyDescent="0.25">
      <c r="A24" t="s">
        <v>74</v>
      </c>
      <c r="B24" t="s">
        <v>49</v>
      </c>
      <c r="C24" t="s">
        <v>53</v>
      </c>
      <c r="D24">
        <v>11.133305</v>
      </c>
      <c r="E24">
        <v>11.060577</v>
      </c>
      <c r="F24">
        <v>10.83244</v>
      </c>
      <c r="G24">
        <v>10.303697</v>
      </c>
      <c r="H24">
        <v>10.541772</v>
      </c>
      <c r="I24">
        <v>11.485732</v>
      </c>
      <c r="J24">
        <v>11.806015</v>
      </c>
      <c r="K24">
        <v>12.837579</v>
      </c>
      <c r="L24">
        <v>12.72289</v>
      </c>
      <c r="M24">
        <v>13.438034999999999</v>
      </c>
      <c r="N24">
        <v>13.565906</v>
      </c>
      <c r="O24">
        <v>13.618517000000001</v>
      </c>
      <c r="P24">
        <v>13.027875999999999</v>
      </c>
      <c r="Q24">
        <v>13.557270000000001</v>
      </c>
      <c r="R24">
        <v>13.773206</v>
      </c>
      <c r="S24">
        <v>13.589499999999999</v>
      </c>
      <c r="T24">
        <v>13.561132000000001</v>
      </c>
      <c r="U24">
        <v>13.900604</v>
      </c>
      <c r="V24">
        <v>14.169388</v>
      </c>
      <c r="W24">
        <v>14.324309</v>
      </c>
      <c r="X24">
        <v>14.63603</v>
      </c>
      <c r="Y24">
        <v>15.10702</v>
      </c>
      <c r="Z24">
        <v>15.635649000000001</v>
      </c>
      <c r="AA24">
        <v>16.043074000000001</v>
      </c>
      <c r="AB24">
        <v>16.531790000000001</v>
      </c>
      <c r="AC24">
        <v>16.972650999999999</v>
      </c>
      <c r="AD24">
        <v>17.314582999999999</v>
      </c>
      <c r="AE24" s="4">
        <v>0.55520602372790462</v>
      </c>
    </row>
    <row r="25" spans="1:31" x14ac:dyDescent="0.25">
      <c r="A25" t="s">
        <v>74</v>
      </c>
      <c r="B25" t="s">
        <v>50</v>
      </c>
      <c r="C25" t="s">
        <v>53</v>
      </c>
      <c r="D25">
        <v>9.1329130000000003</v>
      </c>
      <c r="E25">
        <v>9.1679519999999997</v>
      </c>
      <c r="F25">
        <v>8.8057350000000003</v>
      </c>
      <c r="G25">
        <v>8.2212150000000008</v>
      </c>
      <c r="H25">
        <v>8.4089620000000007</v>
      </c>
      <c r="I25">
        <v>9.1408570000000005</v>
      </c>
      <c r="J25">
        <v>9.4407359999999994</v>
      </c>
      <c r="K25">
        <v>10.222389</v>
      </c>
      <c r="L25">
        <v>10.286514</v>
      </c>
      <c r="M25">
        <v>10.966293</v>
      </c>
      <c r="N25">
        <v>11.104361000000001</v>
      </c>
      <c r="O25">
        <v>11.131638000000001</v>
      </c>
      <c r="P25">
        <v>10.677529</v>
      </c>
      <c r="Q25">
        <v>11.007144</v>
      </c>
      <c r="R25">
        <v>11.13495</v>
      </c>
      <c r="S25">
        <v>10.896516999999999</v>
      </c>
      <c r="T25">
        <v>10.812625000000001</v>
      </c>
      <c r="U25">
        <v>11.100078</v>
      </c>
      <c r="V25">
        <v>11.316506</v>
      </c>
      <c r="W25">
        <v>11.428551000000001</v>
      </c>
      <c r="X25">
        <v>11.68641</v>
      </c>
      <c r="Y25">
        <v>12.110241</v>
      </c>
      <c r="Z25">
        <v>12.579015</v>
      </c>
      <c r="AA25">
        <v>12.922146</v>
      </c>
      <c r="AB25">
        <v>13.326783000000001</v>
      </c>
      <c r="AC25">
        <v>13.677414000000001</v>
      </c>
      <c r="AD25">
        <v>13.937398</v>
      </c>
      <c r="AE25" s="4">
        <v>0.52606271405410299</v>
      </c>
    </row>
    <row r="26" spans="1:31" x14ac:dyDescent="0.25">
      <c r="A26" t="s">
        <v>74</v>
      </c>
      <c r="B26" t="s">
        <v>51</v>
      </c>
      <c r="C26" t="s">
        <v>53</v>
      </c>
      <c r="D26">
        <v>10.502573999999999</v>
      </c>
      <c r="E26">
        <v>10.534808</v>
      </c>
      <c r="F26">
        <v>10.205392</v>
      </c>
      <c r="G26">
        <v>9.6904380000000003</v>
      </c>
      <c r="H26">
        <v>9.9161459999999995</v>
      </c>
      <c r="I26">
        <v>10.676641</v>
      </c>
      <c r="J26">
        <v>11.01529</v>
      </c>
      <c r="K26">
        <v>11.887338</v>
      </c>
      <c r="L26">
        <v>11.963943</v>
      </c>
      <c r="M26">
        <v>12.692081999999999</v>
      </c>
      <c r="N26">
        <v>12.940307000000001</v>
      </c>
      <c r="O26">
        <v>13.034523999999999</v>
      </c>
      <c r="P26">
        <v>12.599135</v>
      </c>
      <c r="Q26">
        <v>13.019667</v>
      </c>
      <c r="R26">
        <v>13.162352</v>
      </c>
      <c r="S26">
        <v>12.947089</v>
      </c>
      <c r="T26">
        <v>12.884353000000001</v>
      </c>
      <c r="U26">
        <v>13.210683</v>
      </c>
      <c r="V26">
        <v>13.485906999999999</v>
      </c>
      <c r="W26">
        <v>13.655421</v>
      </c>
      <c r="X26">
        <v>13.957623</v>
      </c>
      <c r="Y26">
        <v>14.447654999999999</v>
      </c>
      <c r="Z26">
        <v>14.994839000000001</v>
      </c>
      <c r="AA26">
        <v>15.392778</v>
      </c>
      <c r="AB26">
        <v>15.84163</v>
      </c>
      <c r="AC26">
        <v>16.235035</v>
      </c>
      <c r="AD26">
        <v>16.565401000000001</v>
      </c>
      <c r="AE26" s="4">
        <v>0.57727058147840737</v>
      </c>
    </row>
    <row r="27" spans="1:31" x14ac:dyDescent="0.25">
      <c r="A27" t="s">
        <v>74</v>
      </c>
      <c r="B27" t="s">
        <v>52</v>
      </c>
      <c r="C27" t="s">
        <v>53</v>
      </c>
      <c r="D27">
        <v>11.078118999999999</v>
      </c>
      <c r="E27">
        <v>11.122668000000001</v>
      </c>
      <c r="F27">
        <v>10.833046</v>
      </c>
      <c r="G27">
        <v>10.298391000000001</v>
      </c>
      <c r="H27">
        <v>10.533308</v>
      </c>
      <c r="I27">
        <v>11.390231999999999</v>
      </c>
      <c r="J27">
        <v>11.717758999999999</v>
      </c>
      <c r="K27">
        <v>12.640480999999999</v>
      </c>
      <c r="L27">
        <v>12.640188999999999</v>
      </c>
      <c r="M27">
        <v>13.356821999999999</v>
      </c>
      <c r="N27">
        <v>13.528454</v>
      </c>
      <c r="O27">
        <v>13.598575</v>
      </c>
      <c r="P27">
        <v>13.106780000000001</v>
      </c>
      <c r="Q27">
        <v>13.560924</v>
      </c>
      <c r="R27">
        <v>13.763852</v>
      </c>
      <c r="S27">
        <v>13.570828000000001</v>
      </c>
      <c r="T27">
        <v>13.532779</v>
      </c>
      <c r="U27">
        <v>13.870977</v>
      </c>
      <c r="V27">
        <v>14.143559</v>
      </c>
      <c r="W27">
        <v>14.311321</v>
      </c>
      <c r="X27">
        <v>14.632128</v>
      </c>
      <c r="Y27">
        <v>15.120684000000001</v>
      </c>
      <c r="Z27">
        <v>15.665452</v>
      </c>
      <c r="AA27">
        <v>16.084892</v>
      </c>
      <c r="AB27">
        <v>16.571549999999998</v>
      </c>
      <c r="AC27">
        <v>17.013770999999998</v>
      </c>
      <c r="AD27">
        <v>17.372426999999998</v>
      </c>
      <c r="AE27" s="4">
        <v>0.56817479573924057</v>
      </c>
    </row>
    <row r="28" spans="1:31" x14ac:dyDescent="0.25">
      <c r="A28" t="s">
        <v>76</v>
      </c>
      <c r="B28" t="s">
        <v>54</v>
      </c>
      <c r="C28" t="s">
        <v>48</v>
      </c>
      <c r="D28">
        <v>5.9896149999999997</v>
      </c>
      <c r="E28">
        <v>5.8406380000000002</v>
      </c>
      <c r="F28">
        <v>5.368989</v>
      </c>
      <c r="G28">
        <v>4.6607950000000002</v>
      </c>
      <c r="H28">
        <v>4.6676270000000004</v>
      </c>
      <c r="I28">
        <v>5.2405109999999997</v>
      </c>
      <c r="J28">
        <v>5.3172459999999999</v>
      </c>
      <c r="K28">
        <v>5.8962339999999998</v>
      </c>
      <c r="L28">
        <v>5.6538820000000003</v>
      </c>
      <c r="M28">
        <v>6.0225460000000002</v>
      </c>
      <c r="N28">
        <v>5.9201139999999999</v>
      </c>
      <c r="O28">
        <v>5.7405989999999996</v>
      </c>
      <c r="P28">
        <v>5.1201790000000003</v>
      </c>
      <c r="Q28">
        <v>5.2580809999999998</v>
      </c>
      <c r="R28">
        <v>5.1788230000000004</v>
      </c>
      <c r="S28">
        <v>4.8135659999999998</v>
      </c>
      <c r="T28">
        <v>4.5714740000000003</v>
      </c>
      <c r="U28">
        <v>4.6109580000000001</v>
      </c>
      <c r="V28">
        <v>4.5953390000000001</v>
      </c>
      <c r="W28">
        <v>4.4971909999999999</v>
      </c>
      <c r="X28">
        <v>4.4977840000000002</v>
      </c>
      <c r="Y28">
        <v>4.5957179999999997</v>
      </c>
      <c r="Z28">
        <v>4.7142059999999999</v>
      </c>
      <c r="AA28">
        <v>4.7431190000000001</v>
      </c>
      <c r="AB28">
        <v>4.8054410000000001</v>
      </c>
      <c r="AC28">
        <v>4.8313389999999998</v>
      </c>
      <c r="AD28">
        <v>4.8014000000000001</v>
      </c>
      <c r="AE28" s="4" cm="1">
        <f t="array" ref="AE28:AE30">(AD28:AD30-D28:D30)/D28:D30</f>
        <v>-0.19837919465608383</v>
      </c>
    </row>
    <row r="29" spans="1:31" x14ac:dyDescent="0.25">
      <c r="A29" t="s">
        <v>76</v>
      </c>
      <c r="B29" t="s">
        <v>55</v>
      </c>
      <c r="C29" t="s">
        <v>48</v>
      </c>
      <c r="D29">
        <v>1.368495</v>
      </c>
      <c r="E29">
        <v>1.363273</v>
      </c>
      <c r="F29">
        <v>1.3690260000000001</v>
      </c>
      <c r="G29">
        <v>1.3803030000000001</v>
      </c>
      <c r="H29">
        <v>1.389715</v>
      </c>
      <c r="I29">
        <v>1.403964</v>
      </c>
      <c r="J29">
        <v>1.4080079999999999</v>
      </c>
      <c r="K29">
        <v>1.4107700000000001</v>
      </c>
      <c r="L29">
        <v>1.413233</v>
      </c>
      <c r="M29">
        <v>1.4154310000000001</v>
      </c>
      <c r="N29">
        <v>1.417556</v>
      </c>
      <c r="O29">
        <v>1.4198500000000001</v>
      </c>
      <c r="P29">
        <v>1.435168</v>
      </c>
      <c r="Q29">
        <v>1.4523239999999999</v>
      </c>
      <c r="R29">
        <v>1.4890399999999999</v>
      </c>
      <c r="S29">
        <v>1.510737</v>
      </c>
      <c r="T29">
        <v>1.5254319999999999</v>
      </c>
      <c r="U29">
        <v>1.5255510000000001</v>
      </c>
      <c r="V29">
        <v>1.5223660000000001</v>
      </c>
      <c r="W29">
        <v>1.5193410000000001</v>
      </c>
      <c r="X29">
        <v>1.517252</v>
      </c>
      <c r="Y29">
        <v>1.5167550000000001</v>
      </c>
      <c r="Z29">
        <v>1.5175209999999999</v>
      </c>
      <c r="AA29">
        <v>1.518087</v>
      </c>
      <c r="AB29">
        <v>1.51871</v>
      </c>
      <c r="AC29">
        <v>1.5210729999999999</v>
      </c>
      <c r="AD29">
        <v>1.5253429999999999</v>
      </c>
      <c r="AE29" s="4">
        <v>0.11461349877054712</v>
      </c>
    </row>
    <row r="30" spans="1:31" x14ac:dyDescent="0.25">
      <c r="A30" t="s">
        <v>76</v>
      </c>
      <c r="B30" t="s">
        <v>56</v>
      </c>
      <c r="C30" t="s">
        <v>48</v>
      </c>
      <c r="D30">
        <v>3.7200099999999998</v>
      </c>
      <c r="E30">
        <v>3.6951520000000002</v>
      </c>
      <c r="F30">
        <v>3.7009620000000001</v>
      </c>
      <c r="G30">
        <v>3.719989</v>
      </c>
      <c r="H30">
        <v>3.7413810000000001</v>
      </c>
      <c r="I30">
        <v>3.7667299999999999</v>
      </c>
      <c r="J30">
        <v>3.7888649999999999</v>
      </c>
      <c r="K30">
        <v>3.8065720000000001</v>
      </c>
      <c r="L30">
        <v>3.8162310000000002</v>
      </c>
      <c r="M30">
        <v>3.8174450000000002</v>
      </c>
      <c r="N30">
        <v>3.8154309999999998</v>
      </c>
      <c r="O30">
        <v>3.8125659999999999</v>
      </c>
      <c r="P30">
        <v>3.806387</v>
      </c>
      <c r="Q30">
        <v>3.791922</v>
      </c>
      <c r="R30">
        <v>3.7758590000000001</v>
      </c>
      <c r="S30">
        <v>3.7662939999999998</v>
      </c>
      <c r="T30">
        <v>3.758054</v>
      </c>
      <c r="U30">
        <v>3.7535370000000001</v>
      </c>
      <c r="V30">
        <v>3.7514409999999998</v>
      </c>
      <c r="W30">
        <v>3.752176</v>
      </c>
      <c r="X30">
        <v>3.7550479999999999</v>
      </c>
      <c r="Y30">
        <v>3.761047</v>
      </c>
      <c r="Z30">
        <v>3.77128</v>
      </c>
      <c r="AA30">
        <v>3.780653</v>
      </c>
      <c r="AB30">
        <v>3.790889</v>
      </c>
      <c r="AC30">
        <v>3.8032180000000002</v>
      </c>
      <c r="AD30">
        <v>3.8157369999999999</v>
      </c>
      <c r="AE30" s="4">
        <v>2.5732995341410405E-2</v>
      </c>
    </row>
    <row r="31" spans="1:31" x14ac:dyDescent="0.25">
      <c r="A31" t="s">
        <v>77</v>
      </c>
      <c r="B31" t="s">
        <v>54</v>
      </c>
      <c r="C31" t="s">
        <v>53</v>
      </c>
      <c r="D31">
        <v>5.9896149999999997</v>
      </c>
      <c r="E31">
        <v>5.960464</v>
      </c>
      <c r="F31">
        <v>5.5716679999999998</v>
      </c>
      <c r="G31">
        <v>4.9173520000000002</v>
      </c>
      <c r="H31">
        <v>5.0175470000000004</v>
      </c>
      <c r="I31">
        <v>5.7333069999999999</v>
      </c>
      <c r="J31">
        <v>5.9259560000000002</v>
      </c>
      <c r="K31">
        <v>6.7063230000000003</v>
      </c>
      <c r="L31">
        <v>6.5665589999999998</v>
      </c>
      <c r="M31">
        <v>7.1469620000000003</v>
      </c>
      <c r="N31">
        <v>7.1809609999999999</v>
      </c>
      <c r="O31">
        <v>7.1141759999999996</v>
      </c>
      <c r="P31">
        <v>6.4766240000000002</v>
      </c>
      <c r="Q31">
        <v>6.7893939999999997</v>
      </c>
      <c r="R31">
        <v>6.8252050000000004</v>
      </c>
      <c r="S31">
        <v>6.473757</v>
      </c>
      <c r="T31">
        <v>6.2775239999999997</v>
      </c>
      <c r="U31">
        <v>6.4669549999999996</v>
      </c>
      <c r="V31">
        <v>6.5856199999999996</v>
      </c>
      <c r="W31">
        <v>6.5884590000000003</v>
      </c>
      <c r="X31">
        <v>6.7360879999999996</v>
      </c>
      <c r="Y31">
        <v>7.0380570000000002</v>
      </c>
      <c r="Z31">
        <v>7.3827970000000001</v>
      </c>
      <c r="AA31">
        <v>7.5974539999999999</v>
      </c>
      <c r="AB31">
        <v>7.8727929999999997</v>
      </c>
      <c r="AC31">
        <v>8.0939650000000007</v>
      </c>
      <c r="AD31">
        <v>8.2240199999999994</v>
      </c>
      <c r="AE31" s="4" cm="1">
        <f t="array" ref="AE31:AE33">(AD31:AD33-D31:D33)/D31:D33</f>
        <v>0.37304651467581806</v>
      </c>
    </row>
    <row r="32" spans="1:31" x14ac:dyDescent="0.25">
      <c r="A32" t="s">
        <v>77</v>
      </c>
      <c r="B32" t="s">
        <v>55</v>
      </c>
      <c r="C32" t="s">
        <v>53</v>
      </c>
      <c r="D32">
        <v>1.368495</v>
      </c>
      <c r="E32">
        <v>1.3912420000000001</v>
      </c>
      <c r="F32">
        <v>1.420706</v>
      </c>
      <c r="G32">
        <v>1.4562820000000001</v>
      </c>
      <c r="H32">
        <v>1.4938979999999999</v>
      </c>
      <c r="I32">
        <v>1.535987</v>
      </c>
      <c r="J32">
        <v>1.569194</v>
      </c>
      <c r="K32">
        <v>1.6045970000000001</v>
      </c>
      <c r="L32">
        <v>1.641364</v>
      </c>
      <c r="M32">
        <v>1.6796930000000001</v>
      </c>
      <c r="N32">
        <v>1.719462</v>
      </c>
      <c r="O32">
        <v>1.759584</v>
      </c>
      <c r="P32">
        <v>1.815375</v>
      </c>
      <c r="Q32">
        <v>1.875284</v>
      </c>
      <c r="R32">
        <v>1.9624159999999999</v>
      </c>
      <c r="S32">
        <v>2.0317880000000001</v>
      </c>
      <c r="T32">
        <v>2.0947149999999999</v>
      </c>
      <c r="U32">
        <v>2.1396139999999999</v>
      </c>
      <c r="V32">
        <v>2.1817160000000002</v>
      </c>
      <c r="W32">
        <v>2.2258589999999998</v>
      </c>
      <c r="X32">
        <v>2.2723070000000001</v>
      </c>
      <c r="Y32">
        <v>2.322816</v>
      </c>
      <c r="Z32">
        <v>2.3765499999999999</v>
      </c>
      <c r="AA32">
        <v>2.4316469999999999</v>
      </c>
      <c r="AB32">
        <v>2.4881150000000001</v>
      </c>
      <c r="AC32">
        <v>2.54826</v>
      </c>
      <c r="AD32">
        <v>2.6126659999999999</v>
      </c>
      <c r="AE32" s="4">
        <v>0.90915275539917928</v>
      </c>
    </row>
    <row r="33" spans="1:31" x14ac:dyDescent="0.25">
      <c r="A33" t="s">
        <v>77</v>
      </c>
      <c r="B33" t="s">
        <v>56</v>
      </c>
      <c r="C33" t="s">
        <v>53</v>
      </c>
      <c r="D33">
        <v>3.7200099999999998</v>
      </c>
      <c r="E33">
        <v>3.7709619999999999</v>
      </c>
      <c r="F33">
        <v>3.8406720000000001</v>
      </c>
      <c r="G33">
        <v>3.9247580000000002</v>
      </c>
      <c r="H33">
        <v>4.0218629999999997</v>
      </c>
      <c r="I33">
        <v>4.1209379999999998</v>
      </c>
      <c r="J33">
        <v>4.2226090000000003</v>
      </c>
      <c r="K33">
        <v>4.3295599999999999</v>
      </c>
      <c r="L33">
        <v>4.4322670000000004</v>
      </c>
      <c r="M33">
        <v>4.5301660000000004</v>
      </c>
      <c r="N33">
        <v>4.6280289999999997</v>
      </c>
      <c r="O33">
        <v>4.7248140000000003</v>
      </c>
      <c r="P33">
        <v>4.814781</v>
      </c>
      <c r="Q33">
        <v>4.8962450000000004</v>
      </c>
      <c r="R33">
        <v>4.9762300000000002</v>
      </c>
      <c r="S33">
        <v>5.0652840000000001</v>
      </c>
      <c r="T33">
        <v>5.160539</v>
      </c>
      <c r="U33">
        <v>5.2644070000000003</v>
      </c>
      <c r="V33">
        <v>5.3762230000000004</v>
      </c>
      <c r="W33">
        <v>5.497001</v>
      </c>
      <c r="X33">
        <v>5.6237329999999996</v>
      </c>
      <c r="Y33">
        <v>5.7598099999999999</v>
      </c>
      <c r="Z33">
        <v>5.906104</v>
      </c>
      <c r="AA33">
        <v>6.0557910000000001</v>
      </c>
      <c r="AB33">
        <v>6.2106440000000003</v>
      </c>
      <c r="AC33">
        <v>6.3715479999999998</v>
      </c>
      <c r="AD33">
        <v>6.5357399999999997</v>
      </c>
      <c r="AE33" s="4">
        <v>0.75691463194991415</v>
      </c>
    </row>
    <row r="34" spans="1:31" x14ac:dyDescent="0.25">
      <c r="A34" t="s">
        <v>57</v>
      </c>
      <c r="B34" t="s">
        <v>58</v>
      </c>
      <c r="C34" t="s">
        <v>59</v>
      </c>
      <c r="D34">
        <v>4.3913630000000001</v>
      </c>
      <c r="E34">
        <v>4.811445</v>
      </c>
      <c r="F34">
        <v>3.471298</v>
      </c>
      <c r="G34">
        <v>4.1286310000000004</v>
      </c>
      <c r="H34">
        <v>3.7842069999999999</v>
      </c>
      <c r="I34">
        <v>3.4196599999999999</v>
      </c>
      <c r="J34">
        <v>3.921389</v>
      </c>
      <c r="K34">
        <v>3.2966660000000001</v>
      </c>
      <c r="L34">
        <v>4.1391710000000002</v>
      </c>
      <c r="M34">
        <v>3.7365849999999998</v>
      </c>
      <c r="N34">
        <v>3.0679340000000002</v>
      </c>
      <c r="O34">
        <v>2.6768149999999999</v>
      </c>
      <c r="P34">
        <v>2.581753</v>
      </c>
      <c r="Q34">
        <v>2.1857540000000002</v>
      </c>
      <c r="R34">
        <v>1.9745509999999999</v>
      </c>
      <c r="S34">
        <v>1.9001570000000001</v>
      </c>
      <c r="T34">
        <v>1.8952530000000001</v>
      </c>
      <c r="U34">
        <v>2.0598830000000001</v>
      </c>
      <c r="V34">
        <v>1.7945549999999999</v>
      </c>
      <c r="W34">
        <v>1.8221449999999999</v>
      </c>
      <c r="X34">
        <v>1.9034530000000001</v>
      </c>
      <c r="Y34">
        <v>2.1782330000000001</v>
      </c>
      <c r="Z34">
        <v>2.2466789999999999</v>
      </c>
      <c r="AA34">
        <v>2.298384</v>
      </c>
      <c r="AB34">
        <v>2.3150529999999998</v>
      </c>
      <c r="AC34">
        <v>2.314346</v>
      </c>
      <c r="AD34">
        <v>2.3197610000000002</v>
      </c>
      <c r="AE34" s="4" cm="1">
        <f t="array" ref="AE34:AE38">(AD34:AD38-D34:D38)/D34:D38</f>
        <v>-0.47174464966799601</v>
      </c>
    </row>
    <row r="35" spans="1:31" x14ac:dyDescent="0.25">
      <c r="A35" t="s">
        <v>57</v>
      </c>
      <c r="B35" t="s">
        <v>60</v>
      </c>
      <c r="C35" t="s">
        <v>59</v>
      </c>
      <c r="D35">
        <v>16.101658</v>
      </c>
      <c r="E35">
        <v>17.641956</v>
      </c>
      <c r="F35">
        <v>12.728085999999999</v>
      </c>
      <c r="G35">
        <v>15.138313999999999</v>
      </c>
      <c r="H35">
        <v>13.875425</v>
      </c>
      <c r="I35">
        <v>12.538753</v>
      </c>
      <c r="J35">
        <v>14.378425999999999</v>
      </c>
      <c r="K35">
        <v>12.087777000000001</v>
      </c>
      <c r="L35">
        <v>15.176959999999999</v>
      </c>
      <c r="M35">
        <v>13.700815</v>
      </c>
      <c r="N35">
        <v>11.249091</v>
      </c>
      <c r="O35">
        <v>9.8149879999999996</v>
      </c>
      <c r="P35">
        <v>9.4664199999999994</v>
      </c>
      <c r="Q35">
        <v>8.0144260000000003</v>
      </c>
      <c r="R35">
        <v>7.2400229999999999</v>
      </c>
      <c r="S35">
        <v>6.9672429999999999</v>
      </c>
      <c r="T35">
        <v>6.9492620000000001</v>
      </c>
      <c r="U35">
        <v>7.552905</v>
      </c>
      <c r="V35">
        <v>6.5800390000000002</v>
      </c>
      <c r="W35">
        <v>6.6811970000000001</v>
      </c>
      <c r="X35">
        <v>6.9793289999999999</v>
      </c>
      <c r="Y35">
        <v>7.9868550000000003</v>
      </c>
      <c r="Z35">
        <v>8.2378219999999995</v>
      </c>
      <c r="AA35">
        <v>8.4274070000000005</v>
      </c>
      <c r="AB35">
        <v>8.4885230000000007</v>
      </c>
      <c r="AC35">
        <v>8.485932</v>
      </c>
      <c r="AD35">
        <v>8.5057930000000006</v>
      </c>
      <c r="AE35" s="4">
        <v>-0.47174427627266707</v>
      </c>
    </row>
    <row r="36" spans="1:31" x14ac:dyDescent="0.25">
      <c r="A36" t="s">
        <v>57</v>
      </c>
      <c r="B36" t="s">
        <v>61</v>
      </c>
      <c r="C36" t="s">
        <v>59</v>
      </c>
      <c r="D36">
        <v>1.9300000000000001E-3</v>
      </c>
      <c r="E36">
        <v>4.1989999999999996E-3</v>
      </c>
      <c r="F36">
        <v>9.6199999999999996E-4</v>
      </c>
      <c r="G36">
        <v>5.6499999999999996E-4</v>
      </c>
      <c r="H36">
        <v>1.0679999999999999E-3</v>
      </c>
      <c r="I36">
        <v>6.7000000000000002E-5</v>
      </c>
      <c r="J36">
        <v>5.3000000000000001E-5</v>
      </c>
      <c r="K36">
        <v>6.2000000000000003E-5</v>
      </c>
      <c r="L36">
        <v>1.4E-5</v>
      </c>
      <c r="M36">
        <v>1.5E-5</v>
      </c>
      <c r="N36">
        <v>1.5999999999999999E-5</v>
      </c>
      <c r="O36">
        <v>1.7E-5</v>
      </c>
      <c r="P36">
        <v>1.8E-5</v>
      </c>
      <c r="Q36">
        <v>2.1999999999999999E-5</v>
      </c>
      <c r="R36">
        <v>2.1999999999999999E-5</v>
      </c>
      <c r="S36">
        <v>1.2E-4</v>
      </c>
      <c r="T36">
        <v>1.22E-4</v>
      </c>
      <c r="U36">
        <v>1.2300000000000001E-4</v>
      </c>
      <c r="V36">
        <v>1.25E-4</v>
      </c>
      <c r="W36">
        <v>1.26E-4</v>
      </c>
      <c r="X36">
        <v>1.2799999999999999E-4</v>
      </c>
      <c r="Y36">
        <v>1.3100000000000001E-4</v>
      </c>
      <c r="Z36">
        <v>1.3300000000000001E-4</v>
      </c>
      <c r="AA36">
        <v>1.34E-4</v>
      </c>
      <c r="AB36">
        <v>1.34E-4</v>
      </c>
      <c r="AC36">
        <v>1.34E-4</v>
      </c>
      <c r="AD36">
        <v>1.35E-4</v>
      </c>
      <c r="AE36" s="4">
        <v>-0.93005181347150268</v>
      </c>
    </row>
    <row r="37" spans="1:31" x14ac:dyDescent="0.25">
      <c r="A37" t="s">
        <v>57</v>
      </c>
      <c r="B37" t="s">
        <v>62</v>
      </c>
      <c r="C37" t="s">
        <v>59</v>
      </c>
      <c r="D37">
        <v>6.0130000000000001E-3</v>
      </c>
      <c r="E37">
        <v>8.8159999999999992E-3</v>
      </c>
      <c r="F37">
        <v>3.9810000000000002E-3</v>
      </c>
      <c r="G37">
        <v>3.5639999999999999E-3</v>
      </c>
      <c r="H37">
        <v>4.6550000000000003E-3</v>
      </c>
      <c r="I37">
        <v>1.9550000000000001E-3</v>
      </c>
      <c r="J37">
        <v>2.787E-3</v>
      </c>
      <c r="K37">
        <v>2.003E-3</v>
      </c>
      <c r="L37">
        <v>2.6519999999999998E-3</v>
      </c>
      <c r="M37">
        <v>2.0349999999999999E-3</v>
      </c>
      <c r="N37">
        <v>1.7340000000000001E-3</v>
      </c>
      <c r="O37">
        <v>1.487E-3</v>
      </c>
      <c r="P37">
        <v>1.5009999999999999E-3</v>
      </c>
      <c r="Q37">
        <v>1.2949999999999999E-3</v>
      </c>
      <c r="R37">
        <v>1.3500000000000001E-3</v>
      </c>
      <c r="S37">
        <v>1.4760000000000001E-3</v>
      </c>
      <c r="T37">
        <v>1.591E-3</v>
      </c>
      <c r="U37">
        <v>1.7489999999999999E-3</v>
      </c>
      <c r="V37">
        <v>1.8489999999999999E-3</v>
      </c>
      <c r="W37">
        <v>1.8500000000000001E-3</v>
      </c>
      <c r="X37">
        <v>1.9959999999999999E-3</v>
      </c>
      <c r="Y37">
        <v>2.0200000000000001E-3</v>
      </c>
      <c r="Z37">
        <v>2.0609999999999999E-3</v>
      </c>
      <c r="AA37">
        <v>2.0999999999999999E-3</v>
      </c>
      <c r="AB37">
        <v>2.1090000000000002E-3</v>
      </c>
      <c r="AC37">
        <v>2.1059999999999998E-3</v>
      </c>
      <c r="AD37">
        <v>2.1159999999999998E-3</v>
      </c>
      <c r="AE37" s="4">
        <v>-0.6480957924496924</v>
      </c>
    </row>
    <row r="38" spans="1:31" x14ac:dyDescent="0.25">
      <c r="A38" t="s">
        <v>57</v>
      </c>
      <c r="B38" t="s">
        <v>63</v>
      </c>
      <c r="C38" t="s">
        <v>64</v>
      </c>
      <c r="D38">
        <v>8.3479999999999995E-3</v>
      </c>
      <c r="E38">
        <v>1.7731E-2</v>
      </c>
      <c r="F38">
        <v>4.3949999999999996E-3</v>
      </c>
      <c r="G38">
        <v>2.5999999999999999E-3</v>
      </c>
      <c r="H38">
        <v>5.47E-3</v>
      </c>
      <c r="I38">
        <v>1.9999999999999999E-6</v>
      </c>
      <c r="J38">
        <v>9.9999999999999995E-7</v>
      </c>
      <c r="K38">
        <v>9.9999999999999995E-7</v>
      </c>
      <c r="L38">
        <v>9.9999999999999995E-7</v>
      </c>
      <c r="M38">
        <v>9.9999999999999995E-7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 s="4">
        <v>-1</v>
      </c>
    </row>
    <row r="39" spans="1:31" x14ac:dyDescent="0.25">
      <c r="A39" t="s">
        <v>65</v>
      </c>
      <c r="B39" t="s">
        <v>66</v>
      </c>
      <c r="C39" t="s">
        <v>71</v>
      </c>
      <c r="D39" cm="1">
        <f t="array" ref="D39:D42">907185*D34:D37*10^6/(D17*10^9)</f>
        <v>28.976308639644262</v>
      </c>
      <c r="E39" cm="1">
        <f t="array" ref="E39:E42">907185*E34:E37*10^6/(E17*10^9)</f>
        <v>31.663114881172572</v>
      </c>
      <c r="F39" cm="1">
        <f t="array" ref="F39:F42">907185*F34:F37*10^6/(F17*10^9)</f>
        <v>23.492970684477513</v>
      </c>
      <c r="G39" cm="1">
        <f t="array" ref="G39:G42">907185*G34:G37*10^6/(G17*10^9)</f>
        <v>26.580955662502994</v>
      </c>
      <c r="H39" cm="1">
        <f t="array" ref="H39:H42">907185*H34:H37*10^6/(H17*10^9)</f>
        <v>24.556796785832439</v>
      </c>
      <c r="I39" cm="1">
        <f t="array" ref="I39:I42">907185*I34:I37*10^6/(I17*10^9)</f>
        <v>22.180693657618434</v>
      </c>
      <c r="J39" cm="1">
        <f t="array" ref="J39:J42">907185*J34:J37*10^6/(J17*10^9)</f>
        <v>24.714618526036432</v>
      </c>
      <c r="K39" cm="1">
        <f t="array" ref="K39:K42">907185*K34:K37*10^6/(K17*10^9)</f>
        <v>21.52510001844832</v>
      </c>
      <c r="L39" cm="1">
        <f t="array" ref="L39:L42">907185*L34:L37*10^6/(L17*10^9)</f>
        <v>25.796282702406522</v>
      </c>
      <c r="M39" cm="1">
        <f t="array" ref="M39:M42">907185*M34:M37*10^6/(M17*10^9)</f>
        <v>23.795046480231107</v>
      </c>
      <c r="N39" cm="1">
        <f t="array" ref="N39:N42">907185*N34:N37*10^6/(N17*10^9)</f>
        <v>20.282879953120563</v>
      </c>
      <c r="O39" cm="1">
        <f t="array" ref="O39:O42">907185*O34:O37*10^6/(O17*10^9)</f>
        <v>18.114742425523112</v>
      </c>
      <c r="P39" cm="1">
        <f t="array" ref="P39:P42">907185*P34:P37*10^6/(P17*10^9)</f>
        <v>17.594166615816384</v>
      </c>
      <c r="Q39" cm="1">
        <f t="array" ref="Q39:Q42">907185*Q34:Q37*10^6/(Q17*10^9)</f>
        <v>14.073192008329606</v>
      </c>
      <c r="R39" cm="1">
        <f t="array" ref="R39:R42">907185*R34:R37*10^6/(R17*10^9)</f>
        <v>11.98956766510374</v>
      </c>
      <c r="S39" cm="1">
        <f t="array" ref="S39:S42">907185*S34:S37*10^6/(S17*10^9)</f>
        <v>10.958575061122181</v>
      </c>
      <c r="T39" cm="1">
        <f t="array" ref="T39:T42">907185*T34:T37*10^6/(T17*10^9)</f>
        <v>10.677113918128898</v>
      </c>
      <c r="U39" cm="1">
        <f t="array" ref="U39:U42">907185*U34:U37*10^6/(U17*10^9)</f>
        <v>11.40594693990076</v>
      </c>
      <c r="V39" cm="1">
        <f t="array" ref="V39:V42">907185*V34:V37*10^6/(V17*10^9)</f>
        <v>10.121777022680607</v>
      </c>
      <c r="W39" cm="1">
        <f t="array" ref="W39:W42">907185*W34:W37*10^6/(W17*10^9)</f>
        <v>10.234325970072826</v>
      </c>
      <c r="X39" cm="1">
        <f t="array" ref="X39:X42">907185*X34:X37*10^6/(X17*10^9)</f>
        <v>10.627257265638992</v>
      </c>
      <c r="Y39" cm="1">
        <f t="array" ref="Y39:Y42">907185*Y34:Y37*10^6/(Y17*10^9)</f>
        <v>11.974593790694803</v>
      </c>
      <c r="Z39" cm="1">
        <f t="array" ref="Z39:Z42">907185*Z34:Z37*10^6/(Z17*10^9)</f>
        <v>12.312272975899527</v>
      </c>
      <c r="AA39" cm="1">
        <f t="array" ref="AA39:AA42">907185*AA34:AA37*10^6/(AA17*10^9)</f>
        <v>12.565633003032746</v>
      </c>
      <c r="AB39" cm="1">
        <f t="array" ref="AB39:AB42">907185*AB34:AB37*10^6/(AB17*10^9)</f>
        <v>12.644430689057087</v>
      </c>
      <c r="AC39" cm="1">
        <f t="array" ref="AC39:AC42">907185*AC34:AC37*10^6/(AC17*10^9)</f>
        <v>12.647068547312296</v>
      </c>
      <c r="AD39" cm="1">
        <f t="array" ref="AD39:AD42">907185*AD34:AD37*10^6/(AD17*10^9)</f>
        <v>12.676259914932874</v>
      </c>
      <c r="AE39" s="4" cm="1">
        <f t="array" ref="AE39:AE43">(AD39:AD43-D39:D43)/D39:D43</f>
        <v>-0.56253020104880758</v>
      </c>
    </row>
    <row r="40" spans="1:31" x14ac:dyDescent="0.25">
      <c r="A40" t="s">
        <v>65</v>
      </c>
      <c r="B40" t="s">
        <v>67</v>
      </c>
      <c r="C40" t="s">
        <v>71</v>
      </c>
      <c r="D40">
        <v>106.24642322167335</v>
      </c>
      <c r="E40">
        <v>116.09802867051204</v>
      </c>
      <c r="F40">
        <v>86.140847391237699</v>
      </c>
      <c r="G40">
        <v>97.463506241911261</v>
      </c>
      <c r="H40">
        <v>90.041583888529132</v>
      </c>
      <c r="I40">
        <v>81.329207915858333</v>
      </c>
      <c r="J40">
        <v>90.620265827961447</v>
      </c>
      <c r="K40">
        <v>78.92537761656753</v>
      </c>
      <c r="L40">
        <v>94.586367831412531</v>
      </c>
      <c r="M40">
        <v>87.248524987936193</v>
      </c>
      <c r="N40">
        <v>74.370557624358582</v>
      </c>
      <c r="O40">
        <v>66.420719971159841</v>
      </c>
      <c r="P40">
        <v>64.511892011085692</v>
      </c>
      <c r="Q40">
        <v>51.601669691350907</v>
      </c>
      <c r="R40">
        <v>43.961764297507322</v>
      </c>
      <c r="S40">
        <v>40.181445735577675</v>
      </c>
      <c r="T40">
        <v>39.149423333414724</v>
      </c>
      <c r="U40">
        <v>41.821809137757405</v>
      </c>
      <c r="V40">
        <v>37.113204977580672</v>
      </c>
      <c r="W40">
        <v>37.525854401418464</v>
      </c>
      <c r="X40">
        <v>38.966617418205182</v>
      </c>
      <c r="Y40">
        <v>43.906847564140172</v>
      </c>
      <c r="Z40">
        <v>45.144995431421478</v>
      </c>
      <c r="AA40">
        <v>46.073982210626767</v>
      </c>
      <c r="AB40">
        <v>46.362887037993062</v>
      </c>
      <c r="AC40">
        <v>46.372566458010574</v>
      </c>
      <c r="AD40">
        <v>46.479634260002058</v>
      </c>
      <c r="AE40" s="4">
        <v>-0.56252989182490787</v>
      </c>
    </row>
    <row r="41" spans="1:31" x14ac:dyDescent="0.25">
      <c r="A41" t="s">
        <v>65</v>
      </c>
      <c r="B41" t="s">
        <v>68</v>
      </c>
      <c r="C41" t="s">
        <v>71</v>
      </c>
      <c r="D41">
        <v>1.2735060999173474E-2</v>
      </c>
      <c r="E41">
        <v>2.7632742219030587E-2</v>
      </c>
      <c r="F41">
        <v>6.5106014518106388E-3</v>
      </c>
      <c r="G41">
        <v>3.6375834869510478E-3</v>
      </c>
      <c r="H41">
        <v>6.9305561157909836E-3</v>
      </c>
      <c r="I41">
        <v>4.3457726062252829E-4</v>
      </c>
      <c r="J41">
        <v>3.3403336977788509E-4</v>
      </c>
      <c r="K41">
        <v>4.0481996087677555E-4</v>
      </c>
      <c r="L41">
        <v>8.725127757072401E-5</v>
      </c>
      <c r="M41">
        <v>9.5521899596413999E-5</v>
      </c>
      <c r="N41">
        <v>1.0578000675696705E-4</v>
      </c>
      <c r="O41">
        <v>1.1504366989646011E-4</v>
      </c>
      <c r="P41">
        <v>1.2266665288456909E-4</v>
      </c>
      <c r="Q41">
        <v>1.4164916279839877E-4</v>
      </c>
      <c r="R41">
        <v>1.3358504724987218E-4</v>
      </c>
      <c r="S41">
        <v>6.9206334388930053E-4</v>
      </c>
      <c r="T41">
        <v>6.8730026967994532E-4</v>
      </c>
      <c r="U41">
        <v>6.8107337824905266E-4</v>
      </c>
      <c r="V41">
        <v>7.0503390970746277E-4</v>
      </c>
      <c r="W41">
        <v>7.0769618895816526E-4</v>
      </c>
      <c r="X41">
        <v>7.1464277289840644E-4</v>
      </c>
      <c r="Y41">
        <v>7.201579383752883E-4</v>
      </c>
      <c r="Z41">
        <v>7.2886794499554103E-4</v>
      </c>
      <c r="AA41">
        <v>7.3259943612833528E-4</v>
      </c>
      <c r="AB41">
        <v>7.3188549563817757E-4</v>
      </c>
      <c r="AC41">
        <v>7.3226180758618109E-4</v>
      </c>
      <c r="AD41">
        <v>7.3770318947337149E-4</v>
      </c>
      <c r="AE41" s="4">
        <v>-0.94207305410462894</v>
      </c>
    </row>
    <row r="42" spans="1:31" x14ac:dyDescent="0.25">
      <c r="A42" t="s">
        <v>65</v>
      </c>
      <c r="B42" t="s">
        <v>69</v>
      </c>
      <c r="C42" t="s">
        <v>71</v>
      </c>
      <c r="D42">
        <v>3.9676643413487103E-2</v>
      </c>
      <c r="E42">
        <v>5.8016255156697706E-2</v>
      </c>
      <c r="F42">
        <v>2.6942520145174793E-2</v>
      </c>
      <c r="G42">
        <v>2.2945747871669971E-2</v>
      </c>
      <c r="H42">
        <v>3.0207620523414819E-2</v>
      </c>
      <c r="I42">
        <v>1.2680575291299146E-2</v>
      </c>
      <c r="J42">
        <v>1.7565113237188033E-2</v>
      </c>
      <c r="K42">
        <v>1.3078296478002925E-2</v>
      </c>
      <c r="L42">
        <v>1.6527884865540004E-2</v>
      </c>
      <c r="M42">
        <v>1.2959137711913499E-2</v>
      </c>
      <c r="N42">
        <v>1.1463908232286305E-2</v>
      </c>
      <c r="O42">
        <v>1.0062937478590364E-2</v>
      </c>
      <c r="P42">
        <v>1.0229035887763235E-2</v>
      </c>
      <c r="Q42">
        <v>8.3379848101784743E-3</v>
      </c>
      <c r="R42">
        <v>8.1972642630603366E-3</v>
      </c>
      <c r="S42">
        <v>8.5123791298383975E-3</v>
      </c>
      <c r="T42">
        <v>8.963071549678632E-3</v>
      </c>
      <c r="U42">
        <v>9.6845312077853095E-3</v>
      </c>
      <c r="V42">
        <v>1.042886159239279E-2</v>
      </c>
      <c r="W42">
        <v>1.0390777377560364E-2</v>
      </c>
      <c r="X42">
        <v>1.1143960739884527E-2</v>
      </c>
      <c r="Y42">
        <v>1.1104725461970093E-2</v>
      </c>
      <c r="Z42">
        <v>1.129471304237451E-2</v>
      </c>
      <c r="AA42">
        <v>1.1481035939324657E-2</v>
      </c>
      <c r="AB42">
        <v>1.1519003808215795E-2</v>
      </c>
      <c r="AC42">
        <v>1.1508532587884307E-2</v>
      </c>
      <c r="AD42">
        <v>1.1562814436486326E-2</v>
      </c>
      <c r="AE42" s="4">
        <v>-0.70857377434917213</v>
      </c>
    </row>
    <row r="43" spans="1:31" x14ac:dyDescent="0.25">
      <c r="A43" t="s">
        <v>65</v>
      </c>
      <c r="B43" t="s">
        <v>70</v>
      </c>
      <c r="C43" t="s">
        <v>71</v>
      </c>
      <c r="D43">
        <f>907185*D38/(D17*10^9)</f>
        <v>5.5084087679326508E-8</v>
      </c>
      <c r="E43">
        <f>907185*E38/(E17*10^9)</f>
        <v>1.1668400864149354E-7</v>
      </c>
      <c r="F43">
        <f>907185*F38/(F17*10^9)</f>
        <v>2.9744379813625521E-8</v>
      </c>
      <c r="G43">
        <f>907185*G38/(G17*10^9)</f>
        <v>1.6739322240836681E-8</v>
      </c>
      <c r="H43">
        <f>907185*H38/(H17*10^9)</f>
        <v>3.5496387596794642E-8</v>
      </c>
      <c r="I43">
        <f>907185*I38/(I17*10^9)</f>
        <v>1.2972455540970993E-11</v>
      </c>
      <c r="J43">
        <f>907185*J38/(J17*10^9)</f>
        <v>6.3025164109034914E-12</v>
      </c>
      <c r="K43">
        <f>907185*K38/(K17*10^9)</f>
        <v>6.5293542076899268E-12</v>
      </c>
      <c r="L43">
        <f>907185*L38/(L17*10^9)</f>
        <v>6.2322341121945716E-12</v>
      </c>
      <c r="M43">
        <f>907185*M38/(M17*10^9)</f>
        <v>6.3681266397609329E-12</v>
      </c>
      <c r="N43">
        <f>907185*N38/(N17*10^9)</f>
        <v>0</v>
      </c>
      <c r="O43">
        <f>907185*O38/(O17*10^9)</f>
        <v>0</v>
      </c>
      <c r="P43">
        <f>907185*P38/(P17*10^9)</f>
        <v>0</v>
      </c>
      <c r="Q43">
        <f>907185*Q38/(Q17*10^9)</f>
        <v>0</v>
      </c>
      <c r="R43">
        <f>907185*R38/(R17*10^9)</f>
        <v>0</v>
      </c>
      <c r="S43">
        <f>907185*S38/(S17*10^9)</f>
        <v>0</v>
      </c>
      <c r="T43">
        <f>907185*T38/(T17*10^9)</f>
        <v>0</v>
      </c>
      <c r="U43">
        <f>907185*U38/(U17*10^9)</f>
        <v>0</v>
      </c>
      <c r="V43">
        <f>907185*V38/(V17*10^9)</f>
        <v>0</v>
      </c>
      <c r="W43">
        <f>907185*W38/(W17*10^9)</f>
        <v>0</v>
      </c>
      <c r="X43">
        <f>907185*X38/(X17*10^9)</f>
        <v>0</v>
      </c>
      <c r="Y43">
        <f>907185*Y38/(Y17*10^9)</f>
        <v>0</v>
      </c>
      <c r="Z43">
        <f>907185*Z38/(Z17*10^9)</f>
        <v>0</v>
      </c>
      <c r="AA43">
        <f>907185*AA38/(AA17*10^9)</f>
        <v>0</v>
      </c>
      <c r="AB43">
        <f>907185*AB38/(AB17*10^9)</f>
        <v>0</v>
      </c>
      <c r="AC43">
        <f>907185*AC38/(AC17*10^9)</f>
        <v>0</v>
      </c>
      <c r="AD43">
        <f>907185*AD38/(AD17*10^9)</f>
        <v>0</v>
      </c>
      <c r="AE43" s="4">
        <v>-1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3"/>
  <sheetViews>
    <sheetView tabSelected="1" topLeftCell="C1" zoomScale="55" zoomScaleNormal="55" workbookViewId="0">
      <selection sqref="A1:A1048576"/>
    </sheetView>
  </sheetViews>
  <sheetFormatPr defaultRowHeight="15" x14ac:dyDescent="0.25"/>
  <cols>
    <col min="1" max="1" width="50.28515625" bestFit="1" customWidth="1"/>
    <col min="2" max="2" width="35.7109375" bestFit="1" customWidth="1"/>
    <col min="3" max="3" width="17.5703125" bestFit="1" customWidth="1"/>
    <col min="4" max="30" width="16" bestFit="1" customWidth="1"/>
    <col min="31" max="31" width="27.42578125" bestFit="1" customWidth="1"/>
  </cols>
  <sheetData>
    <row r="1" spans="1:31" s="3" customFormat="1" ht="15.75" thickBot="1" x14ac:dyDescent="0.3">
      <c r="A1" s="3" t="s">
        <v>72</v>
      </c>
      <c r="B1" s="1" t="s">
        <v>73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</row>
    <row r="2" spans="1:31" ht="15.75" thickTop="1" x14ac:dyDescent="0.25">
      <c r="A2" t="s">
        <v>29</v>
      </c>
      <c r="B2" t="s">
        <v>30</v>
      </c>
      <c r="C2" t="s">
        <v>31</v>
      </c>
      <c r="D2">
        <v>7.270308</v>
      </c>
      <c r="E2">
        <v>10.156895</v>
      </c>
      <c r="F2">
        <v>0</v>
      </c>
      <c r="G2">
        <v>0</v>
      </c>
      <c r="H2">
        <v>0</v>
      </c>
      <c r="I2">
        <v>0.20397499999999999</v>
      </c>
      <c r="J2">
        <v>1.763633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 s="4" cm="1">
        <f t="array" ref="AE2:AE17">(AD2:AD17-D2:D17)/D2:D17</f>
        <v>-1</v>
      </c>
    </row>
    <row r="3" spans="1:31" x14ac:dyDescent="0.25">
      <c r="A3" t="s">
        <v>29</v>
      </c>
      <c r="B3" t="s">
        <v>32</v>
      </c>
      <c r="C3" t="s">
        <v>31</v>
      </c>
      <c r="D3">
        <v>0.20313300000000001</v>
      </c>
      <c r="E3">
        <v>0.21515100000000001</v>
      </c>
      <c r="F3">
        <v>0.15057200000000001</v>
      </c>
      <c r="G3">
        <v>0.121214</v>
      </c>
      <c r="H3">
        <v>0.11901399999999999</v>
      </c>
      <c r="I3">
        <v>0.100491</v>
      </c>
      <c r="J3">
        <v>9.0472999999999998E-2</v>
      </c>
      <c r="K3">
        <v>7.8745999999999997E-2</v>
      </c>
      <c r="L3">
        <v>8.1143000000000007E-2</v>
      </c>
      <c r="M3">
        <v>7.7462000000000003E-2</v>
      </c>
      <c r="N3">
        <v>7.7295000000000003E-2</v>
      </c>
      <c r="O3">
        <v>1.5659999999999999E-3</v>
      </c>
      <c r="P3">
        <v>8.9700000000000001E-4</v>
      </c>
      <c r="Q3">
        <v>6.78E-4</v>
      </c>
      <c r="R3">
        <v>3.7300000000000001E-4</v>
      </c>
      <c r="S3">
        <v>1.379E-3</v>
      </c>
      <c r="T3">
        <v>1.6119999999999999E-3</v>
      </c>
      <c r="U3">
        <v>1.1980000000000001E-3</v>
      </c>
      <c r="V3">
        <v>1.1869999999999999E-3</v>
      </c>
      <c r="W3">
        <v>1.1980000000000001E-3</v>
      </c>
      <c r="X3">
        <v>1.1869999999999999E-3</v>
      </c>
      <c r="Y3">
        <v>1.1869999999999999E-3</v>
      </c>
      <c r="Z3">
        <v>1.1869999999999999E-3</v>
      </c>
      <c r="AA3">
        <v>5.4199999999999995E-4</v>
      </c>
      <c r="AB3">
        <v>1E-4</v>
      </c>
      <c r="AC3">
        <v>0</v>
      </c>
      <c r="AD3">
        <v>0</v>
      </c>
      <c r="AE3" s="4">
        <v>-1</v>
      </c>
    </row>
    <row r="4" spans="1:31" x14ac:dyDescent="0.25">
      <c r="A4" t="s">
        <v>29</v>
      </c>
      <c r="B4" t="s">
        <v>33</v>
      </c>
      <c r="C4" t="s">
        <v>31</v>
      </c>
      <c r="D4">
        <v>54.234665</v>
      </c>
      <c r="E4">
        <v>61.419338000000003</v>
      </c>
      <c r="F4">
        <v>58.674590999999999</v>
      </c>
      <c r="G4">
        <v>56.443035000000002</v>
      </c>
      <c r="H4">
        <v>57.032519999999998</v>
      </c>
      <c r="I4">
        <v>56.405830000000002</v>
      </c>
      <c r="J4">
        <v>50.081409000000001</v>
      </c>
      <c r="K4">
        <v>49.372349</v>
      </c>
      <c r="L4">
        <v>53.036053000000003</v>
      </c>
      <c r="M4">
        <v>49.136574000000003</v>
      </c>
      <c r="N4">
        <v>42.206051000000002</v>
      </c>
      <c r="O4">
        <v>39.716468999999996</v>
      </c>
      <c r="P4">
        <v>43.439281000000001</v>
      </c>
      <c r="Q4">
        <v>30.459896000000001</v>
      </c>
      <c r="R4">
        <v>28.324065999999998</v>
      </c>
      <c r="S4">
        <v>26.049479000000002</v>
      </c>
      <c r="T4">
        <v>24.671415</v>
      </c>
      <c r="U4">
        <v>24.740179000000001</v>
      </c>
      <c r="V4">
        <v>28.291788</v>
      </c>
      <c r="W4">
        <v>26.271446000000001</v>
      </c>
      <c r="X4">
        <v>26.265497</v>
      </c>
      <c r="Y4">
        <v>28.113197</v>
      </c>
      <c r="Z4">
        <v>28.186631999999999</v>
      </c>
      <c r="AA4">
        <v>27.737708999999999</v>
      </c>
      <c r="AB4">
        <v>25.774597</v>
      </c>
      <c r="AC4">
        <v>25.149111000000001</v>
      </c>
      <c r="AD4">
        <v>25.419875999999999</v>
      </c>
      <c r="AE4" s="4">
        <v>-0.53129836793497298</v>
      </c>
    </row>
    <row r="5" spans="1:31" x14ac:dyDescent="0.25">
      <c r="A5" t="s">
        <v>29</v>
      </c>
      <c r="B5" t="s">
        <v>34</v>
      </c>
      <c r="C5" t="s">
        <v>31</v>
      </c>
      <c r="D5">
        <v>28.872747</v>
      </c>
      <c r="E5">
        <v>29.320326000000001</v>
      </c>
      <c r="F5">
        <v>29.253589999999999</v>
      </c>
      <c r="G5">
        <v>29.186851999999998</v>
      </c>
      <c r="H5">
        <v>29.186851999999998</v>
      </c>
      <c r="I5">
        <v>29.186851999999998</v>
      </c>
      <c r="J5">
        <v>29.187328000000001</v>
      </c>
      <c r="K5">
        <v>29.187328000000001</v>
      </c>
      <c r="L5">
        <v>29.187328000000001</v>
      </c>
      <c r="M5">
        <v>29.186851999999998</v>
      </c>
      <c r="N5">
        <v>29.186851999999998</v>
      </c>
      <c r="O5">
        <v>29.186851999999998</v>
      </c>
      <c r="P5">
        <v>29.186851999999998</v>
      </c>
      <c r="Q5">
        <v>29.186851999999998</v>
      </c>
      <c r="R5">
        <v>29.186851999999998</v>
      </c>
      <c r="S5">
        <v>29.186851999999998</v>
      </c>
      <c r="T5">
        <v>29.186851999999998</v>
      </c>
      <c r="U5">
        <v>29.186851999999998</v>
      </c>
      <c r="V5">
        <v>29.186851999999998</v>
      </c>
      <c r="W5">
        <v>29.186851999999998</v>
      </c>
      <c r="X5">
        <v>29.186851999999998</v>
      </c>
      <c r="Y5">
        <v>29.186851999999998</v>
      </c>
      <c r="Z5">
        <v>29.186851999999998</v>
      </c>
      <c r="AA5">
        <v>29.186851999999998</v>
      </c>
      <c r="AB5">
        <v>29.186851999999998</v>
      </c>
      <c r="AC5">
        <v>29.186851999999998</v>
      </c>
      <c r="AD5">
        <v>29.186851999999998</v>
      </c>
      <c r="AE5" s="4">
        <v>1.0878944078303247E-2</v>
      </c>
    </row>
    <row r="6" spans="1:31" x14ac:dyDescent="0.25">
      <c r="A6" t="s">
        <v>29</v>
      </c>
      <c r="B6" t="s">
        <v>35</v>
      </c>
      <c r="C6" t="s">
        <v>31</v>
      </c>
      <c r="D6">
        <v>-0.40095999999999998</v>
      </c>
      <c r="E6">
        <v>-0.47894100000000001</v>
      </c>
      <c r="F6">
        <v>-0.56284000000000001</v>
      </c>
      <c r="G6">
        <v>-0.60877999999999999</v>
      </c>
      <c r="H6">
        <v>-0.67386199999999996</v>
      </c>
      <c r="I6">
        <v>-0.70405099999999998</v>
      </c>
      <c r="J6">
        <v>-0.77829099999999996</v>
      </c>
      <c r="K6">
        <v>-0.86408300000000005</v>
      </c>
      <c r="L6">
        <v>-1.002664</v>
      </c>
      <c r="M6">
        <v>-1.08029</v>
      </c>
      <c r="N6">
        <v>-1.1526460000000001</v>
      </c>
      <c r="O6">
        <v>-1.2142329999999999</v>
      </c>
      <c r="P6">
        <v>-1.2220169999999999</v>
      </c>
      <c r="Q6">
        <v>-1.332741</v>
      </c>
      <c r="R6">
        <v>-1.466858</v>
      </c>
      <c r="S6">
        <v>-1.6207800000000001</v>
      </c>
      <c r="T6">
        <v>-1.79162</v>
      </c>
      <c r="U6">
        <v>-2.137896</v>
      </c>
      <c r="V6">
        <v>-2.4904069999999998</v>
      </c>
      <c r="W6">
        <v>-2.5011199999999998</v>
      </c>
      <c r="X6">
        <v>-2.8666049999999998</v>
      </c>
      <c r="Y6">
        <v>-2.863524</v>
      </c>
      <c r="Z6">
        <v>-2.8644660000000002</v>
      </c>
      <c r="AA6">
        <v>-2.8625820000000002</v>
      </c>
      <c r="AB6">
        <v>-3.2490299999999999</v>
      </c>
      <c r="AC6">
        <v>-3.624647</v>
      </c>
      <c r="AD6">
        <v>-3.6208079999999998</v>
      </c>
      <c r="AE6" s="4">
        <v>8.0303471667996806</v>
      </c>
    </row>
    <row r="7" spans="1:31" x14ac:dyDescent="0.25">
      <c r="A7" t="s">
        <v>29</v>
      </c>
      <c r="B7" t="s">
        <v>36</v>
      </c>
      <c r="C7" t="s">
        <v>31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 s="4" t="e">
        <v>#DIV/0!</v>
      </c>
    </row>
    <row r="8" spans="1:31" x14ac:dyDescent="0.25">
      <c r="A8" t="s">
        <v>29</v>
      </c>
      <c r="B8" t="s">
        <v>37</v>
      </c>
      <c r="C8" t="s">
        <v>31</v>
      </c>
      <c r="D8">
        <v>1.1388400000000001</v>
      </c>
      <c r="E8">
        <v>1.2363489999999999</v>
      </c>
      <c r="F8">
        <v>1.28284</v>
      </c>
      <c r="G8">
        <v>1.3304689999999999</v>
      </c>
      <c r="H8">
        <v>1.3315140000000001</v>
      </c>
      <c r="I8">
        <v>1.331197</v>
      </c>
      <c r="J8">
        <v>1.3319829999999999</v>
      </c>
      <c r="K8">
        <v>1.3317060000000001</v>
      </c>
      <c r="L8">
        <v>1.3293509999999999</v>
      </c>
      <c r="M8">
        <v>1.330578</v>
      </c>
      <c r="N8">
        <v>1.3329770000000001</v>
      </c>
      <c r="O8">
        <v>1.2252780000000001</v>
      </c>
      <c r="P8">
        <v>1.1557200000000001</v>
      </c>
      <c r="Q8">
        <v>1.1539710000000001</v>
      </c>
      <c r="R8">
        <v>1.1687160000000001</v>
      </c>
      <c r="S8">
        <v>1.1727190000000001</v>
      </c>
      <c r="T8">
        <v>1.1867239999999999</v>
      </c>
      <c r="U8">
        <v>1.191309</v>
      </c>
      <c r="V8">
        <v>1.2124410000000001</v>
      </c>
      <c r="W8">
        <v>1.2136070000000001</v>
      </c>
      <c r="X8">
        <v>1.2256560000000001</v>
      </c>
      <c r="Y8">
        <v>1.226531</v>
      </c>
      <c r="Z8">
        <v>1.2274240000000001</v>
      </c>
      <c r="AA8">
        <v>1.2111240000000001</v>
      </c>
      <c r="AB8">
        <v>1.2213499999999999</v>
      </c>
      <c r="AC8">
        <v>1.249576</v>
      </c>
      <c r="AD8">
        <v>1.224655</v>
      </c>
      <c r="AE8" s="4">
        <v>7.535299076253027E-2</v>
      </c>
    </row>
    <row r="9" spans="1:31" x14ac:dyDescent="0.25">
      <c r="A9" t="s">
        <v>29</v>
      </c>
      <c r="B9" t="s">
        <v>38</v>
      </c>
      <c r="C9" t="s">
        <v>31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 s="4" t="e">
        <v>#DIV/0!</v>
      </c>
    </row>
    <row r="10" spans="1:31" x14ac:dyDescent="0.25">
      <c r="A10" t="s">
        <v>29</v>
      </c>
      <c r="B10" t="s">
        <v>39</v>
      </c>
      <c r="C10" t="s">
        <v>31</v>
      </c>
      <c r="D10">
        <v>3.8131999999999999E-2</v>
      </c>
      <c r="E10">
        <v>4.6358999999999997E-2</v>
      </c>
      <c r="F10">
        <v>5.4600999999999997E-2</v>
      </c>
      <c r="G10">
        <v>6.2456999999999999E-2</v>
      </c>
      <c r="H10">
        <v>7.1148000000000003E-2</v>
      </c>
      <c r="I10">
        <v>7.8798000000000007E-2</v>
      </c>
      <c r="J10">
        <v>8.6401000000000006E-2</v>
      </c>
      <c r="K10">
        <v>9.4701999999999995E-2</v>
      </c>
      <c r="L10">
        <v>0.124003</v>
      </c>
      <c r="M10">
        <v>0.13261400000000001</v>
      </c>
      <c r="N10">
        <v>0.13054499999999999</v>
      </c>
      <c r="O10">
        <v>0.14584900000000001</v>
      </c>
      <c r="P10">
        <v>0.145729</v>
      </c>
      <c r="Q10">
        <v>0.16153899999999999</v>
      </c>
      <c r="R10">
        <v>0.16983300000000001</v>
      </c>
      <c r="S10">
        <v>0.12015000000000001</v>
      </c>
      <c r="T10">
        <v>0.13359699999999999</v>
      </c>
      <c r="U10">
        <v>0.139598</v>
      </c>
      <c r="V10">
        <v>0.14568400000000001</v>
      </c>
      <c r="W10">
        <v>0.15182000000000001</v>
      </c>
      <c r="X10">
        <v>0.15501699999999999</v>
      </c>
      <c r="Y10">
        <v>0.15818099999999999</v>
      </c>
      <c r="Z10">
        <v>0.16136300000000001</v>
      </c>
      <c r="AA10">
        <v>0.16459599999999999</v>
      </c>
      <c r="AB10">
        <v>0.16783100000000001</v>
      </c>
      <c r="AC10">
        <v>0.16785800000000001</v>
      </c>
      <c r="AD10">
        <v>0.167883</v>
      </c>
      <c r="AE10" s="4">
        <v>3.4026801636420858</v>
      </c>
    </row>
    <row r="11" spans="1:31" x14ac:dyDescent="0.25">
      <c r="A11" t="s">
        <v>29</v>
      </c>
      <c r="B11" t="s">
        <v>40</v>
      </c>
      <c r="C11" t="s">
        <v>31</v>
      </c>
      <c r="D11">
        <v>1.1494180000000001</v>
      </c>
      <c r="E11">
        <v>1.151305</v>
      </c>
      <c r="F11">
        <v>1.1405860000000001</v>
      </c>
      <c r="G11">
        <v>1.1405860000000001</v>
      </c>
      <c r="H11">
        <v>0.55729799999999996</v>
      </c>
      <c r="I11">
        <v>0.25670999999999999</v>
      </c>
      <c r="J11">
        <v>0.25670999999999999</v>
      </c>
      <c r="K11">
        <v>0.25670999999999999</v>
      </c>
      <c r="L11">
        <v>0.25670999999999999</v>
      </c>
      <c r="M11">
        <v>0.25670999999999999</v>
      </c>
      <c r="N11">
        <v>0.25670999999999999</v>
      </c>
      <c r="O11">
        <v>0.25670999999999999</v>
      </c>
      <c r="P11">
        <v>0.25670999999999999</v>
      </c>
      <c r="Q11">
        <v>0.25670999999999999</v>
      </c>
      <c r="R11">
        <v>0.25670999999999999</v>
      </c>
      <c r="S11">
        <v>0.25670999999999999</v>
      </c>
      <c r="T11">
        <v>0.25670999999999999</v>
      </c>
      <c r="U11">
        <v>0.25670999999999999</v>
      </c>
      <c r="V11">
        <v>0.25670999999999999</v>
      </c>
      <c r="W11">
        <v>0.25670999999999999</v>
      </c>
      <c r="X11">
        <v>0.25670999999999999</v>
      </c>
      <c r="Y11">
        <v>0.25670999999999999</v>
      </c>
      <c r="Z11">
        <v>0.25670999999999999</v>
      </c>
      <c r="AA11">
        <v>0.25670999999999999</v>
      </c>
      <c r="AB11">
        <v>0.25670999999999999</v>
      </c>
      <c r="AC11">
        <v>0.25670999999999999</v>
      </c>
      <c r="AD11">
        <v>0.25670999999999999</v>
      </c>
      <c r="AE11" s="4">
        <v>-0.77666088403000477</v>
      </c>
    </row>
    <row r="12" spans="1:31" x14ac:dyDescent="0.25">
      <c r="A12" t="s">
        <v>29</v>
      </c>
      <c r="B12" t="s">
        <v>41</v>
      </c>
      <c r="C12" t="s">
        <v>31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s="4" t="e">
        <v>#DIV/0!</v>
      </c>
    </row>
    <row r="13" spans="1:31" x14ac:dyDescent="0.25">
      <c r="A13" t="s">
        <v>29</v>
      </c>
      <c r="B13" t="s">
        <v>42</v>
      </c>
      <c r="C13" t="s">
        <v>31</v>
      </c>
      <c r="D13">
        <v>9.3889270000000007</v>
      </c>
      <c r="E13">
        <v>10.830287999999999</v>
      </c>
      <c r="F13">
        <v>14.378304</v>
      </c>
      <c r="G13">
        <v>15.089653</v>
      </c>
      <c r="H13">
        <v>15.093666000000001</v>
      </c>
      <c r="I13">
        <v>15.086019</v>
      </c>
      <c r="J13">
        <v>15.095190000000001</v>
      </c>
      <c r="K13">
        <v>19.609542999999999</v>
      </c>
      <c r="L13">
        <v>20.707847999999998</v>
      </c>
      <c r="M13">
        <v>26.608463</v>
      </c>
      <c r="N13">
        <v>53.139865999999998</v>
      </c>
      <c r="O13">
        <v>75.451363000000001</v>
      </c>
      <c r="P13">
        <v>84.324073999999996</v>
      </c>
      <c r="Q13">
        <v>86.518242000000001</v>
      </c>
      <c r="R13">
        <v>87.796020999999996</v>
      </c>
      <c r="S13">
        <v>88.934341000000003</v>
      </c>
      <c r="T13">
        <v>89.986130000000003</v>
      </c>
      <c r="U13">
        <v>91.545524999999998</v>
      </c>
      <c r="V13">
        <v>92.803595999999999</v>
      </c>
      <c r="W13">
        <v>93.030060000000006</v>
      </c>
      <c r="X13">
        <v>93.722237000000007</v>
      </c>
      <c r="Y13">
        <v>93.551544000000007</v>
      </c>
      <c r="Z13">
        <v>92.120766000000003</v>
      </c>
      <c r="AA13">
        <v>90.846359000000007</v>
      </c>
      <c r="AB13">
        <v>91.895240999999999</v>
      </c>
      <c r="AC13">
        <v>94.907532000000003</v>
      </c>
      <c r="AD13">
        <v>99.634467999999998</v>
      </c>
      <c r="AE13" s="4">
        <v>9.6119120960254563</v>
      </c>
    </row>
    <row r="14" spans="1:31" x14ac:dyDescent="0.25">
      <c r="A14" t="s">
        <v>29</v>
      </c>
      <c r="B14" t="s">
        <v>43</v>
      </c>
      <c r="C14" t="s">
        <v>31</v>
      </c>
      <c r="D14">
        <v>1.5413330000000001</v>
      </c>
      <c r="E14">
        <v>1.8601840000000001</v>
      </c>
      <c r="F14">
        <v>1.9231050000000001</v>
      </c>
      <c r="G14">
        <v>1.987263</v>
      </c>
      <c r="H14">
        <v>1.9871650000000001</v>
      </c>
      <c r="I14">
        <v>1.9875940000000001</v>
      </c>
      <c r="J14">
        <v>1.9870730000000001</v>
      </c>
      <c r="K14">
        <v>1.986639</v>
      </c>
      <c r="L14">
        <v>1.987331</v>
      </c>
      <c r="M14">
        <v>1.9869490000000001</v>
      </c>
      <c r="N14">
        <v>1.9872879999999999</v>
      </c>
      <c r="O14">
        <v>1.8101659999999999</v>
      </c>
      <c r="P14">
        <v>1.607105</v>
      </c>
      <c r="Q14">
        <v>1.6000289999999999</v>
      </c>
      <c r="R14">
        <v>1.630126</v>
      </c>
      <c r="S14">
        <v>1.643149</v>
      </c>
      <c r="T14">
        <v>1.6739820000000001</v>
      </c>
      <c r="U14">
        <v>1.703276</v>
      </c>
      <c r="V14">
        <v>1.7567900000000001</v>
      </c>
      <c r="W14">
        <v>1.7689589999999999</v>
      </c>
      <c r="X14">
        <v>1.798203</v>
      </c>
      <c r="Y14">
        <v>1.8185830000000001</v>
      </c>
      <c r="Z14">
        <v>1.797447</v>
      </c>
      <c r="AA14">
        <v>1.7344470000000001</v>
      </c>
      <c r="AB14">
        <v>1.7714220000000001</v>
      </c>
      <c r="AC14">
        <v>1.8065040000000001</v>
      </c>
      <c r="AD14">
        <v>1.7811330000000001</v>
      </c>
      <c r="AE14" s="4">
        <v>0.15557961842119775</v>
      </c>
    </row>
    <row r="15" spans="1:31" x14ac:dyDescent="0.25">
      <c r="A15" t="s">
        <v>29</v>
      </c>
      <c r="B15" t="s">
        <v>44</v>
      </c>
      <c r="C15" t="s">
        <v>31</v>
      </c>
      <c r="D15">
        <v>4.7553999999999999E-2</v>
      </c>
      <c r="E15">
        <v>1.537563</v>
      </c>
      <c r="F15">
        <v>3.556441</v>
      </c>
      <c r="G15">
        <v>5.7135740000000004</v>
      </c>
      <c r="H15">
        <v>7.7533519999999996</v>
      </c>
      <c r="I15">
        <v>9.7932030000000001</v>
      </c>
      <c r="J15">
        <v>11.832331</v>
      </c>
      <c r="K15">
        <v>13.871797000000001</v>
      </c>
      <c r="L15">
        <v>15.914588999999999</v>
      </c>
      <c r="M15">
        <v>17.949525999999999</v>
      </c>
      <c r="N15">
        <v>19.995308000000001</v>
      </c>
      <c r="O15">
        <v>17.880436</v>
      </c>
      <c r="P15">
        <v>15.903504</v>
      </c>
      <c r="Q15">
        <v>15.882614999999999</v>
      </c>
      <c r="R15">
        <v>16.145963999999999</v>
      </c>
      <c r="S15">
        <v>16.371276999999999</v>
      </c>
      <c r="T15">
        <v>16.628375999999999</v>
      </c>
      <c r="U15">
        <v>17.035157999999999</v>
      </c>
      <c r="V15">
        <v>17.594605999999999</v>
      </c>
      <c r="W15">
        <v>17.666214</v>
      </c>
      <c r="X15">
        <v>18.347238999999998</v>
      </c>
      <c r="Y15">
        <v>18.359314000000001</v>
      </c>
      <c r="Z15">
        <v>18.383713</v>
      </c>
      <c r="AA15">
        <v>17.552982</v>
      </c>
      <c r="AB15">
        <v>17.796721000000002</v>
      </c>
      <c r="AC15">
        <v>18.353991000000001</v>
      </c>
      <c r="AD15">
        <v>17.88917</v>
      </c>
      <c r="AE15" s="4">
        <v>375.18644067796606</v>
      </c>
    </row>
    <row r="16" spans="1:31" x14ac:dyDescent="0.25">
      <c r="A16" t="s">
        <v>29</v>
      </c>
      <c r="B16" s="5" t="s">
        <v>45</v>
      </c>
      <c r="C16" t="s">
        <v>31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2.5709999999999999E-3</v>
      </c>
      <c r="M16">
        <v>5.254E-3</v>
      </c>
      <c r="N16">
        <v>8.064E-3</v>
      </c>
      <c r="O16">
        <v>1.1054E-2</v>
      </c>
      <c r="P16">
        <v>1.4593999999999999E-2</v>
      </c>
      <c r="Q16">
        <v>1.4593999999999999E-2</v>
      </c>
      <c r="R16">
        <v>1.4593999999999999E-2</v>
      </c>
      <c r="S16">
        <v>1.9102000000000001E-2</v>
      </c>
      <c r="T16">
        <v>1.9102000000000001E-2</v>
      </c>
      <c r="U16">
        <v>1.9102000000000001E-2</v>
      </c>
      <c r="V16">
        <v>1.9102000000000001E-2</v>
      </c>
      <c r="W16">
        <v>1.9102000000000001E-2</v>
      </c>
      <c r="X16">
        <v>1.9102000000000001E-2</v>
      </c>
      <c r="Y16">
        <v>1.9102000000000001E-2</v>
      </c>
      <c r="Z16">
        <v>1.9102000000000001E-2</v>
      </c>
      <c r="AA16">
        <v>1.9102000000000001E-2</v>
      </c>
      <c r="AB16">
        <v>1.9102000000000001E-2</v>
      </c>
      <c r="AC16">
        <v>1.9102000000000001E-2</v>
      </c>
      <c r="AD16">
        <v>1.9102000000000001E-2</v>
      </c>
      <c r="AE16" s="4" t="e">
        <v>#DIV/0!</v>
      </c>
    </row>
    <row r="17" spans="1:31" x14ac:dyDescent="0.25">
      <c r="A17" t="s">
        <v>29</v>
      </c>
      <c r="B17" s="5" t="s">
        <v>46</v>
      </c>
      <c r="C17" t="s">
        <v>31</v>
      </c>
      <c r="D17">
        <v>103.4841</v>
      </c>
      <c r="E17">
        <v>117.294815</v>
      </c>
      <c r="F17">
        <v>109.85178399999999</v>
      </c>
      <c r="G17">
        <v>110.466324</v>
      </c>
      <c r="H17">
        <v>112.45867200000001</v>
      </c>
      <c r="I17">
        <v>113.726624</v>
      </c>
      <c r="J17">
        <v>110.93425000000001</v>
      </c>
      <c r="K17">
        <v>114.92544599999999</v>
      </c>
      <c r="L17">
        <v>121.62426000000001</v>
      </c>
      <c r="M17">
        <v>125.59069100000001</v>
      </c>
      <c r="N17">
        <v>147.16831999999999</v>
      </c>
      <c r="O17">
        <v>164.471497</v>
      </c>
      <c r="P17">
        <v>174.81243900000001</v>
      </c>
      <c r="Q17">
        <v>163.90237400000001</v>
      </c>
      <c r="R17">
        <v>163.226395</v>
      </c>
      <c r="S17">
        <v>162.13438400000001</v>
      </c>
      <c r="T17">
        <v>161.952866</v>
      </c>
      <c r="U17">
        <v>163.681015</v>
      </c>
      <c r="V17">
        <v>168.77835099999999</v>
      </c>
      <c r="W17">
        <v>167.06485000000001</v>
      </c>
      <c r="X17">
        <v>168.111099</v>
      </c>
      <c r="Y17">
        <v>169.82766699999999</v>
      </c>
      <c r="Z17">
        <v>168.47673</v>
      </c>
      <c r="AA17">
        <v>165.84783899999999</v>
      </c>
      <c r="AB17">
        <v>164.84089700000001</v>
      </c>
      <c r="AC17">
        <v>167.47257999999999</v>
      </c>
      <c r="AD17">
        <v>171.959045</v>
      </c>
      <c r="AE17" s="4">
        <v>0.66169532324289437</v>
      </c>
    </row>
    <row r="18" spans="1:31" x14ac:dyDescent="0.25">
      <c r="A18" t="s">
        <v>75</v>
      </c>
      <c r="B18" t="s">
        <v>47</v>
      </c>
      <c r="C18" t="s">
        <v>48</v>
      </c>
      <c r="D18">
        <v>15.295075000000001</v>
      </c>
      <c r="E18">
        <v>14.773541</v>
      </c>
      <c r="F18">
        <v>13.959766999999999</v>
      </c>
      <c r="G18">
        <v>13.535727</v>
      </c>
      <c r="H18">
        <v>13.428405</v>
      </c>
      <c r="I18">
        <v>13.495184</v>
      </c>
      <c r="J18">
        <v>13.598392</v>
      </c>
      <c r="K18">
        <v>13.741617</v>
      </c>
      <c r="L18">
        <v>13.887397</v>
      </c>
      <c r="M18">
        <v>14.238184</v>
      </c>
      <c r="N18">
        <v>14.619685</v>
      </c>
      <c r="O18">
        <v>14.723122</v>
      </c>
      <c r="P18">
        <v>14.779465</v>
      </c>
      <c r="Q18">
        <v>14.741948000000001</v>
      </c>
      <c r="R18">
        <v>14.527272999999999</v>
      </c>
      <c r="S18">
        <v>14.314254999999999</v>
      </c>
      <c r="T18">
        <v>14.094174000000001</v>
      </c>
      <c r="U18">
        <v>13.951577</v>
      </c>
      <c r="V18">
        <v>13.958805999999999</v>
      </c>
      <c r="W18">
        <v>13.917425</v>
      </c>
      <c r="X18">
        <v>13.933450000000001</v>
      </c>
      <c r="Y18">
        <v>14.264983000000001</v>
      </c>
      <c r="Z18">
        <v>14.659787</v>
      </c>
      <c r="AA18">
        <v>14.901595</v>
      </c>
      <c r="AB18">
        <v>14.973634000000001</v>
      </c>
      <c r="AC18">
        <v>14.991171</v>
      </c>
      <c r="AD18">
        <v>14.994894</v>
      </c>
      <c r="AE18" s="4" cm="1">
        <f t="array" ref="AE18:AE22">(AD18:AD22-D18:D22)/D18:D22</f>
        <v>-1.9625990719234803E-2</v>
      </c>
    </row>
    <row r="19" spans="1:31" x14ac:dyDescent="0.25">
      <c r="A19" t="s">
        <v>75</v>
      </c>
      <c r="B19" t="s">
        <v>49</v>
      </c>
      <c r="C19" t="s">
        <v>48</v>
      </c>
      <c r="D19">
        <v>9.6194649999999999</v>
      </c>
      <c r="E19">
        <v>9.2301859999999998</v>
      </c>
      <c r="F19">
        <v>8.7386300000000006</v>
      </c>
      <c r="G19">
        <v>8.4510290000000001</v>
      </c>
      <c r="H19">
        <v>8.3920060000000003</v>
      </c>
      <c r="I19">
        <v>8.4191669999999998</v>
      </c>
      <c r="J19">
        <v>8.4674750000000003</v>
      </c>
      <c r="K19">
        <v>8.5402989999999992</v>
      </c>
      <c r="L19">
        <v>8.6186939999999996</v>
      </c>
      <c r="M19">
        <v>8.8330579999999994</v>
      </c>
      <c r="N19">
        <v>9.0581980000000009</v>
      </c>
      <c r="O19">
        <v>9.0991470000000003</v>
      </c>
      <c r="P19">
        <v>9.1004260000000006</v>
      </c>
      <c r="Q19">
        <v>9.0514740000000007</v>
      </c>
      <c r="R19">
        <v>8.8872529999999994</v>
      </c>
      <c r="S19">
        <v>8.7170000000000005</v>
      </c>
      <c r="T19">
        <v>8.5427590000000002</v>
      </c>
      <c r="U19">
        <v>8.4255139999999997</v>
      </c>
      <c r="V19">
        <v>8.4026820000000004</v>
      </c>
      <c r="W19">
        <v>8.3484750000000005</v>
      </c>
      <c r="X19">
        <v>8.3330110000000008</v>
      </c>
      <c r="Y19">
        <v>8.5278010000000002</v>
      </c>
      <c r="Z19">
        <v>8.7600289999999994</v>
      </c>
      <c r="AA19">
        <v>8.8869530000000001</v>
      </c>
      <c r="AB19">
        <v>8.897691</v>
      </c>
      <c r="AC19">
        <v>8.8743839999999992</v>
      </c>
      <c r="AD19">
        <v>8.8379659999999998</v>
      </c>
      <c r="AE19" s="4">
        <v>-8.1241420390842964E-2</v>
      </c>
    </row>
    <row r="20" spans="1:31" x14ac:dyDescent="0.25">
      <c r="A20" t="s">
        <v>75</v>
      </c>
      <c r="B20" t="s">
        <v>50</v>
      </c>
      <c r="C20" t="s">
        <v>48</v>
      </c>
      <c r="D20">
        <v>9.5231569999999994</v>
      </c>
      <c r="E20">
        <v>9.0766369999999998</v>
      </c>
      <c r="F20">
        <v>8.396922</v>
      </c>
      <c r="G20">
        <v>8.0983409999999996</v>
      </c>
      <c r="H20">
        <v>7.9936509999999998</v>
      </c>
      <c r="I20">
        <v>8.0206999999999997</v>
      </c>
      <c r="J20">
        <v>8.0685380000000002</v>
      </c>
      <c r="K20">
        <v>8.1513480000000005</v>
      </c>
      <c r="L20">
        <v>8.2231269999999999</v>
      </c>
      <c r="M20">
        <v>8.5004849999999994</v>
      </c>
      <c r="N20">
        <v>8.7262559999999993</v>
      </c>
      <c r="O20">
        <v>8.7395739999999993</v>
      </c>
      <c r="P20">
        <v>8.8186750000000007</v>
      </c>
      <c r="Q20">
        <v>8.7563089999999999</v>
      </c>
      <c r="R20">
        <v>8.5946130000000007</v>
      </c>
      <c r="S20">
        <v>8.4350939999999994</v>
      </c>
      <c r="T20">
        <v>8.2646259999999998</v>
      </c>
      <c r="U20">
        <v>8.1597259999999991</v>
      </c>
      <c r="V20">
        <v>8.1663580000000007</v>
      </c>
      <c r="W20">
        <v>8.0996330000000007</v>
      </c>
      <c r="X20">
        <v>8.1186699999999998</v>
      </c>
      <c r="Y20">
        <v>8.3867460000000005</v>
      </c>
      <c r="Z20">
        <v>8.6480130000000006</v>
      </c>
      <c r="AA20">
        <v>8.7852750000000004</v>
      </c>
      <c r="AB20">
        <v>8.7880850000000006</v>
      </c>
      <c r="AC20">
        <v>8.7684329999999999</v>
      </c>
      <c r="AD20">
        <v>8.7283220000000004</v>
      </c>
      <c r="AE20" s="4">
        <v>-8.346339349440518E-2</v>
      </c>
    </row>
    <row r="21" spans="1:31" x14ac:dyDescent="0.25">
      <c r="A21" t="s">
        <v>75</v>
      </c>
      <c r="B21" t="s">
        <v>51</v>
      </c>
      <c r="C21" t="s">
        <v>48</v>
      </c>
      <c r="D21">
        <v>11.811895</v>
      </c>
      <c r="E21">
        <v>11.356493</v>
      </c>
      <c r="F21">
        <v>10.732716</v>
      </c>
      <c r="G21">
        <v>10.343742000000001</v>
      </c>
      <c r="H21">
        <v>10.248393</v>
      </c>
      <c r="I21">
        <v>10.265419</v>
      </c>
      <c r="J21">
        <v>10.319262999999999</v>
      </c>
      <c r="K21">
        <v>10.398326000000001</v>
      </c>
      <c r="L21">
        <v>10.495564</v>
      </c>
      <c r="M21">
        <v>10.740081</v>
      </c>
      <c r="N21">
        <v>11.021533</v>
      </c>
      <c r="O21">
        <v>11.082395999999999</v>
      </c>
      <c r="P21">
        <v>11.07884</v>
      </c>
      <c r="Q21">
        <v>11.022057</v>
      </c>
      <c r="R21">
        <v>10.814363</v>
      </c>
      <c r="S21">
        <v>10.608508</v>
      </c>
      <c r="T21">
        <v>10.397762</v>
      </c>
      <c r="U21">
        <v>10.242768</v>
      </c>
      <c r="V21">
        <v>10.205924</v>
      </c>
      <c r="W21">
        <v>10.136058</v>
      </c>
      <c r="X21">
        <v>10.099719</v>
      </c>
      <c r="Y21">
        <v>10.311997</v>
      </c>
      <c r="Z21">
        <v>10.583069999999999</v>
      </c>
      <c r="AA21">
        <v>10.730375</v>
      </c>
      <c r="AB21">
        <v>10.738821</v>
      </c>
      <c r="AC21">
        <v>10.699104</v>
      </c>
      <c r="AD21">
        <v>10.646845000000001</v>
      </c>
      <c r="AE21" s="4">
        <v>-9.8633623140063395E-2</v>
      </c>
    </row>
    <row r="22" spans="1:31" x14ac:dyDescent="0.25">
      <c r="A22" t="s">
        <v>75</v>
      </c>
      <c r="B22" t="s">
        <v>52</v>
      </c>
      <c r="C22" t="s">
        <v>48</v>
      </c>
      <c r="D22">
        <v>11.744424</v>
      </c>
      <c r="E22">
        <v>11.248825999999999</v>
      </c>
      <c r="F22">
        <v>10.636991999999999</v>
      </c>
      <c r="G22">
        <v>10.306647999999999</v>
      </c>
      <c r="H22">
        <v>10.232926000000001</v>
      </c>
      <c r="I22">
        <v>10.266704000000001</v>
      </c>
      <c r="J22">
        <v>10.327029</v>
      </c>
      <c r="K22">
        <v>10.416157</v>
      </c>
      <c r="L22">
        <v>10.506455000000001</v>
      </c>
      <c r="M22">
        <v>10.767858</v>
      </c>
      <c r="N22">
        <v>11.037978000000001</v>
      </c>
      <c r="O22">
        <v>11.087603</v>
      </c>
      <c r="P22">
        <v>11.110117000000001</v>
      </c>
      <c r="Q22">
        <v>11.057221999999999</v>
      </c>
      <c r="R22">
        <v>10.870775999999999</v>
      </c>
      <c r="S22">
        <v>10.683223</v>
      </c>
      <c r="T22">
        <v>10.489708</v>
      </c>
      <c r="U22">
        <v>10.360969000000001</v>
      </c>
      <c r="V22">
        <v>10.347887999999999</v>
      </c>
      <c r="W22">
        <v>10.291373</v>
      </c>
      <c r="X22">
        <v>10.285494999999999</v>
      </c>
      <c r="Y22">
        <v>10.531058</v>
      </c>
      <c r="Z22">
        <v>10.817183999999999</v>
      </c>
      <c r="AA22">
        <v>10.977893</v>
      </c>
      <c r="AB22">
        <v>11.000182000000001</v>
      </c>
      <c r="AC22">
        <v>10.982328000000001</v>
      </c>
      <c r="AD22">
        <v>10.949363</v>
      </c>
      <c r="AE22" s="4">
        <v>-6.7696891733472875E-2</v>
      </c>
    </row>
    <row r="23" spans="1:31" x14ac:dyDescent="0.25">
      <c r="A23" t="s">
        <v>74</v>
      </c>
      <c r="B23" t="s">
        <v>47</v>
      </c>
      <c r="C23" t="s">
        <v>53</v>
      </c>
      <c r="D23">
        <v>15.295075000000001</v>
      </c>
      <c r="E23">
        <v>15.076636000000001</v>
      </c>
      <c r="F23">
        <v>14.486746999999999</v>
      </c>
      <c r="G23">
        <v>14.280809</v>
      </c>
      <c r="H23">
        <v>14.435097000000001</v>
      </c>
      <c r="I23">
        <v>14.764215</v>
      </c>
      <c r="J23">
        <v>15.155113999999999</v>
      </c>
      <c r="K23">
        <v>15.62959</v>
      </c>
      <c r="L23">
        <v>16.129169000000001</v>
      </c>
      <c r="M23">
        <v>16.896467000000001</v>
      </c>
      <c r="N23">
        <v>17.733340999999999</v>
      </c>
      <c r="O23">
        <v>18.245982999999999</v>
      </c>
      <c r="P23">
        <v>18.694863999999999</v>
      </c>
      <c r="Q23">
        <v>19.035250000000001</v>
      </c>
      <c r="R23">
        <v>19.145589999999999</v>
      </c>
      <c r="S23">
        <v>19.251218999999999</v>
      </c>
      <c r="T23">
        <v>19.354046</v>
      </c>
      <c r="U23">
        <v>19.567350000000001</v>
      </c>
      <c r="V23">
        <v>20.004486</v>
      </c>
      <c r="W23">
        <v>20.389258999999999</v>
      </c>
      <c r="X23">
        <v>20.867374000000002</v>
      </c>
      <c r="Y23">
        <v>21.845935999999998</v>
      </c>
      <c r="Z23">
        <v>22.958314999999999</v>
      </c>
      <c r="AA23">
        <v>23.869140999999999</v>
      </c>
      <c r="AB23">
        <v>24.531424999999999</v>
      </c>
      <c r="AC23">
        <v>25.114777</v>
      </c>
      <c r="AD23">
        <v>25.683824999999999</v>
      </c>
      <c r="AE23" s="4" cm="1">
        <f t="array" ref="AE23:AE27">(AD23:AD27-D23:D27)/D23:D27</f>
        <v>0.67922190639797431</v>
      </c>
    </row>
    <row r="24" spans="1:31" x14ac:dyDescent="0.25">
      <c r="A24" t="s">
        <v>74</v>
      </c>
      <c r="B24" t="s">
        <v>49</v>
      </c>
      <c r="C24" t="s">
        <v>53</v>
      </c>
      <c r="D24">
        <v>9.6194649999999999</v>
      </c>
      <c r="E24">
        <v>9.4195539999999998</v>
      </c>
      <c r="F24">
        <v>9.0685129999999994</v>
      </c>
      <c r="G24">
        <v>8.9162210000000002</v>
      </c>
      <c r="H24">
        <v>9.0211319999999997</v>
      </c>
      <c r="I24">
        <v>9.2108709999999991</v>
      </c>
      <c r="J24">
        <v>9.4368180000000006</v>
      </c>
      <c r="K24">
        <v>9.7136580000000006</v>
      </c>
      <c r="L24">
        <v>10.009967</v>
      </c>
      <c r="M24">
        <v>10.482200000000001</v>
      </c>
      <c r="N24">
        <v>10.987385</v>
      </c>
      <c r="O24">
        <v>11.276338000000001</v>
      </c>
      <c r="P24">
        <v>11.511324999999999</v>
      </c>
      <c r="Q24">
        <v>11.687536</v>
      </c>
      <c r="R24">
        <v>11.712569999999999</v>
      </c>
      <c r="S24">
        <v>11.723478999999999</v>
      </c>
      <c r="T24">
        <v>11.730872</v>
      </c>
      <c r="U24">
        <v>11.816943</v>
      </c>
      <c r="V24">
        <v>12.041957</v>
      </c>
      <c r="W24">
        <v>12.230655</v>
      </c>
      <c r="X24">
        <v>12.479899</v>
      </c>
      <c r="Y24">
        <v>13.059797</v>
      </c>
      <c r="Z24">
        <v>13.718856000000001</v>
      </c>
      <c r="AA24">
        <v>14.234982</v>
      </c>
      <c r="AB24">
        <v>14.577159</v>
      </c>
      <c r="AC24">
        <v>14.867296</v>
      </c>
      <c r="AD24">
        <v>15.138004</v>
      </c>
      <c r="AE24" s="4">
        <v>0.57368460720008863</v>
      </c>
    </row>
    <row r="25" spans="1:31" x14ac:dyDescent="0.25">
      <c r="A25" t="s">
        <v>74</v>
      </c>
      <c r="B25" t="s">
        <v>50</v>
      </c>
      <c r="C25" t="s">
        <v>53</v>
      </c>
      <c r="D25">
        <v>9.5231569999999994</v>
      </c>
      <c r="E25">
        <v>9.2628550000000001</v>
      </c>
      <c r="F25">
        <v>8.7139039999999994</v>
      </c>
      <c r="G25">
        <v>8.5441199999999995</v>
      </c>
      <c r="H25">
        <v>8.5929140000000004</v>
      </c>
      <c r="I25">
        <v>8.774934</v>
      </c>
      <c r="J25">
        <v>8.9922109999999993</v>
      </c>
      <c r="K25">
        <v>9.2712690000000002</v>
      </c>
      <c r="L25">
        <v>9.5505460000000006</v>
      </c>
      <c r="M25">
        <v>10.087535000000001</v>
      </c>
      <c r="N25">
        <v>10.584747</v>
      </c>
      <c r="O25">
        <v>10.830729</v>
      </c>
      <c r="P25">
        <v>11.154933</v>
      </c>
      <c r="Q25">
        <v>11.306411000000001</v>
      </c>
      <c r="R25">
        <v>11.326898</v>
      </c>
      <c r="S25">
        <v>11.344345000000001</v>
      </c>
      <c r="T25">
        <v>11.348940000000001</v>
      </c>
      <c r="U25">
        <v>11.444169</v>
      </c>
      <c r="V25">
        <v>11.703279</v>
      </c>
      <c r="W25">
        <v>11.866096000000001</v>
      </c>
      <c r="X25">
        <v>12.158894</v>
      </c>
      <c r="Y25">
        <v>12.843781</v>
      </c>
      <c r="Z25">
        <v>13.543430000000001</v>
      </c>
      <c r="AA25">
        <v>14.072113999999999</v>
      </c>
      <c r="AB25">
        <v>14.397591</v>
      </c>
      <c r="AC25">
        <v>14.689795</v>
      </c>
      <c r="AD25">
        <v>14.950202000000001</v>
      </c>
      <c r="AE25" s="4">
        <v>0.5698787702439434</v>
      </c>
    </row>
    <row r="26" spans="1:31" x14ac:dyDescent="0.25">
      <c r="A26" t="s">
        <v>74</v>
      </c>
      <c r="B26" t="s">
        <v>51</v>
      </c>
      <c r="C26" t="s">
        <v>53</v>
      </c>
      <c r="D26">
        <v>11.811895</v>
      </c>
      <c r="E26">
        <v>11.589483</v>
      </c>
      <c r="F26">
        <v>11.137874</v>
      </c>
      <c r="G26">
        <v>10.913119999999999</v>
      </c>
      <c r="H26">
        <v>11.016688</v>
      </c>
      <c r="I26">
        <v>11.230737</v>
      </c>
      <c r="J26">
        <v>11.500597000000001</v>
      </c>
      <c r="K26">
        <v>11.826961000000001</v>
      </c>
      <c r="L26">
        <v>12.189809</v>
      </c>
      <c r="M26">
        <v>12.745266000000001</v>
      </c>
      <c r="N26">
        <v>13.368865</v>
      </c>
      <c r="O26">
        <v>13.734126</v>
      </c>
      <c r="P26">
        <v>14.013864999999999</v>
      </c>
      <c r="Q26">
        <v>14.232013</v>
      </c>
      <c r="R26">
        <v>14.252321999999999</v>
      </c>
      <c r="S26">
        <v>14.267365</v>
      </c>
      <c r="T26">
        <v>14.278152</v>
      </c>
      <c r="U26">
        <v>14.365675</v>
      </c>
      <c r="V26">
        <v>14.626198</v>
      </c>
      <c r="W26">
        <v>14.849493000000001</v>
      </c>
      <c r="X26">
        <v>15.125802999999999</v>
      </c>
      <c r="Y26">
        <v>15.792183</v>
      </c>
      <c r="Z26">
        <v>16.573874</v>
      </c>
      <c r="AA26">
        <v>17.187746000000001</v>
      </c>
      <c r="AB26">
        <v>17.593498</v>
      </c>
      <c r="AC26">
        <v>17.924258999999999</v>
      </c>
      <c r="AD26">
        <v>18.236319999999999</v>
      </c>
      <c r="AE26" s="4">
        <v>0.5438945232750545</v>
      </c>
    </row>
    <row r="27" spans="1:31" x14ac:dyDescent="0.25">
      <c r="A27" t="s">
        <v>74</v>
      </c>
      <c r="B27" t="s">
        <v>52</v>
      </c>
      <c r="C27" t="s">
        <v>53</v>
      </c>
      <c r="D27">
        <v>11.744424</v>
      </c>
      <c r="E27">
        <v>11.479608000000001</v>
      </c>
      <c r="F27">
        <v>11.038537</v>
      </c>
      <c r="G27">
        <v>10.873984</v>
      </c>
      <c r="H27">
        <v>11.000062</v>
      </c>
      <c r="I27">
        <v>11.232142</v>
      </c>
      <c r="J27">
        <v>11.509251000000001</v>
      </c>
      <c r="K27">
        <v>11.847241</v>
      </c>
      <c r="L27">
        <v>12.202458999999999</v>
      </c>
      <c r="M27">
        <v>12.778228</v>
      </c>
      <c r="N27">
        <v>13.388813000000001</v>
      </c>
      <c r="O27">
        <v>13.74058</v>
      </c>
      <c r="P27">
        <v>14.053426999999999</v>
      </c>
      <c r="Q27">
        <v>14.277419999999999</v>
      </c>
      <c r="R27">
        <v>14.326669000000001</v>
      </c>
      <c r="S27">
        <v>14.367850000000001</v>
      </c>
      <c r="T27">
        <v>14.404411</v>
      </c>
      <c r="U27">
        <v>14.531454</v>
      </c>
      <c r="V27">
        <v>14.829648000000001</v>
      </c>
      <c r="W27">
        <v>15.077033</v>
      </c>
      <c r="X27">
        <v>15.404030000000001</v>
      </c>
      <c r="Y27">
        <v>16.127661</v>
      </c>
      <c r="Z27">
        <v>16.940514</v>
      </c>
      <c r="AA27">
        <v>17.584215</v>
      </c>
      <c r="AB27">
        <v>18.021687</v>
      </c>
      <c r="AC27">
        <v>18.398745000000002</v>
      </c>
      <c r="AD27">
        <v>18.754484000000001</v>
      </c>
      <c r="AE27" s="4">
        <v>0.59688410432048444</v>
      </c>
    </row>
    <row r="28" spans="1:31" x14ac:dyDescent="0.25">
      <c r="A28" t="s">
        <v>76</v>
      </c>
      <c r="B28" t="s">
        <v>54</v>
      </c>
      <c r="C28" t="s">
        <v>48</v>
      </c>
      <c r="D28">
        <v>8.4187139999999996</v>
      </c>
      <c r="E28">
        <v>8.0503119999999999</v>
      </c>
      <c r="F28">
        <v>7.424474</v>
      </c>
      <c r="G28">
        <v>7.0109240000000002</v>
      </c>
      <c r="H28">
        <v>6.8591490000000004</v>
      </c>
      <c r="I28">
        <v>6.8144039999999997</v>
      </c>
      <c r="J28">
        <v>6.8009570000000004</v>
      </c>
      <c r="K28">
        <v>6.8195670000000002</v>
      </c>
      <c r="L28">
        <v>6.8367630000000004</v>
      </c>
      <c r="M28">
        <v>7.0162820000000004</v>
      </c>
      <c r="N28">
        <v>7.1608850000000004</v>
      </c>
      <c r="O28">
        <v>7.0572299999999997</v>
      </c>
      <c r="P28">
        <v>6.9962289999999996</v>
      </c>
      <c r="Q28">
        <v>6.9099909999999998</v>
      </c>
      <c r="R28">
        <v>6.721857</v>
      </c>
      <c r="S28">
        <v>6.5276579999999997</v>
      </c>
      <c r="T28">
        <v>6.3239150000000004</v>
      </c>
      <c r="U28">
        <v>6.1770630000000004</v>
      </c>
      <c r="V28">
        <v>6.1408829999999996</v>
      </c>
      <c r="W28">
        <v>6.0597300000000001</v>
      </c>
      <c r="X28">
        <v>6.0315000000000003</v>
      </c>
      <c r="Y28">
        <v>6.2485350000000004</v>
      </c>
      <c r="Z28">
        <v>6.5093079999999999</v>
      </c>
      <c r="AA28">
        <v>6.641915</v>
      </c>
      <c r="AB28">
        <v>6.6338540000000004</v>
      </c>
      <c r="AC28">
        <v>6.5748239999999996</v>
      </c>
      <c r="AD28">
        <v>6.4957330000000004</v>
      </c>
      <c r="AE28" s="4" cm="1">
        <f t="array" ref="AE28:AE30">(AD28:AD30-D28:D30)/D28:D30</f>
        <v>-0.22841742812500807</v>
      </c>
    </row>
    <row r="29" spans="1:31" x14ac:dyDescent="0.25">
      <c r="A29" t="s">
        <v>76</v>
      </c>
      <c r="B29" t="s">
        <v>55</v>
      </c>
      <c r="C29" t="s">
        <v>48</v>
      </c>
      <c r="D29">
        <v>1.4076500000000001</v>
      </c>
      <c r="E29">
        <v>1.3778570000000001</v>
      </c>
      <c r="F29">
        <v>1.4184330000000001</v>
      </c>
      <c r="G29">
        <v>1.479112</v>
      </c>
      <c r="H29">
        <v>1.5345359999999999</v>
      </c>
      <c r="I29">
        <v>1.5894729999999999</v>
      </c>
      <c r="J29">
        <v>1.6438360000000001</v>
      </c>
      <c r="K29">
        <v>1.6975340000000001</v>
      </c>
      <c r="L29">
        <v>1.7574129999999999</v>
      </c>
      <c r="M29">
        <v>1.8271919999999999</v>
      </c>
      <c r="N29">
        <v>1.940164</v>
      </c>
      <c r="O29">
        <v>2.081629</v>
      </c>
      <c r="P29">
        <v>2.1548530000000001</v>
      </c>
      <c r="Q29">
        <v>2.1803900000000001</v>
      </c>
      <c r="R29">
        <v>2.172768</v>
      </c>
      <c r="S29">
        <v>2.1675049999999998</v>
      </c>
      <c r="T29">
        <v>2.1650019999999999</v>
      </c>
      <c r="U29">
        <v>2.1688369999999999</v>
      </c>
      <c r="V29">
        <v>2.1766220000000001</v>
      </c>
      <c r="W29">
        <v>2.1846899999999998</v>
      </c>
      <c r="X29">
        <v>2.1895539999999998</v>
      </c>
      <c r="Y29">
        <v>2.199179</v>
      </c>
      <c r="Z29">
        <v>2.2041140000000001</v>
      </c>
      <c r="AA29">
        <v>2.2118139999999999</v>
      </c>
      <c r="AB29">
        <v>2.2233770000000002</v>
      </c>
      <c r="AC29">
        <v>2.246604</v>
      </c>
      <c r="AD29">
        <v>2.2753670000000001</v>
      </c>
      <c r="AE29" s="4">
        <v>0.61642951017653536</v>
      </c>
    </row>
    <row r="30" spans="1:31" x14ac:dyDescent="0.25">
      <c r="A30" t="s">
        <v>76</v>
      </c>
      <c r="B30" t="s">
        <v>56</v>
      </c>
      <c r="C30" t="s">
        <v>48</v>
      </c>
      <c r="D30">
        <v>1.9180600000000001</v>
      </c>
      <c r="E30">
        <v>1.8206580000000001</v>
      </c>
      <c r="F30">
        <v>1.7940860000000001</v>
      </c>
      <c r="G30">
        <v>1.816611</v>
      </c>
      <c r="H30">
        <v>1.8392409999999999</v>
      </c>
      <c r="I30">
        <v>1.862827</v>
      </c>
      <c r="J30">
        <v>1.8822350000000001</v>
      </c>
      <c r="K30">
        <v>1.899057</v>
      </c>
      <c r="L30">
        <v>1.9122790000000001</v>
      </c>
      <c r="M30">
        <v>1.9243840000000001</v>
      </c>
      <c r="N30">
        <v>1.936928</v>
      </c>
      <c r="O30">
        <v>1.948744</v>
      </c>
      <c r="P30">
        <v>1.9590350000000001</v>
      </c>
      <c r="Q30">
        <v>1.9668399999999999</v>
      </c>
      <c r="R30">
        <v>1.976153</v>
      </c>
      <c r="S30">
        <v>1.9880599999999999</v>
      </c>
      <c r="T30">
        <v>2.000791</v>
      </c>
      <c r="U30">
        <v>2.0150700000000001</v>
      </c>
      <c r="V30">
        <v>2.0303819999999999</v>
      </c>
      <c r="W30">
        <v>2.0469529999999998</v>
      </c>
      <c r="X30">
        <v>2.064441</v>
      </c>
      <c r="Y30">
        <v>2.0833439999999999</v>
      </c>
      <c r="Z30">
        <v>2.1037620000000001</v>
      </c>
      <c r="AA30">
        <v>2.1241650000000001</v>
      </c>
      <c r="AB30">
        <v>2.1429510000000001</v>
      </c>
      <c r="AC30">
        <v>2.1608999999999998</v>
      </c>
      <c r="AD30">
        <v>2.1782620000000001</v>
      </c>
      <c r="AE30" s="4">
        <v>0.13565894706109299</v>
      </c>
    </row>
    <row r="31" spans="1:31" x14ac:dyDescent="0.25">
      <c r="A31" t="s">
        <v>77</v>
      </c>
      <c r="B31" t="s">
        <v>54</v>
      </c>
      <c r="C31" t="s">
        <v>53</v>
      </c>
      <c r="D31">
        <v>8.4187139999999996</v>
      </c>
      <c r="E31">
        <v>8.2154729999999994</v>
      </c>
      <c r="F31">
        <v>7.7047470000000002</v>
      </c>
      <c r="G31">
        <v>7.3968449999999999</v>
      </c>
      <c r="H31">
        <v>7.3733620000000002</v>
      </c>
      <c r="I31">
        <v>7.4552019999999999</v>
      </c>
      <c r="J31">
        <v>7.5795199999999996</v>
      </c>
      <c r="K31">
        <v>7.756513</v>
      </c>
      <c r="L31">
        <v>7.9403870000000003</v>
      </c>
      <c r="M31">
        <v>8.3262289999999997</v>
      </c>
      <c r="N31">
        <v>8.685988</v>
      </c>
      <c r="O31">
        <v>8.7458419999999997</v>
      </c>
      <c r="P31">
        <v>8.8496819999999996</v>
      </c>
      <c r="Q31">
        <v>8.92239</v>
      </c>
      <c r="R31">
        <v>8.8587799999999994</v>
      </c>
      <c r="S31">
        <v>8.7790379999999999</v>
      </c>
      <c r="T31">
        <v>8.6839659999999999</v>
      </c>
      <c r="U31">
        <v>8.6634460000000004</v>
      </c>
      <c r="V31">
        <v>8.8005530000000007</v>
      </c>
      <c r="W31">
        <v>8.8776050000000009</v>
      </c>
      <c r="X31">
        <v>9.0330519999999996</v>
      </c>
      <c r="Y31">
        <v>9.5692419999999991</v>
      </c>
      <c r="Z31">
        <v>10.194058999999999</v>
      </c>
      <c r="AA31">
        <v>10.638914</v>
      </c>
      <c r="AB31">
        <v>10.868297</v>
      </c>
      <c r="AC31">
        <v>11.014832</v>
      </c>
      <c r="AD31">
        <v>11.126137999999999</v>
      </c>
      <c r="AE31" s="4" cm="1">
        <f t="array" ref="AE31:AE33">(AD31:AD33-D31:D33)/D31:D33</f>
        <v>0.32159591120449033</v>
      </c>
    </row>
    <row r="32" spans="1:31" x14ac:dyDescent="0.25">
      <c r="A32" t="s">
        <v>77</v>
      </c>
      <c r="B32" t="s">
        <v>55</v>
      </c>
      <c r="C32" t="s">
        <v>53</v>
      </c>
      <c r="D32">
        <v>1.4076500000000001</v>
      </c>
      <c r="E32">
        <v>1.4061250000000001</v>
      </c>
      <c r="F32">
        <v>1.4719789999999999</v>
      </c>
      <c r="G32">
        <v>1.56053</v>
      </c>
      <c r="H32">
        <v>1.6495759999999999</v>
      </c>
      <c r="I32">
        <v>1.7389410000000001</v>
      </c>
      <c r="J32">
        <v>1.83202</v>
      </c>
      <c r="K32">
        <v>1.9307589999999999</v>
      </c>
      <c r="L32">
        <v>2.0411039999999998</v>
      </c>
      <c r="M32">
        <v>2.1683309999999998</v>
      </c>
      <c r="N32">
        <v>2.3533750000000002</v>
      </c>
      <c r="O32">
        <v>2.5797089999999998</v>
      </c>
      <c r="P32">
        <v>2.7257189999999998</v>
      </c>
      <c r="Q32">
        <v>2.8153860000000002</v>
      </c>
      <c r="R32">
        <v>2.863505</v>
      </c>
      <c r="S32">
        <v>2.9150740000000002</v>
      </c>
      <c r="T32">
        <v>2.9729700000000001</v>
      </c>
      <c r="U32">
        <v>3.0418340000000001</v>
      </c>
      <c r="V32">
        <v>3.1193360000000001</v>
      </c>
      <c r="W32">
        <v>3.2006079999999999</v>
      </c>
      <c r="X32">
        <v>3.2791769999999998</v>
      </c>
      <c r="Y32">
        <v>3.3679060000000001</v>
      </c>
      <c r="Z32">
        <v>3.4518059999999999</v>
      </c>
      <c r="AA32">
        <v>3.5428480000000002</v>
      </c>
      <c r="AB32">
        <v>3.642576</v>
      </c>
      <c r="AC32">
        <v>3.7637459999999998</v>
      </c>
      <c r="AD32">
        <v>3.897335</v>
      </c>
      <c r="AE32" s="4">
        <v>1.7686818456292399</v>
      </c>
    </row>
    <row r="33" spans="1:31" x14ac:dyDescent="0.25">
      <c r="A33" t="s">
        <v>77</v>
      </c>
      <c r="B33" t="s">
        <v>56</v>
      </c>
      <c r="C33" t="s">
        <v>53</v>
      </c>
      <c r="D33">
        <v>1.9180600000000001</v>
      </c>
      <c r="E33">
        <v>1.8580110000000001</v>
      </c>
      <c r="F33">
        <v>1.861812</v>
      </c>
      <c r="G33">
        <v>1.9166069999999999</v>
      </c>
      <c r="H33">
        <v>1.9771240000000001</v>
      </c>
      <c r="I33">
        <v>2.0379999999999998</v>
      </c>
      <c r="J33">
        <v>2.0977109999999999</v>
      </c>
      <c r="K33">
        <v>2.1599699999999999</v>
      </c>
      <c r="L33">
        <v>2.2209690000000002</v>
      </c>
      <c r="M33">
        <v>2.283668</v>
      </c>
      <c r="N33">
        <v>2.3494489999999999</v>
      </c>
      <c r="O33">
        <v>2.415028</v>
      </c>
      <c r="P33">
        <v>2.4780259999999998</v>
      </c>
      <c r="Q33">
        <v>2.539644</v>
      </c>
      <c r="R33">
        <v>2.6043850000000002</v>
      </c>
      <c r="S33">
        <v>2.6737380000000002</v>
      </c>
      <c r="T33">
        <v>2.7474759999999998</v>
      </c>
      <c r="U33">
        <v>2.826174</v>
      </c>
      <c r="V33">
        <v>2.9097580000000001</v>
      </c>
      <c r="W33">
        <v>2.9988199999999998</v>
      </c>
      <c r="X33">
        <v>3.0918009999999998</v>
      </c>
      <c r="Y33">
        <v>3.190512</v>
      </c>
      <c r="Z33">
        <v>3.2946469999999999</v>
      </c>
      <c r="AA33">
        <v>3.4024529999999999</v>
      </c>
      <c r="AB33">
        <v>3.5108139999999999</v>
      </c>
      <c r="AC33">
        <v>3.6201650000000001</v>
      </c>
      <c r="AD33">
        <v>3.7310110000000001</v>
      </c>
      <c r="AE33" s="4">
        <v>0.94520035869576546</v>
      </c>
    </row>
    <row r="34" spans="1:31" x14ac:dyDescent="0.25">
      <c r="A34" t="s">
        <v>57</v>
      </c>
      <c r="B34" t="s">
        <v>58</v>
      </c>
      <c r="C34" t="s">
        <v>59</v>
      </c>
      <c r="D34">
        <v>8.5852819999999994</v>
      </c>
      <c r="E34">
        <v>10.268585</v>
      </c>
      <c r="F34">
        <v>7.142881</v>
      </c>
      <c r="G34">
        <v>6.8609010000000001</v>
      </c>
      <c r="H34">
        <v>6.9337200000000001</v>
      </c>
      <c r="I34">
        <v>6.8514799999999996</v>
      </c>
      <c r="J34">
        <v>6.5491710000000003</v>
      </c>
      <c r="K34">
        <v>5.9937610000000001</v>
      </c>
      <c r="L34">
        <v>6.4797010000000004</v>
      </c>
      <c r="M34">
        <v>5.9771780000000003</v>
      </c>
      <c r="N34">
        <v>5.1502549999999996</v>
      </c>
      <c r="O34">
        <v>4.8171179999999998</v>
      </c>
      <c r="P34">
        <v>5.2773950000000003</v>
      </c>
      <c r="Q34">
        <v>3.7416079999999998</v>
      </c>
      <c r="R34">
        <v>3.4950890000000001</v>
      </c>
      <c r="S34">
        <v>3.2319610000000001</v>
      </c>
      <c r="T34">
        <v>3.0701529999999999</v>
      </c>
      <c r="U34">
        <v>3.075323</v>
      </c>
      <c r="V34">
        <v>3.4967009999999998</v>
      </c>
      <c r="W34">
        <v>3.2516479999999999</v>
      </c>
      <c r="X34">
        <v>3.2033700000000001</v>
      </c>
      <c r="Y34">
        <v>3.4430589999999999</v>
      </c>
      <c r="Z34">
        <v>3.4461919999999999</v>
      </c>
      <c r="AA34">
        <v>3.4008470000000002</v>
      </c>
      <c r="AB34">
        <v>3.1605349999999999</v>
      </c>
      <c r="AC34">
        <v>3.0830639999999998</v>
      </c>
      <c r="AD34">
        <v>3.114287</v>
      </c>
      <c r="AE34" s="4" cm="1">
        <f t="array" ref="AE34:AE38">(AD34:AD38-D34:D38)/D34:D38</f>
        <v>-0.63725280078161672</v>
      </c>
    </row>
    <row r="35" spans="1:31" x14ac:dyDescent="0.25">
      <c r="A35" t="s">
        <v>57</v>
      </c>
      <c r="B35" t="s">
        <v>60</v>
      </c>
      <c r="C35" t="s">
        <v>59</v>
      </c>
      <c r="D35">
        <v>31.479393000000002</v>
      </c>
      <c r="E35">
        <v>37.651454999999999</v>
      </c>
      <c r="F35">
        <v>26.190560999999999</v>
      </c>
      <c r="G35">
        <v>25.156638999999998</v>
      </c>
      <c r="H35">
        <v>25.423653000000002</v>
      </c>
      <c r="I35">
        <v>25.122095000000002</v>
      </c>
      <c r="J35">
        <v>24.013628000000001</v>
      </c>
      <c r="K35">
        <v>21.977125000000001</v>
      </c>
      <c r="L35">
        <v>23.758901999999999</v>
      </c>
      <c r="M35">
        <v>21.916329999999999</v>
      </c>
      <c r="N35">
        <v>18.884267999999999</v>
      </c>
      <c r="O35">
        <v>17.662770999999999</v>
      </c>
      <c r="P35">
        <v>19.350453999999999</v>
      </c>
      <c r="Q35">
        <v>13.719227</v>
      </c>
      <c r="R35">
        <v>12.815327999999999</v>
      </c>
      <c r="S35">
        <v>11.850526</v>
      </c>
      <c r="T35">
        <v>11.25723</v>
      </c>
      <c r="U35">
        <v>11.276185</v>
      </c>
      <c r="V35">
        <v>12.821239</v>
      </c>
      <c r="W35">
        <v>11.922708999999999</v>
      </c>
      <c r="X35">
        <v>11.745696000000001</v>
      </c>
      <c r="Y35">
        <v>12.624554</v>
      </c>
      <c r="Z35">
        <v>12.636036000000001</v>
      </c>
      <c r="AA35">
        <v>12.469772000000001</v>
      </c>
      <c r="AB35">
        <v>11.588626</v>
      </c>
      <c r="AC35">
        <v>11.304568</v>
      </c>
      <c r="AD35">
        <v>11.419053</v>
      </c>
      <c r="AE35" s="4">
        <v>-0.63725307536902009</v>
      </c>
    </row>
    <row r="36" spans="1:31" x14ac:dyDescent="0.25">
      <c r="A36" t="s">
        <v>57</v>
      </c>
      <c r="B36" t="s">
        <v>61</v>
      </c>
      <c r="C36" t="s">
        <v>59</v>
      </c>
      <c r="D36">
        <v>6.509E-3</v>
      </c>
      <c r="E36">
        <v>6.7070000000000003E-3</v>
      </c>
      <c r="F36">
        <v>1.4300000000000001E-4</v>
      </c>
      <c r="G36">
        <v>1.37E-4</v>
      </c>
      <c r="H36">
        <v>1.35E-4</v>
      </c>
      <c r="I36">
        <v>2.8699999999999998E-4</v>
      </c>
      <c r="J36">
        <v>1.1789999999999999E-3</v>
      </c>
      <c r="K36">
        <v>1.18E-4</v>
      </c>
      <c r="L36">
        <v>2.8E-5</v>
      </c>
      <c r="M36">
        <v>3.0000000000000001E-5</v>
      </c>
      <c r="N36">
        <v>3.0000000000000001E-5</v>
      </c>
      <c r="O36">
        <v>3.3000000000000003E-5</v>
      </c>
      <c r="P36">
        <v>3.4999999999999997E-5</v>
      </c>
      <c r="Q36">
        <v>4.3000000000000002E-5</v>
      </c>
      <c r="R36">
        <v>4.3000000000000002E-5</v>
      </c>
      <c r="S36">
        <v>2.1499999999999999E-4</v>
      </c>
      <c r="T36">
        <v>2.2100000000000001E-4</v>
      </c>
      <c r="U36">
        <v>2.24E-4</v>
      </c>
      <c r="V36">
        <v>2.2699999999999999E-4</v>
      </c>
      <c r="W36">
        <v>2.3000000000000001E-4</v>
      </c>
      <c r="X36">
        <v>2.33E-4</v>
      </c>
      <c r="Y36">
        <v>2.3599999999999999E-4</v>
      </c>
      <c r="Z36">
        <v>2.3800000000000001E-4</v>
      </c>
      <c r="AA36">
        <v>2.41E-4</v>
      </c>
      <c r="AB36">
        <v>2.41E-4</v>
      </c>
      <c r="AC36">
        <v>2.41E-4</v>
      </c>
      <c r="AD36">
        <v>2.43E-4</v>
      </c>
      <c r="AE36" s="4">
        <v>-0.96266707635581505</v>
      </c>
    </row>
    <row r="37" spans="1:31" x14ac:dyDescent="0.25">
      <c r="A37" t="s">
        <v>57</v>
      </c>
      <c r="B37" t="s">
        <v>62</v>
      </c>
      <c r="C37" t="s">
        <v>59</v>
      </c>
      <c r="D37">
        <v>9.5049999999999996E-3</v>
      </c>
      <c r="E37">
        <v>1.2584E-2</v>
      </c>
      <c r="F37">
        <v>8.0009999999999994E-3</v>
      </c>
      <c r="G37">
        <v>7.8050000000000003E-3</v>
      </c>
      <c r="H37">
        <v>6.6680000000000003E-3</v>
      </c>
      <c r="I37">
        <v>6.2700000000000004E-3</v>
      </c>
      <c r="J37">
        <v>8.2310000000000005E-3</v>
      </c>
      <c r="K37">
        <v>6.7739999999999996E-3</v>
      </c>
      <c r="L37">
        <v>6.7080000000000004E-3</v>
      </c>
      <c r="M37">
        <v>5.7520000000000002E-3</v>
      </c>
      <c r="N37">
        <v>5.4450000000000002E-3</v>
      </c>
      <c r="O37">
        <v>4.7829999999999999E-3</v>
      </c>
      <c r="P37">
        <v>5.0140000000000002E-3</v>
      </c>
      <c r="Q37">
        <v>4.0159999999999996E-3</v>
      </c>
      <c r="R37">
        <v>3.8409999999999998E-3</v>
      </c>
      <c r="S37">
        <v>3.8019999999999998E-3</v>
      </c>
      <c r="T37">
        <v>3.9680000000000002E-3</v>
      </c>
      <c r="U37">
        <v>3.839E-3</v>
      </c>
      <c r="V37">
        <v>4.1539999999999997E-3</v>
      </c>
      <c r="W37">
        <v>3.9240000000000004E-3</v>
      </c>
      <c r="X37">
        <v>3.0460000000000001E-3</v>
      </c>
      <c r="Y37">
        <v>3.2629999999999998E-3</v>
      </c>
      <c r="Z37">
        <v>3.3189999999999999E-3</v>
      </c>
      <c r="AA37">
        <v>3.2859999999999999E-3</v>
      </c>
      <c r="AB37">
        <v>3.088E-3</v>
      </c>
      <c r="AC37">
        <v>3.019E-3</v>
      </c>
      <c r="AD37">
        <v>3.0170000000000002E-3</v>
      </c>
      <c r="AE37" s="4">
        <v>-0.68258811152025245</v>
      </c>
    </row>
    <row r="38" spans="1:31" x14ac:dyDescent="0.25">
      <c r="A38" t="s">
        <v>57</v>
      </c>
      <c r="B38" t="s">
        <v>63</v>
      </c>
      <c r="C38" t="s">
        <v>64</v>
      </c>
      <c r="D38">
        <v>4.4263999999999998E-2</v>
      </c>
      <c r="E38">
        <v>5.3659999999999999E-2</v>
      </c>
      <c r="F38">
        <v>1.0900000000000001E-4</v>
      </c>
      <c r="G38">
        <v>8.7000000000000001E-5</v>
      </c>
      <c r="H38">
        <v>8.5000000000000006E-5</v>
      </c>
      <c r="I38">
        <v>8.2799999999999996E-4</v>
      </c>
      <c r="J38">
        <v>6.4510000000000001E-3</v>
      </c>
      <c r="K38">
        <v>5.3999999999999998E-5</v>
      </c>
      <c r="L38">
        <v>5.5999999999999999E-5</v>
      </c>
      <c r="M38">
        <v>5.5000000000000002E-5</v>
      </c>
      <c r="N38">
        <v>5.5000000000000002E-5</v>
      </c>
      <c r="O38">
        <v>9.9999999999999995E-7</v>
      </c>
      <c r="P38">
        <v>9.9999999999999995E-7</v>
      </c>
      <c r="Q38">
        <v>0</v>
      </c>
      <c r="R38">
        <v>0</v>
      </c>
      <c r="S38">
        <v>9.9999999999999995E-7</v>
      </c>
      <c r="T38">
        <v>9.9999999999999995E-7</v>
      </c>
      <c r="U38">
        <v>9.9999999999999995E-7</v>
      </c>
      <c r="V38">
        <v>9.9999999999999995E-7</v>
      </c>
      <c r="W38">
        <v>9.9999999999999995E-7</v>
      </c>
      <c r="X38">
        <v>9.9999999999999995E-7</v>
      </c>
      <c r="Y38">
        <v>9.9999999999999995E-7</v>
      </c>
      <c r="Z38">
        <v>9.9999999999999995E-7</v>
      </c>
      <c r="AA38">
        <v>9.9999999999999995E-7</v>
      </c>
      <c r="AB38">
        <v>0</v>
      </c>
      <c r="AC38">
        <v>0</v>
      </c>
      <c r="AD38">
        <v>0</v>
      </c>
      <c r="AE38" s="4">
        <v>-1</v>
      </c>
    </row>
    <row r="39" spans="1:31" x14ac:dyDescent="0.25">
      <c r="A39" t="s">
        <v>65</v>
      </c>
      <c r="B39" t="s">
        <v>66</v>
      </c>
      <c r="C39" t="s">
        <v>71</v>
      </c>
      <c r="D39" cm="1">
        <f t="array" ref="D39:D42">907185*D34:D37*10^6/(D17*10^9)</f>
        <v>75.26218086807539</v>
      </c>
      <c r="E39" cm="1">
        <f t="array" ref="E39:E42">907185*E34:E37*10^6/(E17*10^9)</f>
        <v>79.419591422050502</v>
      </c>
      <c r="F39" cm="1">
        <f t="array" ref="F39:F42">907185*F34:F37*10^6/(F17*10^9)</f>
        <v>58.987794863531754</v>
      </c>
      <c r="G39" cm="1">
        <f t="array" ref="G39:G42">907185*G34:G37*10^6/(G17*10^9)</f>
        <v>56.343926803294366</v>
      </c>
      <c r="H39" cm="1">
        <f t="array" ref="H39:H42">907185*H34:H37*10^6/(H17*10^9)</f>
        <v>55.933141182744905</v>
      </c>
      <c r="I39" cm="1">
        <f t="array" ref="I39:I42">907185*I34:I37*10^6/(I17*10^9)</f>
        <v>54.653516170496715</v>
      </c>
      <c r="J39" cm="1">
        <f t="array" ref="J39:J42">907185*J34:J37*10^6/(J17*10^9)</f>
        <v>53.557036655811892</v>
      </c>
      <c r="K39" cm="1">
        <f t="array" ref="K39:K42">907185*K34:K37*10^6/(K17*10^9)</f>
        <v>47.312847259126585</v>
      </c>
      <c r="L39" cm="1">
        <f t="array" ref="L39:L42">907185*L34:L37*10^6/(L17*10^9)</f>
        <v>48.331538063910941</v>
      </c>
      <c r="M39" cm="1">
        <f t="array" ref="M39:M42">907185*M34:M37*10^6/(M17*10^9)</f>
        <v>43.17522406123237</v>
      </c>
      <c r="N39" cm="1">
        <f t="array" ref="N39:N42">907185*N34:N37*10^6/(N17*10^9)</f>
        <v>31.747553292549647</v>
      </c>
      <c r="O39" cm="1">
        <f t="array" ref="O39:O42">907185*O34:O37*10^6/(O17*10^9)</f>
        <v>26.570057867412736</v>
      </c>
      <c r="P39" cm="1">
        <f t="array" ref="P39:P42">907185*P34:P37*10^6/(P17*10^9)</f>
        <v>27.386916002441907</v>
      </c>
      <c r="Q39" cm="1">
        <f t="array" ref="Q39:Q42">907185*Q34:Q37*10^6/(Q17*10^9)</f>
        <v>20.709466072041153</v>
      </c>
      <c r="R39" cm="1">
        <f t="array" ref="R39:R42">907185*R34:R37*10^6/(R17*10^9)</f>
        <v>19.425120027094884</v>
      </c>
      <c r="S39" cm="1">
        <f t="array" ref="S39:S42">907185*S34:S37*10^6/(S17*10^9)</f>
        <v>18.083681372515038</v>
      </c>
      <c r="T39" cm="1">
        <f t="array" ref="T39:T42">907185*T34:T37*10^6/(T17*10^9)</f>
        <v>17.197576171977097</v>
      </c>
      <c r="U39" cm="1">
        <f t="array" ref="U39:U42">907185*U34:U37*10^6/(U17*10^9)</f>
        <v>17.044657841075825</v>
      </c>
      <c r="V39" cm="1">
        <f t="array" ref="V39:V42">907185*V34:V37*10^6/(V17*10^9)</f>
        <v>18.794796121008435</v>
      </c>
      <c r="W39" cm="1">
        <f t="array" ref="W39:W42">907185*W34:W37*10^6/(W17*10^9)</f>
        <v>17.656893660635372</v>
      </c>
      <c r="X39" cm="1">
        <f t="array" ref="X39:X42">907185*X34:X37*10^6/(X17*10^9)</f>
        <v>17.286480373612928</v>
      </c>
      <c r="Y39" cm="1">
        <f t="array" ref="Y39:Y42">907185*Y34:Y37*10^6/(Y17*10^9)</f>
        <v>18.392123816403839</v>
      </c>
      <c r="Z39" cm="1">
        <f t="array" ref="Z39:Z42">907185*Z34:Z37*10^6/(Z17*10^9)</f>
        <v>18.556471801892165</v>
      </c>
      <c r="AA39" cm="1">
        <f t="array" ref="AA39:AA42">907185*AA34:AA37*10^6/(AA17*10^9)</f>
        <v>18.602578148124078</v>
      </c>
      <c r="AB39" cm="1">
        <f t="array" ref="AB39:AB42">907185*AB34:AB37*10^6/(AB17*10^9)</f>
        <v>17.393680792546277</v>
      </c>
      <c r="AC39" cm="1">
        <f t="array" ref="AC39:AC42">907185*AC34:AC37*10^6/(AC17*10^9)</f>
        <v>16.700700585373436</v>
      </c>
      <c r="AD39" cm="1">
        <f t="array" ref="AD39:AD42">907185*AD34:AD37*10^6/(AD17*10^9)</f>
        <v>16.429693780254478</v>
      </c>
      <c r="AE39" s="4" cm="1">
        <f t="array" ref="AE39:AE43">(AD39:AD43-D39:D43)/D39:D43</f>
        <v>-0.78170053550463081</v>
      </c>
    </row>
    <row r="40" spans="1:31" x14ac:dyDescent="0.25">
      <c r="A40" t="s">
        <v>65</v>
      </c>
      <c r="B40" t="s">
        <v>67</v>
      </c>
      <c r="C40" t="s">
        <v>71</v>
      </c>
      <c r="D40">
        <v>275.96155485436896</v>
      </c>
      <c r="E40">
        <v>291.20498808216712</v>
      </c>
      <c r="F40">
        <v>216.28855914424659</v>
      </c>
      <c r="G40">
        <v>206.59441470338956</v>
      </c>
      <c r="H40">
        <v>205.08828920552259</v>
      </c>
      <c r="I40">
        <v>200.39623925330804</v>
      </c>
      <c r="J40">
        <v>196.37580924899208</v>
      </c>
      <c r="K40">
        <v>173.48045047504101</v>
      </c>
      <c r="L40">
        <v>177.21562713614867</v>
      </c>
      <c r="M40">
        <v>158.30923194020801</v>
      </c>
      <c r="N40">
        <v>116.40769335125927</v>
      </c>
      <c r="O40">
        <v>97.42357309263744</v>
      </c>
      <c r="P40">
        <v>100.41872141598574</v>
      </c>
      <c r="Q40">
        <v>75.934696016025981</v>
      </c>
      <c r="R40">
        <v>71.225449362402443</v>
      </c>
      <c r="S40">
        <v>66.306844754842373</v>
      </c>
      <c r="T40">
        <v>63.057792367502778</v>
      </c>
      <c r="U40">
        <v>62.49708244554202</v>
      </c>
      <c r="V40">
        <v>68.914263193713765</v>
      </c>
      <c r="W40">
        <v>64.741941612284094</v>
      </c>
      <c r="X40">
        <v>63.383793747966635</v>
      </c>
      <c r="Y40">
        <v>67.437810474603054</v>
      </c>
      <c r="Z40">
        <v>68.040389427430128</v>
      </c>
      <c r="AA40">
        <v>68.209451386460344</v>
      </c>
      <c r="AB40">
        <v>63.776816731408587</v>
      </c>
      <c r="AC40">
        <v>61.235902146369277</v>
      </c>
      <c r="AD40">
        <v>60.242214044658134</v>
      </c>
      <c r="AE40" s="4">
        <v>-0.78170070074996756</v>
      </c>
    </row>
    <row r="41" spans="1:31" x14ac:dyDescent="0.25">
      <c r="A41" t="s">
        <v>65</v>
      </c>
      <c r="B41" t="s">
        <v>68</v>
      </c>
      <c r="C41" t="s">
        <v>71</v>
      </c>
      <c r="D41">
        <v>5.7060622501427759E-2</v>
      </c>
      <c r="E41">
        <v>5.1873476206088051E-2</v>
      </c>
      <c r="F41">
        <v>1.1809317088559981E-3</v>
      </c>
      <c r="G41">
        <v>1.1250880856685337E-3</v>
      </c>
      <c r="H41">
        <v>1.089022063145117E-3</v>
      </c>
      <c r="I41">
        <v>2.2893680111351939E-3</v>
      </c>
      <c r="J41">
        <v>9.6414868717280729E-3</v>
      </c>
      <c r="K41">
        <v>9.314545535894634E-4</v>
      </c>
      <c r="L41">
        <v>2.0884961602232976E-4</v>
      </c>
      <c r="M41">
        <v>2.1670037630416413E-4</v>
      </c>
      <c r="N41">
        <v>1.8492804701446616E-4</v>
      </c>
      <c r="O41">
        <v>1.8202001894589677E-4</v>
      </c>
      <c r="P41">
        <v>1.8163166867090044E-4</v>
      </c>
      <c r="Q41">
        <v>2.3800115915343606E-4</v>
      </c>
      <c r="R41">
        <v>2.3898680725013867E-4</v>
      </c>
      <c r="S41">
        <v>1.2029821817437566E-3</v>
      </c>
      <c r="T41">
        <v>1.2379397163616729E-3</v>
      </c>
      <c r="U41">
        <v>1.2414967001518167E-3</v>
      </c>
      <c r="V41">
        <v>1.2201268336837821E-3</v>
      </c>
      <c r="W41">
        <v>1.248931477806373E-3</v>
      </c>
      <c r="X41">
        <v>1.2573477078988103E-3</v>
      </c>
      <c r="Y41">
        <v>1.2606642002566046E-3</v>
      </c>
      <c r="Z41">
        <v>1.2815421453158545E-3</v>
      </c>
      <c r="AA41">
        <v>1.318266106560484E-3</v>
      </c>
      <c r="AB41">
        <v>1.3263188260859804E-3</v>
      </c>
      <c r="AC41">
        <v>1.3054769025472707E-3</v>
      </c>
      <c r="AD41">
        <v>1.2819677790138924E-3</v>
      </c>
      <c r="AE41" s="4">
        <v>-0.97753323180128615</v>
      </c>
    </row>
    <row r="42" spans="1:31" x14ac:dyDescent="0.25">
      <c r="A42" t="s">
        <v>65</v>
      </c>
      <c r="B42" t="s">
        <v>69</v>
      </c>
      <c r="C42" t="s">
        <v>71</v>
      </c>
      <c r="D42">
        <v>8.3324814391776122E-2</v>
      </c>
      <c r="E42">
        <v>9.7327542057165956E-2</v>
      </c>
      <c r="F42">
        <v>6.6074367850047847E-2</v>
      </c>
      <c r="G42">
        <v>6.409717159593363E-2</v>
      </c>
      <c r="H42">
        <v>5.3789623089271411E-2</v>
      </c>
      <c r="I42">
        <v>5.0015112995880372E-2</v>
      </c>
      <c r="J42">
        <v>6.7310499101945517E-2</v>
      </c>
      <c r="K42">
        <v>5.3471806322161232E-2</v>
      </c>
      <c r="L42">
        <v>5.0034400867063858E-2</v>
      </c>
      <c r="M42">
        <v>4.154868548338507E-2</v>
      </c>
      <c r="N42">
        <v>3.3564440533125607E-2</v>
      </c>
      <c r="O42">
        <v>2.6381871230855277E-2</v>
      </c>
      <c r="P42">
        <v>2.6020033906168433E-2</v>
      </c>
      <c r="Q42">
        <v>2.2228201282795328E-2</v>
      </c>
      <c r="R42">
        <v>2.1347635503436803E-2</v>
      </c>
      <c r="S42">
        <v>2.1273201185998892E-2</v>
      </c>
      <c r="T42">
        <v>2.2226899522729042E-2</v>
      </c>
      <c r="U42">
        <v>2.1277258178048323E-2</v>
      </c>
      <c r="V42">
        <v>2.2327783555605423E-2</v>
      </c>
      <c r="W42">
        <v>2.1307857038748729E-2</v>
      </c>
      <c r="X42">
        <v>1.6437258018282302E-2</v>
      </c>
      <c r="Y42">
        <v>1.7430285107785177E-2</v>
      </c>
      <c r="Z42">
        <v>1.7871589833207229E-2</v>
      </c>
      <c r="AA42">
        <v>1.7974366913517639E-2</v>
      </c>
      <c r="AB42">
        <v>1.6994491846280112E-2</v>
      </c>
      <c r="AC42">
        <v>1.6353671239793404E-2</v>
      </c>
      <c r="AD42">
        <v>1.5916447692530512E-2</v>
      </c>
      <c r="AE42" s="4">
        <v>-0.80898310054799927</v>
      </c>
    </row>
    <row r="43" spans="1:31" x14ac:dyDescent="0.25">
      <c r="A43" t="s">
        <v>65</v>
      </c>
      <c r="B43" t="s">
        <v>70</v>
      </c>
      <c r="C43" t="s">
        <v>71</v>
      </c>
      <c r="D43">
        <f>907185*D38/(D17*10^9)</f>
        <v>3.8803677898343801E-7</v>
      </c>
      <c r="E43">
        <f>907185*E38/(E17*10^9)</f>
        <v>4.1501874656607791E-7</v>
      </c>
      <c r="F43">
        <f>907185*F38/(F17*10^9)</f>
        <v>9.0015074311401264E-10</v>
      </c>
      <c r="G43">
        <f>907185*G38/(G17*10^9)</f>
        <v>7.1447199600848486E-10</v>
      </c>
      <c r="H43">
        <f>907185*H38/(H17*10^9)</f>
        <v>6.856805582765552E-10</v>
      </c>
      <c r="I43">
        <f>907185*I38/(I17*10^9)</f>
        <v>6.6048665965851585E-9</v>
      </c>
      <c r="J43">
        <f>907185*J38/(J17*10^9)</f>
        <v>5.2754225453365391E-8</v>
      </c>
      <c r="K43">
        <f>907185*K38/(K17*10^9)</f>
        <v>4.2625886350704259E-10</v>
      </c>
      <c r="L43">
        <f>907185*L38/(L17*10^9)</f>
        <v>4.1769923204465952E-10</v>
      </c>
      <c r="M43">
        <f>907185*M38/(M17*10^9)</f>
        <v>3.9728402322430093E-10</v>
      </c>
      <c r="N43">
        <f>907185*N38/(N17*10^9)</f>
        <v>3.3903475285985463E-10</v>
      </c>
      <c r="O43">
        <f>907185*O38/(O17*10^9)</f>
        <v>5.5157581498756584E-12</v>
      </c>
      <c r="P43">
        <f>907185*P38/(P17*10^9)</f>
        <v>5.1894762477400126E-12</v>
      </c>
      <c r="Q43">
        <f>907185*Q38/(Q17*10^9)</f>
        <v>0</v>
      </c>
      <c r="R43">
        <f>907185*R38/(R17*10^9)</f>
        <v>0</v>
      </c>
      <c r="S43">
        <f>907185*S38/(S17*10^9)</f>
        <v>5.5952659615988666E-12</v>
      </c>
      <c r="T43">
        <f>907185*T38/(T17*10^9)</f>
        <v>5.6015371781071157E-12</v>
      </c>
      <c r="U43">
        <f>907185*U38/(U17*10^9)</f>
        <v>5.5423959828206094E-12</v>
      </c>
      <c r="V43">
        <f>907185*V38/(V17*10^9)</f>
        <v>5.3750080779021234E-12</v>
      </c>
      <c r="W43">
        <f>907185*W38/(W17*10^9)</f>
        <v>5.4301368600277069E-12</v>
      </c>
      <c r="X43">
        <f>907185*X38/(X17*10^9)</f>
        <v>5.3963420939863101E-12</v>
      </c>
      <c r="Y43">
        <f>907185*Y38/(Y17*10^9)</f>
        <v>5.3417974587144268E-12</v>
      </c>
      <c r="Z43">
        <f>907185*Z38/(Z17*10^9)</f>
        <v>5.3846308626716577E-12</v>
      </c>
      <c r="AA43">
        <f>907185*AA38/(AA17*10^9)</f>
        <v>5.4699838446493106E-12</v>
      </c>
      <c r="AB43">
        <f>907185*AB38/(AB17*10^9)</f>
        <v>0</v>
      </c>
      <c r="AC43">
        <f>907185*AC38/(AC17*10^9)</f>
        <v>0</v>
      </c>
      <c r="AD43">
        <f>907185*AD38/(AD17*10^9)</f>
        <v>0</v>
      </c>
      <c r="AE43" s="4">
        <v>-1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E43"/>
  <sheetViews>
    <sheetView tabSelected="1" topLeftCell="C1" zoomScale="55" zoomScaleNormal="55" workbookViewId="0">
      <selection sqref="A1:A1048576"/>
    </sheetView>
  </sheetViews>
  <sheetFormatPr defaultRowHeight="15" x14ac:dyDescent="0.25"/>
  <cols>
    <col min="1" max="1" width="50.28515625" bestFit="1" customWidth="1"/>
    <col min="2" max="2" width="35.7109375" bestFit="1" customWidth="1"/>
    <col min="3" max="3" width="17.5703125" bestFit="1" customWidth="1"/>
    <col min="4" max="30" width="16" bestFit="1" customWidth="1"/>
    <col min="31" max="31" width="27.42578125" bestFit="1" customWidth="1"/>
  </cols>
  <sheetData>
    <row r="1" spans="1:31" s="3" customFormat="1" ht="15.75" thickBot="1" x14ac:dyDescent="0.3">
      <c r="A1" s="3" t="s">
        <v>72</v>
      </c>
      <c r="B1" s="1" t="s">
        <v>73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</row>
    <row r="2" spans="1:31" ht="15.75" thickTop="1" x14ac:dyDescent="0.25">
      <c r="A2" t="s">
        <v>29</v>
      </c>
      <c r="B2" t="s">
        <v>30</v>
      </c>
      <c r="C2" t="s">
        <v>31</v>
      </c>
      <c r="D2">
        <v>11.939692000000001</v>
      </c>
      <c r="E2">
        <v>15.780908999999999</v>
      </c>
      <c r="F2">
        <v>23.067352</v>
      </c>
      <c r="G2">
        <v>22.265716999999999</v>
      </c>
      <c r="H2">
        <v>18.616441999999999</v>
      </c>
      <c r="I2">
        <v>15.125031</v>
      </c>
      <c r="J2">
        <v>13.61904</v>
      </c>
      <c r="K2">
        <v>10.705784</v>
      </c>
      <c r="L2">
        <v>1.177584</v>
      </c>
      <c r="M2">
        <v>1.1734260000000001</v>
      </c>
      <c r="N2">
        <v>1.169851</v>
      </c>
      <c r="O2">
        <v>1.170965</v>
      </c>
      <c r="P2">
        <v>0.63245399999999996</v>
      </c>
      <c r="Q2">
        <v>5.2257999999999999E-2</v>
      </c>
      <c r="R2">
        <v>5.4967000000000002E-2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 s="4" cm="1">
        <f t="array" ref="AE2:AE17">(AD2:AD17-D2:D17)/D2:D17</f>
        <v>-1</v>
      </c>
    </row>
    <row r="3" spans="1:31" x14ac:dyDescent="0.25">
      <c r="A3" t="s">
        <v>29</v>
      </c>
      <c r="B3" t="s">
        <v>32</v>
      </c>
      <c r="C3" t="s">
        <v>31</v>
      </c>
      <c r="D3">
        <v>6.8975999999999996E-2</v>
      </c>
      <c r="E3">
        <v>8.4629999999999997E-2</v>
      </c>
      <c r="F3">
        <v>0.118559</v>
      </c>
      <c r="G3">
        <v>0.109264</v>
      </c>
      <c r="H3">
        <v>9.4326999999999994E-2</v>
      </c>
      <c r="I3">
        <v>7.8871999999999998E-2</v>
      </c>
      <c r="J3">
        <v>6.9403000000000006E-2</v>
      </c>
      <c r="K3">
        <v>5.3386000000000003E-2</v>
      </c>
      <c r="L3">
        <v>1.4795000000000001E-2</v>
      </c>
      <c r="M3">
        <v>1.4425E-2</v>
      </c>
      <c r="N3">
        <v>1.4425E-2</v>
      </c>
      <c r="O3">
        <v>1.4425E-2</v>
      </c>
      <c r="P3">
        <v>1.4425E-2</v>
      </c>
      <c r="Q3">
        <v>1.4425E-2</v>
      </c>
      <c r="R3">
        <v>1.4423E-2</v>
      </c>
      <c r="S3">
        <v>1.4425E-2</v>
      </c>
      <c r="T3">
        <v>1.4425E-2</v>
      </c>
      <c r="U3">
        <v>1.4425E-2</v>
      </c>
      <c r="V3">
        <v>1.4423E-2</v>
      </c>
      <c r="W3">
        <v>1.4423E-2</v>
      </c>
      <c r="X3">
        <v>1.4423E-2</v>
      </c>
      <c r="Y3">
        <v>1.4423E-2</v>
      </c>
      <c r="Z3">
        <v>1.281E-2</v>
      </c>
      <c r="AA3">
        <v>1.281E-2</v>
      </c>
      <c r="AB3">
        <v>1.281E-2</v>
      </c>
      <c r="AC3">
        <v>1.281E-2</v>
      </c>
      <c r="AD3">
        <v>1.281E-2</v>
      </c>
      <c r="AE3" s="4">
        <v>-0.81428322894919969</v>
      </c>
    </row>
    <row r="4" spans="1:31" x14ac:dyDescent="0.25">
      <c r="A4" t="s">
        <v>29</v>
      </c>
      <c r="B4" t="s">
        <v>33</v>
      </c>
      <c r="C4" t="s">
        <v>31</v>
      </c>
      <c r="D4">
        <v>183.71435500000001</v>
      </c>
      <c r="E4">
        <v>179.87849399999999</v>
      </c>
      <c r="F4">
        <v>173.57768200000001</v>
      </c>
      <c r="G4">
        <v>177.488495</v>
      </c>
      <c r="H4">
        <v>173.71043399999999</v>
      </c>
      <c r="I4">
        <v>173.140961</v>
      </c>
      <c r="J4">
        <v>167.24636799999999</v>
      </c>
      <c r="K4">
        <v>165.188278</v>
      </c>
      <c r="L4">
        <v>174.609497</v>
      </c>
      <c r="M4">
        <v>167.944275</v>
      </c>
      <c r="N4">
        <v>157.29191599999999</v>
      </c>
      <c r="O4">
        <v>156.72789</v>
      </c>
      <c r="P4">
        <v>152.80316199999999</v>
      </c>
      <c r="Q4">
        <v>131.48026999999999</v>
      </c>
      <c r="R4">
        <v>108.80764000000001</v>
      </c>
      <c r="S4">
        <v>98.225143000000003</v>
      </c>
      <c r="T4">
        <v>98.475594000000001</v>
      </c>
      <c r="U4">
        <v>101.44734200000001</v>
      </c>
      <c r="V4">
        <v>97.705939999999998</v>
      </c>
      <c r="W4">
        <v>106.280052</v>
      </c>
      <c r="X4">
        <v>113.073547</v>
      </c>
      <c r="Y4">
        <v>124.725487</v>
      </c>
      <c r="Z4">
        <v>121.232964</v>
      </c>
      <c r="AA4">
        <v>136.59535199999999</v>
      </c>
      <c r="AB4">
        <v>138.04351800000001</v>
      </c>
      <c r="AC4">
        <v>131.729614</v>
      </c>
      <c r="AD4">
        <v>130.91390999999999</v>
      </c>
      <c r="AE4" s="4">
        <v>-0.28740511322591</v>
      </c>
    </row>
    <row r="5" spans="1:31" x14ac:dyDescent="0.25">
      <c r="A5" t="s">
        <v>29</v>
      </c>
      <c r="B5" t="s">
        <v>34</v>
      </c>
      <c r="C5" t="s">
        <v>31</v>
      </c>
      <c r="D5">
        <v>102.886703</v>
      </c>
      <c r="E5">
        <v>104.481628</v>
      </c>
      <c r="F5">
        <v>104.243774</v>
      </c>
      <c r="G5">
        <v>104.006485</v>
      </c>
      <c r="H5">
        <v>104.006485</v>
      </c>
      <c r="I5">
        <v>104.006485</v>
      </c>
      <c r="J5">
        <v>104.00695</v>
      </c>
      <c r="K5">
        <v>104.007454</v>
      </c>
      <c r="L5">
        <v>104.008438</v>
      </c>
      <c r="M5">
        <v>104.005966</v>
      </c>
      <c r="N5">
        <v>104.005966</v>
      </c>
      <c r="O5">
        <v>104.005966</v>
      </c>
      <c r="P5">
        <v>104.005966</v>
      </c>
      <c r="Q5">
        <v>104.005966</v>
      </c>
      <c r="R5">
        <v>104.005966</v>
      </c>
      <c r="S5">
        <v>104.005966</v>
      </c>
      <c r="T5">
        <v>104.005966</v>
      </c>
      <c r="U5">
        <v>104.005966</v>
      </c>
      <c r="V5">
        <v>104.005966</v>
      </c>
      <c r="W5">
        <v>104.005966</v>
      </c>
      <c r="X5">
        <v>104.005966</v>
      </c>
      <c r="Y5">
        <v>104.005966</v>
      </c>
      <c r="Z5">
        <v>104.005966</v>
      </c>
      <c r="AA5">
        <v>104.005966</v>
      </c>
      <c r="AB5">
        <v>104.005966</v>
      </c>
      <c r="AC5">
        <v>104.005966</v>
      </c>
      <c r="AD5">
        <v>104.005966</v>
      </c>
      <c r="AE5" s="4">
        <v>1.0878597208037697E-2</v>
      </c>
    </row>
    <row r="6" spans="1:31" x14ac:dyDescent="0.25">
      <c r="A6" t="s">
        <v>29</v>
      </c>
      <c r="B6" t="s">
        <v>35</v>
      </c>
      <c r="C6" t="s">
        <v>31</v>
      </c>
      <c r="D6">
        <v>0.73892500000000005</v>
      </c>
      <c r="E6">
        <v>0.55719200000000002</v>
      </c>
      <c r="F6">
        <v>0.49488500000000002</v>
      </c>
      <c r="G6">
        <v>0.40075</v>
      </c>
      <c r="H6">
        <v>0.284746</v>
      </c>
      <c r="I6">
        <v>0.20493900000000001</v>
      </c>
      <c r="J6">
        <v>1.1681E-2</v>
      </c>
      <c r="K6">
        <v>-5.9875999999999999E-2</v>
      </c>
      <c r="L6">
        <v>-0.13408300000000001</v>
      </c>
      <c r="M6">
        <v>-0.41126099999999999</v>
      </c>
      <c r="N6">
        <v>-0.46421899999999999</v>
      </c>
      <c r="O6">
        <v>-0.42719299999999999</v>
      </c>
      <c r="P6">
        <v>-0.47317599999999999</v>
      </c>
      <c r="Q6">
        <v>-0.49580400000000002</v>
      </c>
      <c r="R6">
        <v>-0.44023200000000001</v>
      </c>
      <c r="S6">
        <v>-0.50956000000000001</v>
      </c>
      <c r="T6">
        <v>-0.58323000000000003</v>
      </c>
      <c r="U6">
        <v>-0.51024599999999998</v>
      </c>
      <c r="V6">
        <v>-0.53672200000000003</v>
      </c>
      <c r="W6">
        <v>-0.56476400000000004</v>
      </c>
      <c r="X6">
        <v>-0.56064000000000003</v>
      </c>
      <c r="Y6">
        <v>-0.52616700000000005</v>
      </c>
      <c r="Z6">
        <v>-0.54541200000000001</v>
      </c>
      <c r="AA6">
        <v>-0.54646799999999995</v>
      </c>
      <c r="AB6">
        <v>-0.56466000000000005</v>
      </c>
      <c r="AC6">
        <v>-0.63084799999999996</v>
      </c>
      <c r="AD6">
        <v>-0.67505099999999996</v>
      </c>
      <c r="AE6" s="4">
        <v>-1.9135582095611865</v>
      </c>
    </row>
    <row r="7" spans="1:31" x14ac:dyDescent="0.25">
      <c r="A7" t="s">
        <v>29</v>
      </c>
      <c r="B7" t="s">
        <v>36</v>
      </c>
      <c r="C7" t="s">
        <v>31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 s="4" t="e">
        <v>#DIV/0!</v>
      </c>
    </row>
    <row r="8" spans="1:31" x14ac:dyDescent="0.25">
      <c r="A8" t="s">
        <v>29</v>
      </c>
      <c r="B8" t="s">
        <v>37</v>
      </c>
      <c r="C8" t="s">
        <v>31</v>
      </c>
      <c r="D8">
        <v>4.5110970000000004</v>
      </c>
      <c r="E8">
        <v>4.8997609999999998</v>
      </c>
      <c r="F8">
        <v>5.0864969999999996</v>
      </c>
      <c r="G8">
        <v>5.2763229999999997</v>
      </c>
      <c r="H8">
        <v>5.278899</v>
      </c>
      <c r="I8">
        <v>5.2800219999999998</v>
      </c>
      <c r="J8">
        <v>5.2802300000000004</v>
      </c>
      <c r="K8">
        <v>5.2743570000000002</v>
      </c>
      <c r="L8">
        <v>5.2786520000000001</v>
      </c>
      <c r="M8">
        <v>5.2810699999999997</v>
      </c>
      <c r="N8">
        <v>5.278994</v>
      </c>
      <c r="O8">
        <v>5.2815200000000004</v>
      </c>
      <c r="P8">
        <v>5.2853570000000003</v>
      </c>
      <c r="Q8">
        <v>5.280748</v>
      </c>
      <c r="R8">
        <v>5.281174</v>
      </c>
      <c r="S8">
        <v>5.2806329999999999</v>
      </c>
      <c r="T8">
        <v>5.280284</v>
      </c>
      <c r="U8">
        <v>5.2822300000000002</v>
      </c>
      <c r="V8">
        <v>5.2817489999999996</v>
      </c>
      <c r="W8">
        <v>5.282648</v>
      </c>
      <c r="X8">
        <v>5.2831380000000001</v>
      </c>
      <c r="Y8">
        <v>5.2838830000000003</v>
      </c>
      <c r="Z8">
        <v>5.2830000000000004</v>
      </c>
      <c r="AA8">
        <v>5.2831159999999997</v>
      </c>
      <c r="AB8">
        <v>5.2834620000000001</v>
      </c>
      <c r="AC8">
        <v>5.2856909999999999</v>
      </c>
      <c r="AD8">
        <v>5.2838890000000003</v>
      </c>
      <c r="AE8" s="4">
        <v>0.17130910729696122</v>
      </c>
    </row>
    <row r="9" spans="1:31" x14ac:dyDescent="0.25">
      <c r="A9" t="s">
        <v>29</v>
      </c>
      <c r="B9" t="s">
        <v>38</v>
      </c>
      <c r="C9" t="s">
        <v>31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 s="4" t="e">
        <v>#DIV/0!</v>
      </c>
    </row>
    <row r="10" spans="1:31" x14ac:dyDescent="0.25">
      <c r="A10" t="s">
        <v>29</v>
      </c>
      <c r="B10" t="s">
        <v>39</v>
      </c>
      <c r="C10" t="s">
        <v>31</v>
      </c>
      <c r="D10">
        <v>1.4406540000000001</v>
      </c>
      <c r="E10">
        <v>1.5215129999999999</v>
      </c>
      <c r="F10">
        <v>1.5449349999999999</v>
      </c>
      <c r="G10">
        <v>1.5782659999999999</v>
      </c>
      <c r="H10">
        <v>1.621373</v>
      </c>
      <c r="I10">
        <v>1.6734070000000001</v>
      </c>
      <c r="J10">
        <v>1.713781</v>
      </c>
      <c r="K10">
        <v>1.757803</v>
      </c>
      <c r="L10">
        <v>1.8026359999999999</v>
      </c>
      <c r="M10">
        <v>1.8479859999999999</v>
      </c>
      <c r="N10">
        <v>1.9012119999999999</v>
      </c>
      <c r="O10">
        <v>1.933492</v>
      </c>
      <c r="P10">
        <v>1.975411</v>
      </c>
      <c r="Q10">
        <v>2.0188760000000001</v>
      </c>
      <c r="R10">
        <v>2.065725</v>
      </c>
      <c r="S10">
        <v>2.0874670000000002</v>
      </c>
      <c r="T10">
        <v>2.1208390000000001</v>
      </c>
      <c r="U10">
        <v>2.1619079999999999</v>
      </c>
      <c r="V10">
        <v>2.1963170000000001</v>
      </c>
      <c r="W10">
        <v>2.2308870000000001</v>
      </c>
      <c r="X10">
        <v>2.249066</v>
      </c>
      <c r="Y10">
        <v>2.2670089999999998</v>
      </c>
      <c r="Z10">
        <v>2.2849819999999998</v>
      </c>
      <c r="AA10">
        <v>2.3032360000000001</v>
      </c>
      <c r="AB10">
        <v>2.3345259999999999</v>
      </c>
      <c r="AC10">
        <v>2.3349549999999999</v>
      </c>
      <c r="AD10">
        <v>2.3244060000000002</v>
      </c>
      <c r="AE10" s="4">
        <v>0.6134380635461395</v>
      </c>
    </row>
    <row r="11" spans="1:31" x14ac:dyDescent="0.25">
      <c r="A11" t="s">
        <v>29</v>
      </c>
      <c r="B11" t="s">
        <v>40</v>
      </c>
      <c r="C11" t="s">
        <v>31</v>
      </c>
      <c r="D11">
        <v>1.913E-3</v>
      </c>
      <c r="E11">
        <v>2.183E-3</v>
      </c>
      <c r="F11">
        <v>1.536E-3</v>
      </c>
      <c r="G11">
        <v>1.536E-3</v>
      </c>
      <c r="H11">
        <v>1.536E-3</v>
      </c>
      <c r="I11">
        <v>1.536E-3</v>
      </c>
      <c r="J11">
        <v>1.536E-3</v>
      </c>
      <c r="K11">
        <v>1.536E-3</v>
      </c>
      <c r="L11">
        <v>1.536E-3</v>
      </c>
      <c r="M11">
        <v>1.536E-3</v>
      </c>
      <c r="N11">
        <v>1.536E-3</v>
      </c>
      <c r="O11">
        <v>1.536E-3</v>
      </c>
      <c r="P11">
        <v>1.536E-3</v>
      </c>
      <c r="Q11">
        <v>1.536E-3</v>
      </c>
      <c r="R11">
        <v>1.536E-3</v>
      </c>
      <c r="S11">
        <v>1.536E-3</v>
      </c>
      <c r="T11">
        <v>1.536E-3</v>
      </c>
      <c r="U11">
        <v>1.536E-3</v>
      </c>
      <c r="V11">
        <v>1.536E-3</v>
      </c>
      <c r="W11">
        <v>1.536E-3</v>
      </c>
      <c r="X11">
        <v>1.536E-3</v>
      </c>
      <c r="Y11">
        <v>1.536E-3</v>
      </c>
      <c r="Z11">
        <v>1.536E-3</v>
      </c>
      <c r="AA11">
        <v>1.536E-3</v>
      </c>
      <c r="AB11">
        <v>1.536E-3</v>
      </c>
      <c r="AC11">
        <v>1.536E-3</v>
      </c>
      <c r="AD11">
        <v>1.536E-3</v>
      </c>
      <c r="AE11" s="4">
        <v>-0.19707266074228957</v>
      </c>
    </row>
    <row r="12" spans="1:31" x14ac:dyDescent="0.25">
      <c r="A12" t="s">
        <v>29</v>
      </c>
      <c r="B12" t="s">
        <v>41</v>
      </c>
      <c r="C12" t="s">
        <v>31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s="4" t="e">
        <v>#DIV/0!</v>
      </c>
    </row>
    <row r="13" spans="1:31" x14ac:dyDescent="0.25">
      <c r="A13" t="s">
        <v>29</v>
      </c>
      <c r="B13" t="s">
        <v>42</v>
      </c>
      <c r="C13" t="s">
        <v>31</v>
      </c>
      <c r="D13">
        <v>2.744866</v>
      </c>
      <c r="E13">
        <v>3.488537</v>
      </c>
      <c r="F13">
        <v>5.2010569999999996</v>
      </c>
      <c r="G13">
        <v>5.3203560000000003</v>
      </c>
      <c r="H13">
        <v>5.3269099999999998</v>
      </c>
      <c r="I13">
        <v>5.3326120000000001</v>
      </c>
      <c r="J13">
        <v>5.33413</v>
      </c>
      <c r="K13">
        <v>5.2793840000000003</v>
      </c>
      <c r="L13">
        <v>9.6039220000000007</v>
      </c>
      <c r="M13">
        <v>15.872672</v>
      </c>
      <c r="N13">
        <v>17.186979000000001</v>
      </c>
      <c r="O13">
        <v>17.222286</v>
      </c>
      <c r="P13">
        <v>17.185068000000001</v>
      </c>
      <c r="Q13">
        <v>17.181090999999999</v>
      </c>
      <c r="R13">
        <v>19.400397999999999</v>
      </c>
      <c r="S13">
        <v>25.581828999999999</v>
      </c>
      <c r="T13">
        <v>26.966723999999999</v>
      </c>
      <c r="U13">
        <v>26.958438999999998</v>
      </c>
      <c r="V13">
        <v>26.957449</v>
      </c>
      <c r="W13">
        <v>27.017047999999999</v>
      </c>
      <c r="X13">
        <v>27.010014999999999</v>
      </c>
      <c r="Y13">
        <v>26.994592999999998</v>
      </c>
      <c r="Z13">
        <v>26.991816</v>
      </c>
      <c r="AA13">
        <v>26.999393000000001</v>
      </c>
      <c r="AB13">
        <v>29.642637000000001</v>
      </c>
      <c r="AC13">
        <v>40.477649999999997</v>
      </c>
      <c r="AD13">
        <v>50.724879999999999</v>
      </c>
      <c r="AE13" s="4">
        <v>17.479911223352978</v>
      </c>
    </row>
    <row r="14" spans="1:31" x14ac:dyDescent="0.25">
      <c r="A14" t="s">
        <v>29</v>
      </c>
      <c r="B14" t="s">
        <v>43</v>
      </c>
      <c r="C14" t="s">
        <v>31</v>
      </c>
      <c r="D14">
        <v>3.1438760000000001</v>
      </c>
      <c r="E14">
        <v>3.0320209999999999</v>
      </c>
      <c r="F14">
        <v>3.4589989999999999</v>
      </c>
      <c r="G14">
        <v>3.657273</v>
      </c>
      <c r="H14">
        <v>12.049313</v>
      </c>
      <c r="I14">
        <v>14.153235</v>
      </c>
      <c r="J14">
        <v>14.153845</v>
      </c>
      <c r="K14">
        <v>14.163038</v>
      </c>
      <c r="L14">
        <v>14.154040999999999</v>
      </c>
      <c r="M14">
        <v>14.156015</v>
      </c>
      <c r="N14">
        <v>14.153111000000001</v>
      </c>
      <c r="O14">
        <v>14.156548000000001</v>
      </c>
      <c r="P14">
        <v>14.158421000000001</v>
      </c>
      <c r="Q14">
        <v>44.420853000000001</v>
      </c>
      <c r="R14">
        <v>53.82188</v>
      </c>
      <c r="S14">
        <v>72.314384000000004</v>
      </c>
      <c r="T14">
        <v>76.829268999999996</v>
      </c>
      <c r="U14">
        <v>76.821678000000006</v>
      </c>
      <c r="V14">
        <v>76.874251999999998</v>
      </c>
      <c r="W14">
        <v>76.809867999999994</v>
      </c>
      <c r="X14">
        <v>76.834061000000005</v>
      </c>
      <c r="Y14">
        <v>76.833954000000006</v>
      </c>
      <c r="Z14">
        <v>76.856133</v>
      </c>
      <c r="AA14">
        <v>76.849502999999999</v>
      </c>
      <c r="AB14">
        <v>77.619468999999995</v>
      </c>
      <c r="AC14">
        <v>81.827095</v>
      </c>
      <c r="AD14">
        <v>82.818747999999999</v>
      </c>
      <c r="AE14" s="4">
        <v>25.34287993546819</v>
      </c>
    </row>
    <row r="15" spans="1:31" x14ac:dyDescent="0.25">
      <c r="A15" t="s">
        <v>29</v>
      </c>
      <c r="B15" t="s">
        <v>44</v>
      </c>
      <c r="C15" t="s">
        <v>31</v>
      </c>
      <c r="D15">
        <v>0</v>
      </c>
      <c r="E15">
        <v>5.4669819999999998</v>
      </c>
      <c r="F15">
        <v>13.565865000000001</v>
      </c>
      <c r="G15">
        <v>23.71686</v>
      </c>
      <c r="H15">
        <v>30.885079999999999</v>
      </c>
      <c r="I15">
        <v>38.009582999999999</v>
      </c>
      <c r="J15">
        <v>45.131610999999999</v>
      </c>
      <c r="K15">
        <v>52.25235</v>
      </c>
      <c r="L15">
        <v>55.942360000000001</v>
      </c>
      <c r="M15">
        <v>58.755710999999998</v>
      </c>
      <c r="N15">
        <v>61.579334000000003</v>
      </c>
      <c r="O15">
        <v>64.393600000000006</v>
      </c>
      <c r="P15">
        <v>67.264617999999999</v>
      </c>
      <c r="Q15">
        <v>70.082831999999996</v>
      </c>
      <c r="R15">
        <v>72.835967999999994</v>
      </c>
      <c r="S15">
        <v>75.679916000000006</v>
      </c>
      <c r="T15">
        <v>78.503822</v>
      </c>
      <c r="U15">
        <v>79.077309</v>
      </c>
      <c r="V15">
        <v>79.0989</v>
      </c>
      <c r="W15">
        <v>79.103522999999996</v>
      </c>
      <c r="X15">
        <v>79.104697999999999</v>
      </c>
      <c r="Y15">
        <v>79.104697999999999</v>
      </c>
      <c r="Z15">
        <v>79.073768999999999</v>
      </c>
      <c r="AA15">
        <v>79.073684999999998</v>
      </c>
      <c r="AB15">
        <v>79.073623999999995</v>
      </c>
      <c r="AC15">
        <v>79.101500999999999</v>
      </c>
      <c r="AD15">
        <v>79.070442</v>
      </c>
      <c r="AE15" s="4" t="e">
        <v>#DIV/0!</v>
      </c>
    </row>
    <row r="16" spans="1:31" x14ac:dyDescent="0.25">
      <c r="A16" t="s">
        <v>29</v>
      </c>
      <c r="B16" s="6" t="s">
        <v>45</v>
      </c>
      <c r="C16" t="s">
        <v>31</v>
      </c>
      <c r="D16">
        <v>0</v>
      </c>
      <c r="E16">
        <v>0</v>
      </c>
      <c r="F16">
        <v>4.6309999999999997E-3</v>
      </c>
      <c r="G16">
        <v>1.2701E-2</v>
      </c>
      <c r="H16">
        <v>1.8998000000000001E-2</v>
      </c>
      <c r="I16">
        <v>3.5732E-2</v>
      </c>
      <c r="J16">
        <v>4.9758999999999998E-2</v>
      </c>
      <c r="K16">
        <v>6.4207E-2</v>
      </c>
      <c r="L16">
        <v>0.18271399999999999</v>
      </c>
      <c r="M16">
        <v>0.20102400000000001</v>
      </c>
      <c r="N16">
        <v>0.22137299999999999</v>
      </c>
      <c r="O16">
        <v>0.24449799999999999</v>
      </c>
      <c r="P16">
        <v>0.27046599999999998</v>
      </c>
      <c r="Q16">
        <v>0.29658899999999999</v>
      </c>
      <c r="R16">
        <v>0.38281500000000002</v>
      </c>
      <c r="S16">
        <v>0.47509899999999999</v>
      </c>
      <c r="T16">
        <v>0.56281199999999998</v>
      </c>
      <c r="U16">
        <v>0.64274900000000001</v>
      </c>
      <c r="V16">
        <v>0.71389000000000002</v>
      </c>
      <c r="W16">
        <v>0.78453099999999998</v>
      </c>
      <c r="X16">
        <v>0.85491499999999998</v>
      </c>
      <c r="Y16">
        <v>0.92722000000000004</v>
      </c>
      <c r="Z16">
        <v>0.99921300000000002</v>
      </c>
      <c r="AA16">
        <v>1.0757369999999999</v>
      </c>
      <c r="AB16">
        <v>1.1564559999999999</v>
      </c>
      <c r="AC16">
        <v>1.2387900000000001</v>
      </c>
      <c r="AD16">
        <v>1.3268690000000001</v>
      </c>
      <c r="AE16" s="4" t="e">
        <v>#DIV/0!</v>
      </c>
    </row>
    <row r="17" spans="1:31" x14ac:dyDescent="0.25">
      <c r="A17" t="s">
        <v>29</v>
      </c>
      <c r="B17" s="6" t="s">
        <v>46</v>
      </c>
      <c r="C17" t="s">
        <v>31</v>
      </c>
      <c r="D17">
        <v>311.19107100000002</v>
      </c>
      <c r="E17">
        <v>319.193848</v>
      </c>
      <c r="F17">
        <v>330.36578400000002</v>
      </c>
      <c r="G17">
        <v>343.834045</v>
      </c>
      <c r="H17">
        <v>351.89456200000001</v>
      </c>
      <c r="I17">
        <v>357.04238900000001</v>
      </c>
      <c r="J17">
        <v>356.61837800000001</v>
      </c>
      <c r="K17">
        <v>358.68768299999999</v>
      </c>
      <c r="L17">
        <v>366.64205900000002</v>
      </c>
      <c r="M17">
        <v>368.84286500000002</v>
      </c>
      <c r="N17">
        <v>362.340485</v>
      </c>
      <c r="O17">
        <v>364.72555499999999</v>
      </c>
      <c r="P17">
        <v>363.12368800000002</v>
      </c>
      <c r="Q17">
        <v>374.33963</v>
      </c>
      <c r="R17">
        <v>366.23223899999999</v>
      </c>
      <c r="S17">
        <v>383.15685999999999</v>
      </c>
      <c r="T17">
        <v>392.17804000000001</v>
      </c>
      <c r="U17">
        <v>395.90335099999999</v>
      </c>
      <c r="V17">
        <v>392.31369000000001</v>
      </c>
      <c r="W17">
        <v>400.96575899999999</v>
      </c>
      <c r="X17">
        <v>407.87072799999999</v>
      </c>
      <c r="Y17">
        <v>419.63259900000003</v>
      </c>
      <c r="Z17">
        <v>416.196777</v>
      </c>
      <c r="AA17">
        <v>431.65386999999998</v>
      </c>
      <c r="AB17">
        <v>436.609375</v>
      </c>
      <c r="AC17">
        <v>445.38479599999999</v>
      </c>
      <c r="AD17">
        <v>455.80844100000002</v>
      </c>
      <c r="AE17" s="4">
        <v>0.4647221063743181</v>
      </c>
    </row>
    <row r="18" spans="1:31" x14ac:dyDescent="0.25">
      <c r="A18" t="s">
        <v>75</v>
      </c>
      <c r="B18" t="s">
        <v>47</v>
      </c>
      <c r="C18" t="s">
        <v>48</v>
      </c>
      <c r="D18">
        <v>15.556775</v>
      </c>
      <c r="E18">
        <v>15.369586</v>
      </c>
      <c r="F18">
        <v>15.372526000000001</v>
      </c>
      <c r="G18">
        <v>13.954822</v>
      </c>
      <c r="H18">
        <v>14.402677000000001</v>
      </c>
      <c r="I18">
        <v>14.533511000000001</v>
      </c>
      <c r="J18">
        <v>14.625707</v>
      </c>
      <c r="K18">
        <v>15.16783</v>
      </c>
      <c r="L18">
        <v>15.000614000000001</v>
      </c>
      <c r="M18">
        <v>15.412452999999999</v>
      </c>
      <c r="N18">
        <v>15.456529</v>
      </c>
      <c r="O18">
        <v>15.386049999999999</v>
      </c>
      <c r="P18">
        <v>15.100571</v>
      </c>
      <c r="Q18">
        <v>15.462028999999999</v>
      </c>
      <c r="R18">
        <v>15.403308000000001</v>
      </c>
      <c r="S18">
        <v>15.18566</v>
      </c>
      <c r="T18">
        <v>15.150131999999999</v>
      </c>
      <c r="U18">
        <v>15.224344</v>
      </c>
      <c r="V18">
        <v>15.333928999999999</v>
      </c>
      <c r="W18">
        <v>15.429268</v>
      </c>
      <c r="X18">
        <v>15.513909999999999</v>
      </c>
      <c r="Y18">
        <v>15.603629</v>
      </c>
      <c r="Z18">
        <v>15.725158</v>
      </c>
      <c r="AA18">
        <v>15.840624999999999</v>
      </c>
      <c r="AB18">
        <v>15.913867</v>
      </c>
      <c r="AC18">
        <v>15.988969000000001</v>
      </c>
      <c r="AD18">
        <v>16.022869</v>
      </c>
      <c r="AE18" s="4" cm="1">
        <f t="array" ref="AE18:AE22">(AD18:AD22-D18:D22)/D18:D22</f>
        <v>2.9960836998670998E-2</v>
      </c>
    </row>
    <row r="19" spans="1:31" x14ac:dyDescent="0.25">
      <c r="A19" t="s">
        <v>75</v>
      </c>
      <c r="B19" t="s">
        <v>49</v>
      </c>
      <c r="C19" t="s">
        <v>48</v>
      </c>
      <c r="D19">
        <v>13.316789</v>
      </c>
      <c r="E19">
        <v>13.098782999999999</v>
      </c>
      <c r="F19">
        <v>13.203284</v>
      </c>
      <c r="G19">
        <v>11.764125</v>
      </c>
      <c r="H19">
        <v>12.281644</v>
      </c>
      <c r="I19">
        <v>12.350671</v>
      </c>
      <c r="J19">
        <v>12.447755000000001</v>
      </c>
      <c r="K19">
        <v>13.027378000000001</v>
      </c>
      <c r="L19">
        <v>12.814947999999999</v>
      </c>
      <c r="M19">
        <v>13.222179000000001</v>
      </c>
      <c r="N19">
        <v>13.191554</v>
      </c>
      <c r="O19">
        <v>13.090451</v>
      </c>
      <c r="P19">
        <v>12.739255999999999</v>
      </c>
      <c r="Q19">
        <v>13.109646</v>
      </c>
      <c r="R19">
        <v>13.035294</v>
      </c>
      <c r="S19">
        <v>12.776135999999999</v>
      </c>
      <c r="T19">
        <v>12.709699000000001</v>
      </c>
      <c r="U19">
        <v>12.748377</v>
      </c>
      <c r="V19">
        <v>12.808149</v>
      </c>
      <c r="W19">
        <v>12.846354</v>
      </c>
      <c r="X19">
        <v>12.875104</v>
      </c>
      <c r="Y19">
        <v>12.900249000000001</v>
      </c>
      <c r="Z19">
        <v>12.950849</v>
      </c>
      <c r="AA19">
        <v>12.990542</v>
      </c>
      <c r="AB19">
        <v>12.9945</v>
      </c>
      <c r="AC19">
        <v>13.006281</v>
      </c>
      <c r="AD19">
        <v>12.952508</v>
      </c>
      <c r="AE19" s="4">
        <v>-2.7355017789949219E-2</v>
      </c>
    </row>
    <row r="20" spans="1:31" x14ac:dyDescent="0.25">
      <c r="A20" t="s">
        <v>75</v>
      </c>
      <c r="B20" t="s">
        <v>50</v>
      </c>
      <c r="C20" t="s">
        <v>48</v>
      </c>
      <c r="D20">
        <v>10.915366000000001</v>
      </c>
      <c r="E20">
        <v>10.726715</v>
      </c>
      <c r="F20">
        <v>10.440892</v>
      </c>
      <c r="G20">
        <v>9.1464890000000008</v>
      </c>
      <c r="H20">
        <v>9.4391359999999995</v>
      </c>
      <c r="I20">
        <v>9.5141329999999993</v>
      </c>
      <c r="J20">
        <v>9.5813469999999992</v>
      </c>
      <c r="K20">
        <v>9.9605049999999995</v>
      </c>
      <c r="L20">
        <v>9.9282339999999998</v>
      </c>
      <c r="M20">
        <v>10.319896</v>
      </c>
      <c r="N20">
        <v>10.323930000000001</v>
      </c>
      <c r="O20">
        <v>10.237380999999999</v>
      </c>
      <c r="P20">
        <v>9.9983170000000001</v>
      </c>
      <c r="Q20">
        <v>10.196187</v>
      </c>
      <c r="R20">
        <v>10.083648999999999</v>
      </c>
      <c r="S20">
        <v>9.8682230000000004</v>
      </c>
      <c r="T20">
        <v>9.7959409999999991</v>
      </c>
      <c r="U20">
        <v>9.8355739999999994</v>
      </c>
      <c r="V20">
        <v>9.9012700000000002</v>
      </c>
      <c r="W20">
        <v>9.9436780000000002</v>
      </c>
      <c r="X20">
        <v>9.9776439999999997</v>
      </c>
      <c r="Y20">
        <v>10.007695</v>
      </c>
      <c r="Z20">
        <v>10.062628999999999</v>
      </c>
      <c r="AA20">
        <v>10.102408</v>
      </c>
      <c r="AB20">
        <v>10.104317</v>
      </c>
      <c r="AC20">
        <v>10.110298</v>
      </c>
      <c r="AD20">
        <v>10.061394999999999</v>
      </c>
      <c r="AE20" s="4">
        <v>-7.8235672537228837E-2</v>
      </c>
    </row>
    <row r="21" spans="1:31" x14ac:dyDescent="0.25">
      <c r="A21" t="s">
        <v>75</v>
      </c>
      <c r="B21" t="s">
        <v>51</v>
      </c>
      <c r="C21" t="s">
        <v>48</v>
      </c>
      <c r="D21">
        <v>12.592727999999999</v>
      </c>
      <c r="E21">
        <v>12.431187</v>
      </c>
      <c r="F21">
        <v>12.225301999999999</v>
      </c>
      <c r="G21">
        <v>10.932465000000001</v>
      </c>
      <c r="H21">
        <v>11.2837</v>
      </c>
      <c r="I21">
        <v>11.389106999999999</v>
      </c>
      <c r="J21">
        <v>11.486943</v>
      </c>
      <c r="K21">
        <v>11.921942</v>
      </c>
      <c r="L21">
        <v>11.891033</v>
      </c>
      <c r="M21">
        <v>12.310969</v>
      </c>
      <c r="N21">
        <v>12.311667999999999</v>
      </c>
      <c r="O21">
        <v>12.237596999999999</v>
      </c>
      <c r="P21">
        <v>11.996935000000001</v>
      </c>
      <c r="Q21">
        <v>12.225676999999999</v>
      </c>
      <c r="R21">
        <v>12.146566</v>
      </c>
      <c r="S21">
        <v>11.943808000000001</v>
      </c>
      <c r="T21">
        <v>11.887025</v>
      </c>
      <c r="U21">
        <v>11.933901000000001</v>
      </c>
      <c r="V21">
        <v>12.00423</v>
      </c>
      <c r="W21">
        <v>12.05335</v>
      </c>
      <c r="X21">
        <v>12.087224000000001</v>
      </c>
      <c r="Y21">
        <v>12.124699</v>
      </c>
      <c r="Z21">
        <v>12.186667</v>
      </c>
      <c r="AA21">
        <v>12.233052000000001</v>
      </c>
      <c r="AB21">
        <v>12.242556</v>
      </c>
      <c r="AC21">
        <v>12.266671000000001</v>
      </c>
      <c r="AD21">
        <v>12.223417</v>
      </c>
      <c r="AE21" s="4">
        <v>-2.9327322880316302E-2</v>
      </c>
    </row>
    <row r="22" spans="1:31" x14ac:dyDescent="0.25">
      <c r="A22" t="s">
        <v>75</v>
      </c>
      <c r="B22" t="s">
        <v>52</v>
      </c>
      <c r="C22" t="s">
        <v>48</v>
      </c>
      <c r="D22">
        <v>13.787724000000001</v>
      </c>
      <c r="E22">
        <v>13.56658</v>
      </c>
      <c r="F22">
        <v>13.55965</v>
      </c>
      <c r="G22">
        <v>12.165105000000001</v>
      </c>
      <c r="H22">
        <v>12.622</v>
      </c>
      <c r="I22">
        <v>12.722432</v>
      </c>
      <c r="J22">
        <v>12.813169</v>
      </c>
      <c r="K22">
        <v>13.341221000000001</v>
      </c>
      <c r="L22">
        <v>13.180156</v>
      </c>
      <c r="M22">
        <v>13.586971999999999</v>
      </c>
      <c r="N22">
        <v>13.590460999999999</v>
      </c>
      <c r="O22">
        <v>13.502831</v>
      </c>
      <c r="P22">
        <v>13.197647</v>
      </c>
      <c r="Q22">
        <v>13.53511</v>
      </c>
      <c r="R22">
        <v>13.461537999999999</v>
      </c>
      <c r="S22">
        <v>13.229082</v>
      </c>
      <c r="T22">
        <v>13.176425</v>
      </c>
      <c r="U22">
        <v>13.231517</v>
      </c>
      <c r="V22">
        <v>13.314031</v>
      </c>
      <c r="W22">
        <v>13.377390999999999</v>
      </c>
      <c r="X22">
        <v>13.431452</v>
      </c>
      <c r="Y22">
        <v>13.483903</v>
      </c>
      <c r="Z22">
        <v>13.56439</v>
      </c>
      <c r="AA22">
        <v>13.633010000000001</v>
      </c>
      <c r="AB22">
        <v>13.661765000000001</v>
      </c>
      <c r="AC22">
        <v>13.694832999999999</v>
      </c>
      <c r="AD22">
        <v>13.673368</v>
      </c>
      <c r="AE22" s="4">
        <v>-8.29404476039706E-3</v>
      </c>
    </row>
    <row r="23" spans="1:31" x14ac:dyDescent="0.25">
      <c r="A23" t="s">
        <v>74</v>
      </c>
      <c r="B23" t="s">
        <v>47</v>
      </c>
      <c r="C23" t="s">
        <v>53</v>
      </c>
      <c r="D23">
        <v>15.556775</v>
      </c>
      <c r="E23">
        <v>15.684908999999999</v>
      </c>
      <c r="F23">
        <v>15.952837000000001</v>
      </c>
      <c r="G23">
        <v>14.722974000000001</v>
      </c>
      <c r="H23">
        <v>15.482408</v>
      </c>
      <c r="I23">
        <v>15.900183</v>
      </c>
      <c r="J23">
        <v>16.300034</v>
      </c>
      <c r="K23">
        <v>17.251750999999999</v>
      </c>
      <c r="L23">
        <v>17.422089</v>
      </c>
      <c r="M23">
        <v>18.289974000000001</v>
      </c>
      <c r="N23">
        <v>18.748412999999999</v>
      </c>
      <c r="O23">
        <v>19.067534999999999</v>
      </c>
      <c r="P23">
        <v>19.101037999999999</v>
      </c>
      <c r="Q23">
        <v>19.965038</v>
      </c>
      <c r="R23">
        <v>20.300122999999999</v>
      </c>
      <c r="S23">
        <v>20.423169999999999</v>
      </c>
      <c r="T23">
        <v>20.804081</v>
      </c>
      <c r="U23">
        <v>21.352429999999998</v>
      </c>
      <c r="V23">
        <v>21.975186999999998</v>
      </c>
      <c r="W23">
        <v>22.604133999999998</v>
      </c>
      <c r="X23">
        <v>23.234344</v>
      </c>
      <c r="Y23">
        <v>23.895987999999999</v>
      </c>
      <c r="Z23">
        <v>24.626764000000001</v>
      </c>
      <c r="AA23">
        <v>25.373262</v>
      </c>
      <c r="AB23">
        <v>26.071816999999999</v>
      </c>
      <c r="AC23">
        <v>26.786391999999999</v>
      </c>
      <c r="AD23">
        <v>27.444578</v>
      </c>
      <c r="AE23" s="4" cm="1">
        <f t="array" ref="AE23:AE27">(AD23:AD27-D23:D27)/D23:D27</f>
        <v>0.76415600277049711</v>
      </c>
    </row>
    <row r="24" spans="1:31" x14ac:dyDescent="0.25">
      <c r="A24" t="s">
        <v>74</v>
      </c>
      <c r="B24" t="s">
        <v>49</v>
      </c>
      <c r="C24" t="s">
        <v>53</v>
      </c>
      <c r="D24">
        <v>13.316789</v>
      </c>
      <c r="E24">
        <v>13.367519</v>
      </c>
      <c r="F24">
        <v>13.701706</v>
      </c>
      <c r="G24">
        <v>12.411689000000001</v>
      </c>
      <c r="H24">
        <v>13.202366</v>
      </c>
      <c r="I24">
        <v>13.512077</v>
      </c>
      <c r="J24">
        <v>13.872754</v>
      </c>
      <c r="K24">
        <v>14.817220000000001</v>
      </c>
      <c r="L24">
        <v>14.883599999999999</v>
      </c>
      <c r="M24">
        <v>15.690775</v>
      </c>
      <c r="N24">
        <v>16.001051</v>
      </c>
      <c r="O24">
        <v>16.222657999999999</v>
      </c>
      <c r="P24">
        <v>16.114160999999999</v>
      </c>
      <c r="Q24">
        <v>16.927572000000001</v>
      </c>
      <c r="R24">
        <v>17.179300000000001</v>
      </c>
      <c r="S24">
        <v>17.182606</v>
      </c>
      <c r="T24">
        <v>17.452891999999999</v>
      </c>
      <c r="U24">
        <v>17.879839</v>
      </c>
      <c r="V24">
        <v>18.355471000000001</v>
      </c>
      <c r="W24">
        <v>18.820122000000001</v>
      </c>
      <c r="X24">
        <v>19.282347000000001</v>
      </c>
      <c r="Y24">
        <v>19.755929999999999</v>
      </c>
      <c r="Z24">
        <v>20.28199</v>
      </c>
      <c r="AA24">
        <v>20.808046000000001</v>
      </c>
      <c r="AB24">
        <v>21.288996000000001</v>
      </c>
      <c r="AC24">
        <v>21.789480000000001</v>
      </c>
      <c r="AD24">
        <v>22.185549000000002</v>
      </c>
      <c r="AE24" s="4">
        <v>0.66598336881360831</v>
      </c>
    </row>
    <row r="25" spans="1:31" x14ac:dyDescent="0.25">
      <c r="A25" t="s">
        <v>74</v>
      </c>
      <c r="B25" t="s">
        <v>50</v>
      </c>
      <c r="C25" t="s">
        <v>53</v>
      </c>
      <c r="D25">
        <v>10.915366000000001</v>
      </c>
      <c r="E25">
        <v>10.946785</v>
      </c>
      <c r="F25">
        <v>10.835034</v>
      </c>
      <c r="G25">
        <v>9.6499629999999996</v>
      </c>
      <c r="H25">
        <v>10.146762000000001</v>
      </c>
      <c r="I25">
        <v>10.408803000000001</v>
      </c>
      <c r="J25">
        <v>10.678205</v>
      </c>
      <c r="K25">
        <v>11.328987</v>
      </c>
      <c r="L25">
        <v>11.530899</v>
      </c>
      <c r="M25">
        <v>12.246632</v>
      </c>
      <c r="N25">
        <v>12.522689</v>
      </c>
      <c r="O25">
        <v>12.686921999999999</v>
      </c>
      <c r="P25">
        <v>12.647086</v>
      </c>
      <c r="Q25">
        <v>13.165625</v>
      </c>
      <c r="R25">
        <v>13.289308</v>
      </c>
      <c r="S25">
        <v>13.271758</v>
      </c>
      <c r="T25">
        <v>13.451734999999999</v>
      </c>
      <c r="U25">
        <v>13.794579000000001</v>
      </c>
      <c r="V25">
        <v>14.189596</v>
      </c>
      <c r="W25">
        <v>14.567653999999999</v>
      </c>
      <c r="X25">
        <v>14.942977000000001</v>
      </c>
      <c r="Y25">
        <v>15.326162999999999</v>
      </c>
      <c r="Z25">
        <v>15.758823</v>
      </c>
      <c r="AA25">
        <v>16.181877</v>
      </c>
      <c r="AB25">
        <v>16.553984</v>
      </c>
      <c r="AC25">
        <v>16.937828</v>
      </c>
      <c r="AD25">
        <v>17.233540000000001</v>
      </c>
      <c r="AE25" s="4">
        <v>0.57883299561370649</v>
      </c>
    </row>
    <row r="26" spans="1:31" x14ac:dyDescent="0.25">
      <c r="A26" t="s">
        <v>74</v>
      </c>
      <c r="B26" t="s">
        <v>51</v>
      </c>
      <c r="C26" t="s">
        <v>53</v>
      </c>
      <c r="D26">
        <v>12.592727999999999</v>
      </c>
      <c r="E26">
        <v>12.686225</v>
      </c>
      <c r="F26">
        <v>12.686805</v>
      </c>
      <c r="G26">
        <v>11.534249000000001</v>
      </c>
      <c r="H26">
        <v>12.129609</v>
      </c>
      <c r="I26">
        <v>12.460091</v>
      </c>
      <c r="J26">
        <v>12.80195</v>
      </c>
      <c r="K26">
        <v>13.559907000000001</v>
      </c>
      <c r="L26">
        <v>13.810542999999999</v>
      </c>
      <c r="M26">
        <v>14.609439999999999</v>
      </c>
      <c r="N26">
        <v>14.933770000000001</v>
      </c>
      <c r="O26">
        <v>15.165737999999999</v>
      </c>
      <c r="P26">
        <v>15.175181</v>
      </c>
      <c r="Q26">
        <v>15.786163</v>
      </c>
      <c r="R26">
        <v>16.008040999999999</v>
      </c>
      <c r="S26">
        <v>16.063207999999999</v>
      </c>
      <c r="T26">
        <v>16.3232</v>
      </c>
      <c r="U26">
        <v>16.737521999999998</v>
      </c>
      <c r="V26">
        <v>17.203365000000002</v>
      </c>
      <c r="W26">
        <v>17.658358</v>
      </c>
      <c r="X26">
        <v>18.102383</v>
      </c>
      <c r="Y26">
        <v>18.568221999999999</v>
      </c>
      <c r="Z26">
        <v>19.085225999999999</v>
      </c>
      <c r="AA26">
        <v>19.594709000000002</v>
      </c>
      <c r="AB26">
        <v>20.057077</v>
      </c>
      <c r="AC26">
        <v>20.550411</v>
      </c>
      <c r="AD26">
        <v>20.936733</v>
      </c>
      <c r="AE26" s="4">
        <v>0.66260503681172189</v>
      </c>
    </row>
    <row r="27" spans="1:31" x14ac:dyDescent="0.25">
      <c r="A27" t="s">
        <v>74</v>
      </c>
      <c r="B27" t="s">
        <v>52</v>
      </c>
      <c r="C27" t="s">
        <v>53</v>
      </c>
      <c r="D27">
        <v>13.787724000000001</v>
      </c>
      <c r="E27">
        <v>13.844913</v>
      </c>
      <c r="F27">
        <v>14.071524999999999</v>
      </c>
      <c r="G27">
        <v>12.834742</v>
      </c>
      <c r="H27">
        <v>13.568237</v>
      </c>
      <c r="I27">
        <v>13.918797</v>
      </c>
      <c r="J27">
        <v>14.280001</v>
      </c>
      <c r="K27">
        <v>15.174182999999999</v>
      </c>
      <c r="L27">
        <v>15.307762</v>
      </c>
      <c r="M27">
        <v>16.123674000000001</v>
      </c>
      <c r="N27">
        <v>16.484915000000001</v>
      </c>
      <c r="O27">
        <v>16.733709000000001</v>
      </c>
      <c r="P27">
        <v>16.693988999999998</v>
      </c>
      <c r="Q27">
        <v>17.476944</v>
      </c>
      <c r="R27">
        <v>17.741050999999999</v>
      </c>
      <c r="S27">
        <v>17.791772999999999</v>
      </c>
      <c r="T27">
        <v>18.093798</v>
      </c>
      <c r="U27">
        <v>18.557451</v>
      </c>
      <c r="V27">
        <v>19.080452000000001</v>
      </c>
      <c r="W27">
        <v>19.598099000000001</v>
      </c>
      <c r="X27">
        <v>20.115561</v>
      </c>
      <c r="Y27">
        <v>20.649761000000002</v>
      </c>
      <c r="Z27">
        <v>21.242842</v>
      </c>
      <c r="AA27">
        <v>21.837139000000001</v>
      </c>
      <c r="AB27">
        <v>22.382180999999999</v>
      </c>
      <c r="AC27">
        <v>22.943016</v>
      </c>
      <c r="AD27">
        <v>23.420265000000001</v>
      </c>
      <c r="AE27" s="4">
        <v>0.69863169584769746</v>
      </c>
    </row>
    <row r="28" spans="1:31" x14ac:dyDescent="0.25">
      <c r="A28" t="s">
        <v>76</v>
      </c>
      <c r="B28" t="s">
        <v>54</v>
      </c>
      <c r="C28" t="s">
        <v>48</v>
      </c>
      <c r="D28">
        <v>6.6174860000000004</v>
      </c>
      <c r="E28">
        <v>6.3291940000000002</v>
      </c>
      <c r="F28">
        <v>6.1481760000000003</v>
      </c>
      <c r="G28">
        <v>4.5898630000000002</v>
      </c>
      <c r="H28">
        <v>4.8866189999999996</v>
      </c>
      <c r="I28">
        <v>4.8379529999999997</v>
      </c>
      <c r="J28">
        <v>4.8082140000000004</v>
      </c>
      <c r="K28">
        <v>5.2275229999999997</v>
      </c>
      <c r="L28">
        <v>4.9749639999999999</v>
      </c>
      <c r="M28">
        <v>5.2951620000000004</v>
      </c>
      <c r="N28">
        <v>5.2226840000000001</v>
      </c>
      <c r="O28">
        <v>5.0807469999999997</v>
      </c>
      <c r="P28">
        <v>4.7239820000000003</v>
      </c>
      <c r="Q28">
        <v>4.9959439999999997</v>
      </c>
      <c r="R28">
        <v>4.8523329999999998</v>
      </c>
      <c r="S28">
        <v>4.5623589999999998</v>
      </c>
      <c r="T28">
        <v>4.4509410000000003</v>
      </c>
      <c r="U28">
        <v>4.4642770000000001</v>
      </c>
      <c r="V28">
        <v>4.5009449999999998</v>
      </c>
      <c r="W28">
        <v>4.5132320000000004</v>
      </c>
      <c r="X28">
        <v>4.5128779999999997</v>
      </c>
      <c r="Y28">
        <v>4.5096920000000003</v>
      </c>
      <c r="Z28">
        <v>4.5279870000000004</v>
      </c>
      <c r="AA28">
        <v>4.5393129999999999</v>
      </c>
      <c r="AB28">
        <v>4.5148200000000003</v>
      </c>
      <c r="AC28">
        <v>4.4833860000000003</v>
      </c>
      <c r="AD28">
        <v>4.3943690000000002</v>
      </c>
      <c r="AE28" s="4" cm="1">
        <f t="array" ref="AE28:AE30">(AD28:AD30-D28:D30)/D28:D30</f>
        <v>-0.33594585617559297</v>
      </c>
    </row>
    <row r="29" spans="1:31" x14ac:dyDescent="0.25">
      <c r="A29" t="s">
        <v>76</v>
      </c>
      <c r="B29" t="s">
        <v>55</v>
      </c>
      <c r="C29" t="s">
        <v>48</v>
      </c>
      <c r="D29">
        <v>2.2423320000000002</v>
      </c>
      <c r="E29">
        <v>2.3064589999999998</v>
      </c>
      <c r="F29">
        <v>2.4251459999999998</v>
      </c>
      <c r="G29">
        <v>2.5370469999999998</v>
      </c>
      <c r="H29">
        <v>2.6476709999999999</v>
      </c>
      <c r="I29">
        <v>2.7503649999999999</v>
      </c>
      <c r="J29">
        <v>2.831664</v>
      </c>
      <c r="K29">
        <v>2.9066339999999999</v>
      </c>
      <c r="L29">
        <v>2.9736560000000001</v>
      </c>
      <c r="M29">
        <v>3.0399509999999998</v>
      </c>
      <c r="N29">
        <v>3.0987870000000002</v>
      </c>
      <c r="O29">
        <v>3.1382639999999999</v>
      </c>
      <c r="P29">
        <v>3.1778369999999998</v>
      </c>
      <c r="Q29">
        <v>3.2323050000000002</v>
      </c>
      <c r="R29">
        <v>3.2897650000000001</v>
      </c>
      <c r="S29">
        <v>3.3321010000000002</v>
      </c>
      <c r="T29">
        <v>3.3746649999999998</v>
      </c>
      <c r="U29">
        <v>3.3963220000000001</v>
      </c>
      <c r="V29">
        <v>3.4194460000000002</v>
      </c>
      <c r="W29">
        <v>3.4452729999999998</v>
      </c>
      <c r="X29">
        <v>3.4732989999999999</v>
      </c>
      <c r="Y29">
        <v>3.502589</v>
      </c>
      <c r="Z29">
        <v>3.5342720000000001</v>
      </c>
      <c r="AA29">
        <v>3.562713</v>
      </c>
      <c r="AB29">
        <v>3.5902910000000001</v>
      </c>
      <c r="AC29">
        <v>3.6293449999999998</v>
      </c>
      <c r="AD29">
        <v>3.6729750000000001</v>
      </c>
      <c r="AE29" s="4">
        <v>0.63801569080760556</v>
      </c>
    </row>
    <row r="30" spans="1:31" x14ac:dyDescent="0.25">
      <c r="A30" t="s">
        <v>76</v>
      </c>
      <c r="B30" t="s">
        <v>56</v>
      </c>
      <c r="C30" t="s">
        <v>48</v>
      </c>
      <c r="D30">
        <v>4.9279060000000001</v>
      </c>
      <c r="E30">
        <v>4.9309269999999996</v>
      </c>
      <c r="F30">
        <v>4.9863289999999996</v>
      </c>
      <c r="G30">
        <v>5.038195</v>
      </c>
      <c r="H30">
        <v>5.0877090000000003</v>
      </c>
      <c r="I30">
        <v>5.1341150000000004</v>
      </c>
      <c r="J30">
        <v>5.173292</v>
      </c>
      <c r="K30">
        <v>5.2070629999999998</v>
      </c>
      <c r="L30">
        <v>5.231535</v>
      </c>
      <c r="M30">
        <v>5.2518589999999996</v>
      </c>
      <c r="N30">
        <v>5.2689899999999996</v>
      </c>
      <c r="O30">
        <v>5.2838190000000003</v>
      </c>
      <c r="P30">
        <v>5.2958270000000001</v>
      </c>
      <c r="Q30">
        <v>5.3068609999999996</v>
      </c>
      <c r="R30">
        <v>5.3194400000000002</v>
      </c>
      <c r="S30">
        <v>5.3346220000000004</v>
      </c>
      <c r="T30">
        <v>5.3508199999999997</v>
      </c>
      <c r="U30">
        <v>5.3709170000000004</v>
      </c>
      <c r="V30">
        <v>5.3936390000000003</v>
      </c>
      <c r="W30">
        <v>5.4188859999999996</v>
      </c>
      <c r="X30">
        <v>5.4452749999999996</v>
      </c>
      <c r="Y30">
        <v>5.471622</v>
      </c>
      <c r="Z30">
        <v>5.5021300000000002</v>
      </c>
      <c r="AA30">
        <v>5.530983</v>
      </c>
      <c r="AB30">
        <v>5.5566560000000003</v>
      </c>
      <c r="AC30">
        <v>5.5821019999999999</v>
      </c>
      <c r="AD30">
        <v>5.6060239999999997</v>
      </c>
      <c r="AE30" s="4">
        <v>0.13760773845929683</v>
      </c>
    </row>
    <row r="31" spans="1:31" x14ac:dyDescent="0.25">
      <c r="A31" t="s">
        <v>77</v>
      </c>
      <c r="B31" t="s">
        <v>54</v>
      </c>
      <c r="C31" t="s">
        <v>53</v>
      </c>
      <c r="D31">
        <v>6.6174860000000004</v>
      </c>
      <c r="E31">
        <v>6.4590439999999996</v>
      </c>
      <c r="F31">
        <v>6.3802690000000002</v>
      </c>
      <c r="G31">
        <v>4.8425149999999997</v>
      </c>
      <c r="H31">
        <v>5.2529560000000002</v>
      </c>
      <c r="I31">
        <v>5.2928930000000003</v>
      </c>
      <c r="J31">
        <v>5.3586510000000001</v>
      </c>
      <c r="K31">
        <v>5.9457370000000003</v>
      </c>
      <c r="L31">
        <v>5.7780480000000001</v>
      </c>
      <c r="M31">
        <v>6.2837740000000002</v>
      </c>
      <c r="N31">
        <v>6.3349950000000002</v>
      </c>
      <c r="O31">
        <v>6.2964380000000002</v>
      </c>
      <c r="P31">
        <v>5.9754670000000001</v>
      </c>
      <c r="Q31">
        <v>6.450914</v>
      </c>
      <c r="R31">
        <v>6.3949220000000002</v>
      </c>
      <c r="S31">
        <v>6.1359089999999998</v>
      </c>
      <c r="T31">
        <v>6.1120080000000003</v>
      </c>
      <c r="U31">
        <v>6.2612319999999997</v>
      </c>
      <c r="V31">
        <v>6.4503440000000003</v>
      </c>
      <c r="W31">
        <v>6.6119599999999998</v>
      </c>
      <c r="X31">
        <v>6.7586940000000002</v>
      </c>
      <c r="Y31">
        <v>6.9063129999999999</v>
      </c>
      <c r="Z31">
        <v>7.091164</v>
      </c>
      <c r="AA31">
        <v>7.2709999999999999</v>
      </c>
      <c r="AB31">
        <v>7.3966659999999997</v>
      </c>
      <c r="AC31">
        <v>7.5110359999999998</v>
      </c>
      <c r="AD31">
        <v>7.5268430000000004</v>
      </c>
      <c r="AE31" s="4" cm="1">
        <f t="array" ref="AE31:AE33">(AD31:AD33-D31:D33)/D31:D33</f>
        <v>0.13741729109816023</v>
      </c>
    </row>
    <row r="32" spans="1:31" x14ac:dyDescent="0.25">
      <c r="A32" t="s">
        <v>77</v>
      </c>
      <c r="B32" t="s">
        <v>55</v>
      </c>
      <c r="C32" t="s">
        <v>53</v>
      </c>
      <c r="D32">
        <v>2.2423320000000002</v>
      </c>
      <c r="E32">
        <v>2.3537789999999998</v>
      </c>
      <c r="F32">
        <v>2.5166949999999999</v>
      </c>
      <c r="G32">
        <v>2.676701</v>
      </c>
      <c r="H32">
        <v>2.8461599999999998</v>
      </c>
      <c r="I32">
        <v>3.0089990000000002</v>
      </c>
      <c r="J32">
        <v>3.1558280000000001</v>
      </c>
      <c r="K32">
        <v>3.3059789999999998</v>
      </c>
      <c r="L32">
        <v>3.4536790000000002</v>
      </c>
      <c r="M32">
        <v>3.607513</v>
      </c>
      <c r="N32">
        <v>3.7587570000000001</v>
      </c>
      <c r="O32">
        <v>3.8891689999999999</v>
      </c>
      <c r="P32">
        <v>4.0197149999999997</v>
      </c>
      <c r="Q32">
        <v>4.1736500000000003</v>
      </c>
      <c r="R32">
        <v>4.335604</v>
      </c>
      <c r="S32">
        <v>4.481338</v>
      </c>
      <c r="T32">
        <v>4.6340719999999997</v>
      </c>
      <c r="U32">
        <v>4.7634059999999998</v>
      </c>
      <c r="V32">
        <v>4.9004380000000003</v>
      </c>
      <c r="W32">
        <v>5.047383</v>
      </c>
      <c r="X32">
        <v>5.2017720000000001</v>
      </c>
      <c r="Y32">
        <v>5.3639979999999996</v>
      </c>
      <c r="Z32">
        <v>5.5349329999999997</v>
      </c>
      <c r="AA32">
        <v>5.7066980000000003</v>
      </c>
      <c r="AB32">
        <v>5.882002</v>
      </c>
      <c r="AC32">
        <v>6.0802579999999997</v>
      </c>
      <c r="AD32">
        <v>6.2912119999999998</v>
      </c>
      <c r="AE32" s="4">
        <v>1.8056558975209733</v>
      </c>
    </row>
    <row r="33" spans="1:31" x14ac:dyDescent="0.25">
      <c r="A33" t="s">
        <v>77</v>
      </c>
      <c r="B33" t="s">
        <v>56</v>
      </c>
      <c r="C33" t="s">
        <v>53</v>
      </c>
      <c r="D33">
        <v>4.9279060000000001</v>
      </c>
      <c r="E33">
        <v>5.0320910000000003</v>
      </c>
      <c r="F33">
        <v>5.1745619999999999</v>
      </c>
      <c r="G33">
        <v>5.3155260000000002</v>
      </c>
      <c r="H33">
        <v>5.4691210000000003</v>
      </c>
      <c r="I33">
        <v>5.6169060000000002</v>
      </c>
      <c r="J33">
        <v>5.7655219999999998</v>
      </c>
      <c r="K33">
        <v>5.922466</v>
      </c>
      <c r="L33">
        <v>6.0760350000000001</v>
      </c>
      <c r="M33">
        <v>6.2323870000000001</v>
      </c>
      <c r="N33">
        <v>6.3911619999999996</v>
      </c>
      <c r="O33">
        <v>6.5480999999999998</v>
      </c>
      <c r="P33">
        <v>6.6988060000000003</v>
      </c>
      <c r="Q33">
        <v>6.8523800000000001</v>
      </c>
      <c r="R33">
        <v>7.0105259999999996</v>
      </c>
      <c r="S33">
        <v>7.174525</v>
      </c>
      <c r="T33">
        <v>7.3477170000000003</v>
      </c>
      <c r="U33">
        <v>7.532813</v>
      </c>
      <c r="V33">
        <v>7.7296709999999997</v>
      </c>
      <c r="W33">
        <v>7.9387569999999998</v>
      </c>
      <c r="X33">
        <v>8.1550940000000001</v>
      </c>
      <c r="Y33">
        <v>8.3794500000000003</v>
      </c>
      <c r="Z33">
        <v>8.6167440000000006</v>
      </c>
      <c r="AA33">
        <v>8.8594419999999996</v>
      </c>
      <c r="AB33">
        <v>9.1035149999999998</v>
      </c>
      <c r="AC33">
        <v>9.3517209999999995</v>
      </c>
      <c r="AD33">
        <v>9.6022110000000005</v>
      </c>
      <c r="AE33" s="4">
        <v>0.94853777649167825</v>
      </c>
    </row>
    <row r="34" spans="1:31" x14ac:dyDescent="0.25">
      <c r="A34" t="s">
        <v>57</v>
      </c>
      <c r="B34" t="s">
        <v>58</v>
      </c>
      <c r="C34" t="s">
        <v>59</v>
      </c>
      <c r="D34">
        <v>26.034915999999999</v>
      </c>
      <c r="E34">
        <v>26.546627000000001</v>
      </c>
      <c r="F34">
        <v>27.473316000000001</v>
      </c>
      <c r="G34">
        <v>27.804418999999999</v>
      </c>
      <c r="H34">
        <v>26.306941999999999</v>
      </c>
      <c r="I34">
        <v>25.339426</v>
      </c>
      <c r="J34">
        <v>24.148315</v>
      </c>
      <c r="K34">
        <v>23.087111</v>
      </c>
      <c r="L34">
        <v>21.406687000000002</v>
      </c>
      <c r="M34">
        <v>20.594080000000002</v>
      </c>
      <c r="N34">
        <v>19.242182</v>
      </c>
      <c r="O34">
        <v>19.250064999999999</v>
      </c>
      <c r="P34">
        <v>18.57865</v>
      </c>
      <c r="Q34">
        <v>15.86749</v>
      </c>
      <c r="R34">
        <v>13.264756</v>
      </c>
      <c r="S34">
        <v>12.079367</v>
      </c>
      <c r="T34">
        <v>12.126467999999999</v>
      </c>
      <c r="U34">
        <v>12.525238999999999</v>
      </c>
      <c r="V34">
        <v>12.061835</v>
      </c>
      <c r="W34">
        <v>13.124919999999999</v>
      </c>
      <c r="X34">
        <v>14.025966</v>
      </c>
      <c r="Y34">
        <v>15.608521</v>
      </c>
      <c r="Z34">
        <v>15.079226999999999</v>
      </c>
      <c r="AA34">
        <v>17.224861000000001</v>
      </c>
      <c r="AB34">
        <v>17.507957000000001</v>
      </c>
      <c r="AC34">
        <v>16.635131999999999</v>
      </c>
      <c r="AD34">
        <v>16.519098</v>
      </c>
      <c r="AE34" s="4" cm="1">
        <f t="array" ref="AE34:AE38">(AD34:AD38-D34:D38)/D34:D38</f>
        <v>-0.36550215871639452</v>
      </c>
    </row>
    <row r="35" spans="1:31" x14ac:dyDescent="0.25">
      <c r="A35" t="s">
        <v>57</v>
      </c>
      <c r="B35" t="s">
        <v>60</v>
      </c>
      <c r="C35" t="s">
        <v>59</v>
      </c>
      <c r="D35">
        <v>95.461319000000003</v>
      </c>
      <c r="E35">
        <v>97.337608000000003</v>
      </c>
      <c r="F35">
        <v>100.735474</v>
      </c>
      <c r="G35">
        <v>101.94961499999999</v>
      </c>
      <c r="H35">
        <v>96.458777999999995</v>
      </c>
      <c r="I35">
        <v>92.911277999999996</v>
      </c>
      <c r="J35">
        <v>88.543823000000003</v>
      </c>
      <c r="K35">
        <v>84.652739999999994</v>
      </c>
      <c r="L35">
        <v>78.491164999999995</v>
      </c>
      <c r="M35">
        <v>75.511619999999994</v>
      </c>
      <c r="N35">
        <v>70.554665</v>
      </c>
      <c r="O35">
        <v>70.583588000000006</v>
      </c>
      <c r="P35">
        <v>68.121703999999994</v>
      </c>
      <c r="Q35">
        <v>58.180809000000004</v>
      </c>
      <c r="R35">
        <v>48.637421000000003</v>
      </c>
      <c r="S35">
        <v>44.290993</v>
      </c>
      <c r="T35">
        <v>44.463718</v>
      </c>
      <c r="U35">
        <v>45.925868999999999</v>
      </c>
      <c r="V35">
        <v>44.226737999999997</v>
      </c>
      <c r="W35">
        <v>48.124695000000003</v>
      </c>
      <c r="X35">
        <v>51.428566000000004</v>
      </c>
      <c r="Y35">
        <v>57.231247000000003</v>
      </c>
      <c r="Z35">
        <v>55.290508000000003</v>
      </c>
      <c r="AA35">
        <v>63.157822000000003</v>
      </c>
      <c r="AB35">
        <v>64.195830999999998</v>
      </c>
      <c r="AC35">
        <v>60.995491000000001</v>
      </c>
      <c r="AD35">
        <v>60.570014999999998</v>
      </c>
      <c r="AE35" s="4">
        <v>-0.36550201029591894</v>
      </c>
    </row>
    <row r="36" spans="1:31" x14ac:dyDescent="0.25">
      <c r="A36" t="s">
        <v>57</v>
      </c>
      <c r="B36" t="s">
        <v>61</v>
      </c>
      <c r="C36" t="s">
        <v>59</v>
      </c>
      <c r="D36">
        <v>6.6796999999999995E-2</v>
      </c>
      <c r="E36">
        <v>4.8568E-2</v>
      </c>
      <c r="F36">
        <v>5.2228999999999998E-2</v>
      </c>
      <c r="G36">
        <v>4.8836999999999998E-2</v>
      </c>
      <c r="H36">
        <v>4.1424000000000002E-2</v>
      </c>
      <c r="I36">
        <v>3.8380999999999998E-2</v>
      </c>
      <c r="J36">
        <v>2.8920999999999999E-2</v>
      </c>
      <c r="K36">
        <v>2.9028000000000002E-2</v>
      </c>
      <c r="L36">
        <v>3.9090000000000001E-3</v>
      </c>
      <c r="M36">
        <v>4.1749999999999999E-3</v>
      </c>
      <c r="N36">
        <v>4.1879999999999999E-3</v>
      </c>
      <c r="O36">
        <v>4.3509999999999998E-3</v>
      </c>
      <c r="P36">
        <v>2.542E-3</v>
      </c>
      <c r="Q36">
        <v>5.6899999999999995E-4</v>
      </c>
      <c r="R36">
        <v>5.7799999999999995E-4</v>
      </c>
      <c r="S36">
        <v>1.3309999999999999E-3</v>
      </c>
      <c r="T36">
        <v>1.3470000000000001E-3</v>
      </c>
      <c r="U36">
        <v>1.366E-3</v>
      </c>
      <c r="V36">
        <v>1.384E-3</v>
      </c>
      <c r="W36">
        <v>1.4E-3</v>
      </c>
      <c r="X36">
        <v>1.4189999999999999E-3</v>
      </c>
      <c r="Y36">
        <v>1.4339999999999999E-3</v>
      </c>
      <c r="Z36">
        <v>1.4369999999999999E-3</v>
      </c>
      <c r="AA36">
        <v>1.4499999999999999E-3</v>
      </c>
      <c r="AB36">
        <v>1.459E-3</v>
      </c>
      <c r="AC36">
        <v>1.459E-3</v>
      </c>
      <c r="AD36">
        <v>1.464E-3</v>
      </c>
      <c r="AE36" s="4">
        <v>-0.97808284803209733</v>
      </c>
    </row>
    <row r="37" spans="1:31" x14ac:dyDescent="0.25">
      <c r="A37" t="s">
        <v>57</v>
      </c>
      <c r="B37" t="s">
        <v>62</v>
      </c>
      <c r="C37" t="s">
        <v>59</v>
      </c>
      <c r="D37">
        <v>2.5703E-2</v>
      </c>
      <c r="E37">
        <v>2.2575999999999999E-2</v>
      </c>
      <c r="F37">
        <v>2.1699E-2</v>
      </c>
      <c r="G37">
        <v>2.2287000000000001E-2</v>
      </c>
      <c r="H37">
        <v>2.0278000000000001E-2</v>
      </c>
      <c r="I37">
        <v>2.0681999999999999E-2</v>
      </c>
      <c r="J37">
        <v>2.3549E-2</v>
      </c>
      <c r="K37">
        <v>2.1930999999999999E-2</v>
      </c>
      <c r="L37">
        <v>2.0045E-2</v>
      </c>
      <c r="M37">
        <v>1.8516000000000001E-2</v>
      </c>
      <c r="N37">
        <v>1.7349E-2</v>
      </c>
      <c r="O37">
        <v>1.8023999999999998E-2</v>
      </c>
      <c r="P37">
        <v>1.506E-2</v>
      </c>
      <c r="Q37">
        <v>1.3575E-2</v>
      </c>
      <c r="R37">
        <v>1.2253999999999999E-2</v>
      </c>
      <c r="S37">
        <v>1.2187999999999999E-2</v>
      </c>
      <c r="T37">
        <v>1.2574999999999999E-2</v>
      </c>
      <c r="U37">
        <v>1.2743000000000001E-2</v>
      </c>
      <c r="V37">
        <v>1.2588E-2</v>
      </c>
      <c r="W37">
        <v>1.3331000000000001E-2</v>
      </c>
      <c r="X37">
        <v>1.4654E-2</v>
      </c>
      <c r="Y37">
        <v>1.6839E-2</v>
      </c>
      <c r="Z37">
        <v>1.5779000000000001E-2</v>
      </c>
      <c r="AA37">
        <v>1.9390000000000001E-2</v>
      </c>
      <c r="AB37">
        <v>2.0181999999999999E-2</v>
      </c>
      <c r="AC37">
        <v>1.883E-2</v>
      </c>
      <c r="AD37">
        <v>1.8473E-2</v>
      </c>
      <c r="AE37" s="4">
        <v>-0.2812901217756682</v>
      </c>
    </row>
    <row r="38" spans="1:31" x14ac:dyDescent="0.25">
      <c r="A38" t="s">
        <v>57</v>
      </c>
      <c r="B38" t="s">
        <v>63</v>
      </c>
      <c r="C38" t="s">
        <v>64</v>
      </c>
      <c r="D38">
        <v>0.235541</v>
      </c>
      <c r="E38">
        <v>0.25693500000000002</v>
      </c>
      <c r="F38">
        <v>0.29658099999999998</v>
      </c>
      <c r="G38">
        <v>0.29356399999999999</v>
      </c>
      <c r="H38">
        <v>0.26958799999999999</v>
      </c>
      <c r="I38">
        <v>0.24842</v>
      </c>
      <c r="J38">
        <v>0.23292199999999999</v>
      </c>
      <c r="K38">
        <v>0.21379999999999999</v>
      </c>
      <c r="L38">
        <v>8.5229999999999993E-3</v>
      </c>
      <c r="M38">
        <v>8.6800000000000002E-3</v>
      </c>
      <c r="N38">
        <v>8.7170000000000008E-3</v>
      </c>
      <c r="O38">
        <v>8.7770000000000001E-3</v>
      </c>
      <c r="P38">
        <v>4.7730000000000003E-3</v>
      </c>
      <c r="Q38">
        <v>5.8900000000000001E-4</v>
      </c>
      <c r="R38">
        <v>6.0899999999999995E-4</v>
      </c>
      <c r="S38">
        <v>1.4E-5</v>
      </c>
      <c r="T38">
        <v>1.4E-5</v>
      </c>
      <c r="U38">
        <v>1.4E-5</v>
      </c>
      <c r="V38">
        <v>1.4E-5</v>
      </c>
      <c r="W38">
        <v>1.4E-5</v>
      </c>
      <c r="X38">
        <v>1.4E-5</v>
      </c>
      <c r="Y38">
        <v>1.4E-5</v>
      </c>
      <c r="Z38">
        <v>1.7E-5</v>
      </c>
      <c r="AA38">
        <v>2.5000000000000001E-5</v>
      </c>
      <c r="AB38">
        <v>2.5999999999999998E-5</v>
      </c>
      <c r="AC38">
        <v>2.5999999999999998E-5</v>
      </c>
      <c r="AD38">
        <v>2.5000000000000001E-5</v>
      </c>
      <c r="AE38" s="4">
        <v>-0.99989386136596181</v>
      </c>
    </row>
    <row r="39" spans="1:31" x14ac:dyDescent="0.25">
      <c r="A39" t="s">
        <v>65</v>
      </c>
      <c r="B39" t="s">
        <v>66</v>
      </c>
      <c r="C39" t="s">
        <v>71</v>
      </c>
      <c r="D39" cm="1">
        <f t="array" ref="D39:D42">907185*D34:D37*10^6/(D17*10^9)</f>
        <v>75.897053201311167</v>
      </c>
      <c r="E39" cm="1">
        <f t="array" ref="E39:E42">907185*E34:E37*10^6/(E17*10^9)</f>
        <v>75.448514956951811</v>
      </c>
      <c r="F39" cm="1">
        <f t="array" ref="F39:F42">907185*F34:F37*10^6/(F17*10^9)</f>
        <v>75.441772067594016</v>
      </c>
      <c r="G39" cm="1">
        <f t="array" ref="G39:G42">907185*G34:G37*10^6/(G17*10^9)</f>
        <v>73.360251020270553</v>
      </c>
      <c r="H39" cm="1">
        <f t="array" ref="H39:H42">907185*H34:H37*10^6/(H17*10^9)</f>
        <v>67.819357715081708</v>
      </c>
      <c r="I39" cm="1">
        <f t="array" ref="I39:I42">907185*I34:I37*10^6/(I17*10^9)</f>
        <v>64.383243794086312</v>
      </c>
      <c r="J39" cm="1">
        <f t="array" ref="J39:J42">907185*J34:J37*10^6/(J17*10^9)</f>
        <v>61.429781791209315</v>
      </c>
      <c r="K39" cm="1">
        <f t="array" ref="K39:K42">907185*K34:K37*10^6/(K17*10^9)</f>
        <v>58.391413436226074</v>
      </c>
      <c r="L39" cm="1">
        <f t="array" ref="L39:L42">907185*L34:L37*10^6/(L17*10^9)</f>
        <v>52.966714727333027</v>
      </c>
      <c r="M39" cm="1">
        <f t="array" ref="M39:M42">907185*M34:M37*10^6/(M17*10^9)</f>
        <v>50.652031630868066</v>
      </c>
      <c r="N39" cm="1">
        <f t="array" ref="N39:N42">907185*N34:N37*10^6/(N17*10^9)</f>
        <v>48.17628611848329</v>
      </c>
      <c r="O39" cm="1">
        <f t="array" ref="O39:O42">907185*O34:O37*10^6/(O17*10^9)</f>
        <v>47.880851718835551</v>
      </c>
      <c r="P39" cm="1">
        <f t="array" ref="P39:P42">907185*P34:P37*10^6/(P17*10^9)</f>
        <v>46.414687769556906</v>
      </c>
      <c r="Q39" cm="1">
        <f t="array" ref="Q39:Q42">907185*Q34:Q37*10^6/(Q17*10^9)</f>
        <v>38.453713585307547</v>
      </c>
      <c r="R39" cm="1">
        <f t="array" ref="R39:R42">907185*R34:R37*10^6/(R17*10^9)</f>
        <v>32.857805486261412</v>
      </c>
      <c r="S39" cm="1">
        <f t="array" ref="S39:S42">907185*S34:S37*10^6/(S17*10^9)</f>
        <v>28.599828675636918</v>
      </c>
      <c r="T39" cm="1">
        <f t="array" ref="T39:T42">907185*T34:T37*10^6/(T17*10^9)</f>
        <v>28.050907369979207</v>
      </c>
      <c r="U39" cm="1">
        <f t="array" ref="U39:U42">907185*U34:U37*10^6/(U17*10^9)</f>
        <v>28.700714236225295</v>
      </c>
      <c r="V39" cm="1">
        <f t="array" ref="V39:V42">907185*V34:V37*10^6/(V17*10^9)</f>
        <v>27.891751074185049</v>
      </c>
      <c r="W39" cm="1">
        <f t="array" ref="W39:W42">907185*W34:W37*10^6/(W17*10^9)</f>
        <v>29.695130526594415</v>
      </c>
      <c r="X39" cm="1">
        <f t="array" ref="X39:X42">907185*X34:X37*10^6/(X17*10^9)</f>
        <v>31.196516671110562</v>
      </c>
      <c r="Y39" cm="1">
        <f t="array" ref="Y39:Y42">907185*Y34:Y37*10^6/(Y17*10^9)</f>
        <v>33.743365403756442</v>
      </c>
      <c r="Z39" cm="1">
        <f t="array" ref="Z39:Z42">907185*Z34:Z37*10^6/(Z17*10^9)</f>
        <v>32.868223162609922</v>
      </c>
      <c r="AA39" cm="1">
        <f t="array" ref="AA39:AA42">907185*AA34:AA37*10^6/(AA17*10^9)</f>
        <v>36.20061491927548</v>
      </c>
      <c r="AB39" cm="1">
        <f t="array" ref="AB39:AB42">907185*AB34:AB37*10^6/(AB17*10^9)</f>
        <v>36.377954484016747</v>
      </c>
      <c r="AC39" cm="1">
        <f t="array" ref="AC39:AC42">907185*AC34:AC37*10^6/(AC17*10^9)</f>
        <v>33.883379852553389</v>
      </c>
      <c r="AD39" cm="1">
        <f t="array" ref="AD39:AD42">907185*AD34:AD37*10^6/(AD17*10^9)</f>
        <v>32.877578761491165</v>
      </c>
      <c r="AE39" s="4" cm="1">
        <f t="array" ref="AE39:AE43">(AD39:AD43-D39:D43)/D39:D43</f>
        <v>-0.56681350098948002</v>
      </c>
    </row>
    <row r="40" spans="1:31" x14ac:dyDescent="0.25">
      <c r="A40" t="s">
        <v>65</v>
      </c>
      <c r="B40" t="s">
        <v>67</v>
      </c>
      <c r="C40" t="s">
        <v>71</v>
      </c>
      <c r="D40">
        <v>278.28907943510694</v>
      </c>
      <c r="E40">
        <v>276.64448568407244</v>
      </c>
      <c r="F40">
        <v>276.61978148648103</v>
      </c>
      <c r="G40">
        <v>268.98779463149145</v>
      </c>
      <c r="H40">
        <v>248.67095422727783</v>
      </c>
      <c r="I40">
        <v>236.07201925939947</v>
      </c>
      <c r="J40">
        <v>225.24253662623914</v>
      </c>
      <c r="K40">
        <v>214.10184842310289</v>
      </c>
      <c r="L40">
        <v>194.21123619787713</v>
      </c>
      <c r="M40">
        <v>185.72409958289418</v>
      </c>
      <c r="N40">
        <v>176.64637659251628</v>
      </c>
      <c r="O40">
        <v>175.56316359510373</v>
      </c>
      <c r="P40">
        <v>170.18715684348302</v>
      </c>
      <c r="Q40">
        <v>140.99697970173506</v>
      </c>
      <c r="R40">
        <v>120.47857635462016</v>
      </c>
      <c r="S40">
        <v>104.86599270258399</v>
      </c>
      <c r="T40">
        <v>102.85333164965076</v>
      </c>
      <c r="U40">
        <v>105.23593539566933</v>
      </c>
      <c r="V40">
        <v>102.2697762918495</v>
      </c>
      <c r="W40">
        <v>108.88211886834708</v>
      </c>
      <c r="X40">
        <v>114.38728117480889</v>
      </c>
      <c r="Y40">
        <v>123.72568035329164</v>
      </c>
      <c r="Z40">
        <v>120.51683788022223</v>
      </c>
      <c r="AA40">
        <v>132.73558453459481</v>
      </c>
      <c r="AB40">
        <v>133.38580955971227</v>
      </c>
      <c r="AC40">
        <v>124.23907371735922</v>
      </c>
      <c r="AD40">
        <v>120.55110023242197</v>
      </c>
      <c r="AE40" s="4">
        <v>-0.56681339965935396</v>
      </c>
    </row>
    <row r="41" spans="1:31" x14ac:dyDescent="0.25">
      <c r="A41" t="s">
        <v>65</v>
      </c>
      <c r="B41" t="s">
        <v>68</v>
      </c>
      <c r="C41" t="s">
        <v>71</v>
      </c>
      <c r="D41">
        <v>0.19472678393462001</v>
      </c>
      <c r="E41">
        <v>0.13803574647842209</v>
      </c>
      <c r="F41">
        <v>0.1434209220801147</v>
      </c>
      <c r="G41">
        <v>0.12885342358986004</v>
      </c>
      <c r="H41">
        <v>0.10679116842959341</v>
      </c>
      <c r="I41">
        <v>9.7519702303470748E-2</v>
      </c>
      <c r="J41">
        <v>7.3570794450195154E-2</v>
      </c>
      <c r="K41">
        <v>7.3416979249884093E-2</v>
      </c>
      <c r="L41">
        <v>9.6720659235660679E-3</v>
      </c>
      <c r="M41">
        <v>1.026859330734241E-2</v>
      </c>
      <c r="N41">
        <v>1.0485416168717664E-2</v>
      </c>
      <c r="O41">
        <v>1.0822279604180737E-2</v>
      </c>
      <c r="P41">
        <v>6.3506302293338682E-3</v>
      </c>
      <c r="Q41">
        <v>1.3789303179040915E-3</v>
      </c>
      <c r="R41">
        <v>1.4317497865063704E-3</v>
      </c>
      <c r="S41">
        <v>3.151354865472068E-3</v>
      </c>
      <c r="T41">
        <v>3.1158761337070282E-3</v>
      </c>
      <c r="U41">
        <v>3.1300940163044993E-3</v>
      </c>
      <c r="V41">
        <v>3.2003574486528879E-3</v>
      </c>
      <c r="W41">
        <v>3.1674998961694384E-3</v>
      </c>
      <c r="X41">
        <v>3.156136066229298E-3</v>
      </c>
      <c r="Y41">
        <v>3.1001006430389361E-3</v>
      </c>
      <c r="Z41">
        <v>3.1322319562316066E-3</v>
      </c>
      <c r="AA41">
        <v>3.0473913045190584E-3</v>
      </c>
      <c r="AB41">
        <v>3.0315036524353146E-3</v>
      </c>
      <c r="AC41">
        <v>2.9717739062650895E-3</v>
      </c>
      <c r="AD41">
        <v>2.9137653464385931E-3</v>
      </c>
      <c r="AE41" s="4">
        <v>-0.98503664833587101</v>
      </c>
    </row>
    <row r="42" spans="1:31" x14ac:dyDescent="0.25">
      <c r="A42" t="s">
        <v>65</v>
      </c>
      <c r="B42" t="s">
        <v>69</v>
      </c>
      <c r="C42" t="s">
        <v>71</v>
      </c>
      <c r="D42">
        <v>7.4929450835689304E-2</v>
      </c>
      <c r="E42">
        <v>6.4163544154522675E-2</v>
      </c>
      <c r="F42">
        <v>5.9585490593662693E-2</v>
      </c>
      <c r="G42">
        <v>5.8802880020214401E-2</v>
      </c>
      <c r="H42">
        <v>5.2276731204502103E-2</v>
      </c>
      <c r="I42">
        <v>5.2549503218790081E-2</v>
      </c>
      <c r="J42">
        <v>5.9905212077993354E-2</v>
      </c>
      <c r="K42">
        <v>5.5467402918878583E-2</v>
      </c>
      <c r="L42">
        <v>4.9597483099995364E-2</v>
      </c>
      <c r="M42">
        <v>4.5540903875150203E-2</v>
      </c>
      <c r="N42">
        <v>4.3436362251929976E-2</v>
      </c>
      <c r="O42">
        <v>4.4831249732418664E-2</v>
      </c>
      <c r="P42">
        <v>3.7624111429491763E-2</v>
      </c>
      <c r="Q42">
        <v>3.2898029992175823E-2</v>
      </c>
      <c r="R42">
        <v>3.0354086304237127E-2</v>
      </c>
      <c r="S42">
        <v>2.8857034635892981E-2</v>
      </c>
      <c r="T42">
        <v>2.9088450171763824E-2</v>
      </c>
      <c r="U42">
        <v>2.9199698425891832E-2</v>
      </c>
      <c r="V42">
        <v>2.910845344193826E-2</v>
      </c>
      <c r="W42">
        <v>3.0161386511310558E-2</v>
      </c>
      <c r="X42">
        <v>3.2593388241384171E-2</v>
      </c>
      <c r="Y42">
        <v>3.640348307401161E-2</v>
      </c>
      <c r="Z42">
        <v>3.4393519858996892E-2</v>
      </c>
      <c r="AA42">
        <v>4.0750977513534174E-2</v>
      </c>
      <c r="AB42">
        <v>4.1934069029094946E-2</v>
      </c>
      <c r="AC42">
        <v>3.8354011415333539E-2</v>
      </c>
      <c r="AD42">
        <v>3.6766384730027413E-2</v>
      </c>
      <c r="AE42" s="4">
        <v>-0.50931997605786028</v>
      </c>
    </row>
    <row r="43" spans="1:31" x14ac:dyDescent="0.25">
      <c r="A43" t="s">
        <v>65</v>
      </c>
      <c r="B43" t="s">
        <v>70</v>
      </c>
      <c r="C43" t="s">
        <v>71</v>
      </c>
      <c r="D43">
        <f>907185*D38/(D17*10^9)</f>
        <v>6.8664972101657756E-7</v>
      </c>
      <c r="E43">
        <f>907185*E38/(E17*10^9)</f>
        <v>7.3023831579297867E-7</v>
      </c>
      <c r="F43">
        <f>907185*F38/(F17*10^9)</f>
        <v>8.1441192616060988E-7</v>
      </c>
      <c r="G43">
        <f>907185*G38/(G17*10^9)</f>
        <v>7.7455057523463091E-7</v>
      </c>
      <c r="H43">
        <f>907185*H38/(H17*10^9)</f>
        <v>6.9499849156520925E-7</v>
      </c>
      <c r="I43">
        <f>907185*I38/(I17*10^9)</f>
        <v>6.3119367515771353E-7</v>
      </c>
      <c r="J43">
        <f>907185*J38/(J17*10^9)</f>
        <v>5.9251950433693008E-7</v>
      </c>
      <c r="K43">
        <f>907185*K38/(K17*10^9)</f>
        <v>5.4073825835831669E-7</v>
      </c>
      <c r="L43">
        <f>907185*L38/(L17*10^9)</f>
        <v>2.1088518256984803E-8</v>
      </c>
      <c r="M43">
        <f>907185*M38/(M17*10^9)</f>
        <v>2.1348835906043624E-8</v>
      </c>
      <c r="N43">
        <f>907185*N38/(N17*10^9)</f>
        <v>2.1824587569892998E-8</v>
      </c>
      <c r="O43">
        <f>907185*O38/(O17*10^9)</f>
        <v>2.1831107351389186E-8</v>
      </c>
      <c r="P43">
        <f>907185*P38/(P17*10^9)</f>
        <v>1.1924295076558047E-8</v>
      </c>
      <c r="Q43">
        <f>907185*Q38/(Q17*10^9)</f>
        <v>1.4273988703787519E-9</v>
      </c>
      <c r="R43">
        <f>907185*R38/(R17*10^9)</f>
        <v>1.5085391349176116E-9</v>
      </c>
      <c r="S43">
        <f>907185*S38/(S17*10^9)</f>
        <v>3.3147233746513115E-11</v>
      </c>
      <c r="T43">
        <f>907185*T38/(T17*10^9)</f>
        <v>3.2384755658424931E-11</v>
      </c>
      <c r="U43">
        <f>907185*U38/(U17*10^9)</f>
        <v>3.2080026521422394E-11</v>
      </c>
      <c r="V43">
        <f>907185*V38/(V17*10^9)</f>
        <v>3.2373558006604358E-11</v>
      </c>
      <c r="W43">
        <f>907185*W38/(W17*10^9)</f>
        <v>3.167499896169438E-11</v>
      </c>
      <c r="X43">
        <f>907185*X38/(X17*10^9)</f>
        <v>3.1138763162234092E-11</v>
      </c>
      <c r="Y43">
        <f>907185*Y38/(Y17*10^9)</f>
        <v>3.026597559452239E-11</v>
      </c>
      <c r="Z43">
        <f>907185*Z38/(Z17*10^9)</f>
        <v>3.7054936155836688E-11</v>
      </c>
      <c r="AA43">
        <f>907185*AA38/(AA17*10^9)</f>
        <v>5.2541229388259631E-11</v>
      </c>
      <c r="AB43">
        <f>907185*AB38/(AB17*10^9)</f>
        <v>5.4022683319614933E-11</v>
      </c>
      <c r="AC43">
        <f>907185*AC38/(AC17*10^9)</f>
        <v>5.2958273860789803E-11</v>
      </c>
      <c r="AD43">
        <f>907185*AD38/(AD17*10^9)</f>
        <v>4.9756921899566139E-11</v>
      </c>
      <c r="AE43" s="4">
        <v>-0.99992753667499357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E43"/>
  <sheetViews>
    <sheetView tabSelected="1" topLeftCell="C1" zoomScale="55" zoomScaleNormal="55" workbookViewId="0">
      <selection sqref="A1:A1048576"/>
    </sheetView>
  </sheetViews>
  <sheetFormatPr defaultRowHeight="15" x14ac:dyDescent="0.25"/>
  <cols>
    <col min="1" max="1" width="50.28515625" bestFit="1" customWidth="1"/>
    <col min="2" max="2" width="35.7109375" bestFit="1" customWidth="1"/>
    <col min="3" max="3" width="17.5703125" bestFit="1" customWidth="1"/>
    <col min="4" max="30" width="16" bestFit="1" customWidth="1"/>
    <col min="31" max="31" width="27.42578125" bestFit="1" customWidth="1"/>
  </cols>
  <sheetData>
    <row r="1" spans="1:31" s="3" customFormat="1" ht="15.75" thickBot="1" x14ac:dyDescent="0.3">
      <c r="A1" s="3" t="s">
        <v>72</v>
      </c>
      <c r="B1" s="1" t="s">
        <v>73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</row>
    <row r="2" spans="1:31" ht="15.75" thickTop="1" x14ac:dyDescent="0.25">
      <c r="A2" t="s">
        <v>29</v>
      </c>
      <c r="B2" t="s">
        <v>30</v>
      </c>
      <c r="C2" t="s">
        <v>31</v>
      </c>
      <c r="D2">
        <v>54.692222999999998</v>
      </c>
      <c r="E2">
        <v>56.202209000000003</v>
      </c>
      <c r="F2">
        <v>54.912083000000003</v>
      </c>
      <c r="G2">
        <v>40.125843000000003</v>
      </c>
      <c r="H2">
        <v>37.971561000000001</v>
      </c>
      <c r="I2">
        <v>32.555244000000002</v>
      </c>
      <c r="J2">
        <v>34.022511000000002</v>
      </c>
      <c r="K2">
        <v>32.754818</v>
      </c>
      <c r="L2">
        <v>2.440922</v>
      </c>
      <c r="M2">
        <v>2.4447489999999998</v>
      </c>
      <c r="N2">
        <v>2.287032</v>
      </c>
      <c r="O2">
        <v>2.2515179999999999</v>
      </c>
      <c r="P2">
        <v>2.0103559999999998</v>
      </c>
      <c r="Q2">
        <v>2.1788650000000001</v>
      </c>
      <c r="R2">
        <v>2.1487120000000002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 s="4" cm="1">
        <f t="array" ref="AE2:AE17">(AD2:AD17-D2:D17)/D2:D17</f>
        <v>-1</v>
      </c>
    </row>
    <row r="3" spans="1:31" x14ac:dyDescent="0.25">
      <c r="A3" t="s">
        <v>29</v>
      </c>
      <c r="B3" t="s">
        <v>32</v>
      </c>
      <c r="C3" t="s">
        <v>31</v>
      </c>
      <c r="D3">
        <v>0.239672</v>
      </c>
      <c r="E3">
        <v>0.243952</v>
      </c>
      <c r="F3">
        <v>0.24079100000000001</v>
      </c>
      <c r="G3">
        <v>0.175839</v>
      </c>
      <c r="H3">
        <v>0.16619500000000001</v>
      </c>
      <c r="I3">
        <v>0.13907600000000001</v>
      </c>
      <c r="J3">
        <v>0.13127</v>
      </c>
      <c r="K3">
        <v>0.121808</v>
      </c>
      <c r="L3">
        <v>1.63E-4</v>
      </c>
      <c r="M3">
        <v>1.46E-4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 s="4">
        <v>-1</v>
      </c>
    </row>
    <row r="4" spans="1:31" x14ac:dyDescent="0.25">
      <c r="A4" t="s">
        <v>29</v>
      </c>
      <c r="B4" t="s">
        <v>33</v>
      </c>
      <c r="C4" t="s">
        <v>31</v>
      </c>
      <c r="D4">
        <v>55.480339000000001</v>
      </c>
      <c r="E4">
        <v>53.860756000000002</v>
      </c>
      <c r="F4">
        <v>53.398860999999997</v>
      </c>
      <c r="G4">
        <v>60.954357000000002</v>
      </c>
      <c r="H4">
        <v>61.913643</v>
      </c>
      <c r="I4">
        <v>60.33173</v>
      </c>
      <c r="J4">
        <v>56.655842</v>
      </c>
      <c r="K4">
        <v>53.731731000000003</v>
      </c>
      <c r="L4">
        <v>58.822876000000001</v>
      </c>
      <c r="M4">
        <v>55.186549999999997</v>
      </c>
      <c r="N4">
        <v>45.232506000000001</v>
      </c>
      <c r="O4">
        <v>42.107360999999997</v>
      </c>
      <c r="P4">
        <v>38.488171000000001</v>
      </c>
      <c r="Q4">
        <v>31.110299999999999</v>
      </c>
      <c r="R4">
        <v>28.526926</v>
      </c>
      <c r="S4">
        <v>23.942307</v>
      </c>
      <c r="T4">
        <v>24.634459</v>
      </c>
      <c r="U4">
        <v>25.785101000000001</v>
      </c>
      <c r="V4">
        <v>26.277018000000002</v>
      </c>
      <c r="W4">
        <v>25.780301999999999</v>
      </c>
      <c r="X4">
        <v>25.999409</v>
      </c>
      <c r="Y4">
        <v>25.719073999999999</v>
      </c>
      <c r="Z4">
        <v>26.261612</v>
      </c>
      <c r="AA4">
        <v>25.851396999999999</v>
      </c>
      <c r="AB4">
        <v>27.028551</v>
      </c>
      <c r="AC4">
        <v>27.826754000000001</v>
      </c>
      <c r="AD4">
        <v>29.830373999999999</v>
      </c>
      <c r="AE4" s="4">
        <v>-0.46232531131433791</v>
      </c>
    </row>
    <row r="5" spans="1:31" x14ac:dyDescent="0.25">
      <c r="A5" t="s">
        <v>29</v>
      </c>
      <c r="B5" t="s">
        <v>34</v>
      </c>
      <c r="C5" t="s">
        <v>31</v>
      </c>
      <c r="D5">
        <v>65.634651000000005</v>
      </c>
      <c r="E5">
        <v>66.652107000000001</v>
      </c>
      <c r="F5">
        <v>66.500388999999998</v>
      </c>
      <c r="G5">
        <v>66.349159</v>
      </c>
      <c r="H5">
        <v>66.349159</v>
      </c>
      <c r="I5">
        <v>66.343636000000004</v>
      </c>
      <c r="J5">
        <v>66.343636000000004</v>
      </c>
      <c r="K5">
        <v>66.343636000000004</v>
      </c>
      <c r="L5">
        <v>66.331612000000007</v>
      </c>
      <c r="M5">
        <v>66.348686000000001</v>
      </c>
      <c r="N5">
        <v>66.348686000000001</v>
      </c>
      <c r="O5">
        <v>66.348686000000001</v>
      </c>
      <c r="P5">
        <v>66.348686000000001</v>
      </c>
      <c r="Q5">
        <v>66.348686000000001</v>
      </c>
      <c r="R5">
        <v>66.348686000000001</v>
      </c>
      <c r="S5">
        <v>66.348686000000001</v>
      </c>
      <c r="T5">
        <v>66.348686000000001</v>
      </c>
      <c r="U5">
        <v>66.348686000000001</v>
      </c>
      <c r="V5">
        <v>66.348686000000001</v>
      </c>
      <c r="W5">
        <v>66.348686000000001</v>
      </c>
      <c r="X5">
        <v>66.348686000000001</v>
      </c>
      <c r="Y5">
        <v>66.348686000000001</v>
      </c>
      <c r="Z5">
        <v>66.348686000000001</v>
      </c>
      <c r="AA5">
        <v>66.348686000000001</v>
      </c>
      <c r="AB5">
        <v>66.348686000000001</v>
      </c>
      <c r="AC5">
        <v>66.348686000000001</v>
      </c>
      <c r="AD5">
        <v>66.348686000000001</v>
      </c>
      <c r="AE5" s="4">
        <v>1.0878933446297985E-2</v>
      </c>
    </row>
    <row r="6" spans="1:31" x14ac:dyDescent="0.25">
      <c r="A6" t="s">
        <v>29</v>
      </c>
      <c r="B6" t="s">
        <v>35</v>
      </c>
      <c r="C6" t="s">
        <v>31</v>
      </c>
      <c r="D6">
        <v>-0.46818199999999999</v>
      </c>
      <c r="E6">
        <v>-0.46850599999999998</v>
      </c>
      <c r="F6">
        <v>-0.46875</v>
      </c>
      <c r="G6">
        <v>-0.46845300000000001</v>
      </c>
      <c r="H6">
        <v>-0.46803299999999998</v>
      </c>
      <c r="I6">
        <v>-0.46845799999999999</v>
      </c>
      <c r="J6">
        <v>-0.47092099999999998</v>
      </c>
      <c r="K6">
        <v>-0.47159600000000002</v>
      </c>
      <c r="L6">
        <v>-0.47179700000000002</v>
      </c>
      <c r="M6">
        <v>-0.47176200000000001</v>
      </c>
      <c r="N6">
        <v>-0.471771</v>
      </c>
      <c r="O6">
        <v>-0.47178100000000001</v>
      </c>
      <c r="P6">
        <v>-0.99896700000000005</v>
      </c>
      <c r="Q6">
        <v>-1.5177780000000001</v>
      </c>
      <c r="R6">
        <v>-1.893675</v>
      </c>
      <c r="S6">
        <v>-2.071202</v>
      </c>
      <c r="T6">
        <v>-2.3205</v>
      </c>
      <c r="U6">
        <v>-2.4793500000000002</v>
      </c>
      <c r="V6">
        <v>-2.6301480000000002</v>
      </c>
      <c r="W6">
        <v>-2.810832</v>
      </c>
      <c r="X6">
        <v>-2.9611459999999998</v>
      </c>
      <c r="Y6">
        <v>-3.3547959999999999</v>
      </c>
      <c r="Z6">
        <v>-3.4153820000000001</v>
      </c>
      <c r="AA6">
        <v>-3.6467260000000001</v>
      </c>
      <c r="AB6">
        <v>-3.8766780000000001</v>
      </c>
      <c r="AC6">
        <v>-4.0525289999999998</v>
      </c>
      <c r="AD6">
        <v>-4.2910849999999998</v>
      </c>
      <c r="AE6" s="4">
        <v>8.1654207124579745</v>
      </c>
    </row>
    <row r="7" spans="1:31" x14ac:dyDescent="0.25">
      <c r="A7" t="s">
        <v>29</v>
      </c>
      <c r="B7" t="s">
        <v>36</v>
      </c>
      <c r="C7" t="s">
        <v>31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 s="4" t="e">
        <v>#DIV/0!</v>
      </c>
    </row>
    <row r="8" spans="1:31" x14ac:dyDescent="0.25">
      <c r="A8" t="s">
        <v>29</v>
      </c>
      <c r="B8" t="s">
        <v>37</v>
      </c>
      <c r="C8" t="s">
        <v>31</v>
      </c>
      <c r="D8">
        <v>15.561166999999999</v>
      </c>
      <c r="E8">
        <v>16.906300000000002</v>
      </c>
      <c r="F8">
        <v>17.573830000000001</v>
      </c>
      <c r="G8">
        <v>18.211054000000001</v>
      </c>
      <c r="H8">
        <v>18.216436000000002</v>
      </c>
      <c r="I8">
        <v>18.236989999999999</v>
      </c>
      <c r="J8">
        <v>18.234247</v>
      </c>
      <c r="K8">
        <v>18.237465</v>
      </c>
      <c r="L8">
        <v>18.239851000000002</v>
      </c>
      <c r="M8">
        <v>18.245569</v>
      </c>
      <c r="N8">
        <v>18.111851000000001</v>
      </c>
      <c r="O8">
        <v>16.882341</v>
      </c>
      <c r="P8">
        <v>15.907095999999999</v>
      </c>
      <c r="Q8">
        <v>16.036519999999999</v>
      </c>
      <c r="R8">
        <v>16.142206000000002</v>
      </c>
      <c r="S8">
        <v>16.225349000000001</v>
      </c>
      <c r="T8">
        <v>16.408176000000001</v>
      </c>
      <c r="U8">
        <v>16.482689000000001</v>
      </c>
      <c r="V8">
        <v>16.555489999999999</v>
      </c>
      <c r="W8">
        <v>16.623507</v>
      </c>
      <c r="X8">
        <v>16.637149999999998</v>
      </c>
      <c r="Y8">
        <v>16.736269</v>
      </c>
      <c r="Z8">
        <v>16.744751000000001</v>
      </c>
      <c r="AA8">
        <v>16.525359999999999</v>
      </c>
      <c r="AB8">
        <v>16.567534999999999</v>
      </c>
      <c r="AC8">
        <v>16.648277</v>
      </c>
      <c r="AD8">
        <v>16.670883</v>
      </c>
      <c r="AE8" s="4">
        <v>7.1313160510391063E-2</v>
      </c>
    </row>
    <row r="9" spans="1:31" x14ac:dyDescent="0.25">
      <c r="A9" t="s">
        <v>29</v>
      </c>
      <c r="B9" t="s">
        <v>38</v>
      </c>
      <c r="C9" t="s">
        <v>31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 s="4" t="e">
        <v>#DIV/0!</v>
      </c>
    </row>
    <row r="10" spans="1:31" x14ac:dyDescent="0.25">
      <c r="A10" t="s">
        <v>29</v>
      </c>
      <c r="B10" t="s">
        <v>39</v>
      </c>
      <c r="C10" t="s">
        <v>31</v>
      </c>
      <c r="D10">
        <v>9.6962999999999994E-2</v>
      </c>
      <c r="E10">
        <v>0.12360699999999999</v>
      </c>
      <c r="F10">
        <v>0.15143999999999999</v>
      </c>
      <c r="G10">
        <v>0.177227</v>
      </c>
      <c r="H10">
        <v>0.205314</v>
      </c>
      <c r="I10">
        <v>0.22883500000000001</v>
      </c>
      <c r="J10">
        <v>0.25194100000000003</v>
      </c>
      <c r="K10">
        <v>0.27715400000000001</v>
      </c>
      <c r="L10">
        <v>0.30287599999999998</v>
      </c>
      <c r="M10">
        <v>0.328818</v>
      </c>
      <c r="N10">
        <v>0.35034100000000001</v>
      </c>
      <c r="O10">
        <v>0.37322</v>
      </c>
      <c r="P10">
        <v>0.39708399999999999</v>
      </c>
      <c r="Q10">
        <v>0.42271900000000001</v>
      </c>
      <c r="R10">
        <v>0.44939899999999999</v>
      </c>
      <c r="S10">
        <v>0.46789599999999998</v>
      </c>
      <c r="T10">
        <v>0.48684100000000002</v>
      </c>
      <c r="U10">
        <v>0.50611799999999996</v>
      </c>
      <c r="V10">
        <v>0.52568099999999995</v>
      </c>
      <c r="W10">
        <v>0.54540900000000003</v>
      </c>
      <c r="X10">
        <v>0.55562699999999998</v>
      </c>
      <c r="Y10">
        <v>0.565747</v>
      </c>
      <c r="Z10">
        <v>0.575932</v>
      </c>
      <c r="AA10">
        <v>0.58629600000000004</v>
      </c>
      <c r="AB10">
        <v>0.59667300000000001</v>
      </c>
      <c r="AC10">
        <v>0.59667300000000001</v>
      </c>
      <c r="AD10">
        <v>0.59667300000000001</v>
      </c>
      <c r="AE10" s="4">
        <v>5.1536152965564188</v>
      </c>
    </row>
    <row r="11" spans="1:31" x14ac:dyDescent="0.25">
      <c r="A11" t="s">
        <v>29</v>
      </c>
      <c r="B11" t="s">
        <v>40</v>
      </c>
      <c r="C11" t="s">
        <v>31</v>
      </c>
      <c r="D11">
        <v>6.6579999999999999E-3</v>
      </c>
      <c r="E11">
        <v>6.9360000000000003E-3</v>
      </c>
      <c r="F11">
        <v>1.5799999999999999E-4</v>
      </c>
      <c r="G11">
        <v>1.5799999999999999E-4</v>
      </c>
      <c r="H11">
        <v>1.5799999999999999E-4</v>
      </c>
      <c r="I11">
        <v>1.1793E-2</v>
      </c>
      <c r="J11">
        <v>1.2073E-2</v>
      </c>
      <c r="K11">
        <v>1.2600999999999999E-2</v>
      </c>
      <c r="L11">
        <v>1.5799999999999999E-4</v>
      </c>
      <c r="M11">
        <v>1.5799999999999999E-4</v>
      </c>
      <c r="N11">
        <v>1.5799999999999999E-4</v>
      </c>
      <c r="O11">
        <v>1.5799999999999999E-4</v>
      </c>
      <c r="P11">
        <v>1.5799999999999999E-4</v>
      </c>
      <c r="Q11">
        <v>1.5799999999999999E-4</v>
      </c>
      <c r="R11">
        <v>1.5799999999999999E-4</v>
      </c>
      <c r="S11">
        <v>1.5799999999999999E-4</v>
      </c>
      <c r="T11">
        <v>1.5799999999999999E-4</v>
      </c>
      <c r="U11">
        <v>1.5799999999999999E-4</v>
      </c>
      <c r="V11">
        <v>1.5799999999999999E-4</v>
      </c>
      <c r="W11">
        <v>1.5799999999999999E-4</v>
      </c>
      <c r="X11">
        <v>1.5799999999999999E-4</v>
      </c>
      <c r="Y11">
        <v>1.5799999999999999E-4</v>
      </c>
      <c r="Z11">
        <v>1.5799999999999999E-4</v>
      </c>
      <c r="AA11">
        <v>1.5799999999999999E-4</v>
      </c>
      <c r="AB11">
        <v>1.5799999999999999E-4</v>
      </c>
      <c r="AC11">
        <v>1.5799999999999999E-4</v>
      </c>
      <c r="AD11">
        <v>1.5799999999999999E-4</v>
      </c>
      <c r="AE11" s="4">
        <v>-0.97626914989486335</v>
      </c>
    </row>
    <row r="12" spans="1:31" x14ac:dyDescent="0.25">
      <c r="A12" t="s">
        <v>29</v>
      </c>
      <c r="B12" t="s">
        <v>41</v>
      </c>
      <c r="C12" t="s">
        <v>31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s="4" t="e">
        <v>#DIV/0!</v>
      </c>
    </row>
    <row r="13" spans="1:31" x14ac:dyDescent="0.25">
      <c r="A13" t="s">
        <v>29</v>
      </c>
      <c r="B13" t="s">
        <v>42</v>
      </c>
      <c r="C13" t="s">
        <v>31</v>
      </c>
      <c r="D13">
        <v>2.3293240000000002</v>
      </c>
      <c r="E13">
        <v>3.9204539999999999</v>
      </c>
      <c r="F13">
        <v>4.4995159999999998</v>
      </c>
      <c r="G13">
        <v>4.5108040000000003</v>
      </c>
      <c r="H13">
        <v>5.1567629999999998</v>
      </c>
      <c r="I13">
        <v>14.747437</v>
      </c>
      <c r="J13">
        <v>17.082386</v>
      </c>
      <c r="K13">
        <v>23.278638999999998</v>
      </c>
      <c r="L13">
        <v>42.488083000000003</v>
      </c>
      <c r="M13">
        <v>66.544929999999994</v>
      </c>
      <c r="N13">
        <v>89.958259999999996</v>
      </c>
      <c r="O13">
        <v>108.615059</v>
      </c>
      <c r="P13">
        <v>126.79939299999999</v>
      </c>
      <c r="Q13">
        <v>133.31866500000001</v>
      </c>
      <c r="R13">
        <v>133.97929400000001</v>
      </c>
      <c r="S13">
        <v>134.32455400000001</v>
      </c>
      <c r="T13">
        <v>135.53707900000001</v>
      </c>
      <c r="U13">
        <v>136.95765700000001</v>
      </c>
      <c r="V13">
        <v>137.48138399999999</v>
      </c>
      <c r="W13">
        <v>138.46589700000001</v>
      </c>
      <c r="X13">
        <v>138.70114100000001</v>
      </c>
      <c r="Y13">
        <v>140.33689899999999</v>
      </c>
      <c r="Z13">
        <v>140.491409</v>
      </c>
      <c r="AA13">
        <v>145.228363</v>
      </c>
      <c r="AB13">
        <v>147.528671</v>
      </c>
      <c r="AC13">
        <v>149.033401</v>
      </c>
      <c r="AD13">
        <v>152.78462200000001</v>
      </c>
      <c r="AE13" s="4">
        <v>64.591829217403841</v>
      </c>
    </row>
    <row r="14" spans="1:31" x14ac:dyDescent="0.25">
      <c r="A14" t="s">
        <v>29</v>
      </c>
      <c r="B14" t="s">
        <v>43</v>
      </c>
      <c r="C14" t="s">
        <v>31</v>
      </c>
      <c r="D14">
        <v>2.6112E-2</v>
      </c>
      <c r="E14">
        <v>2.5174999999999999E-2</v>
      </c>
      <c r="F14">
        <v>2.6039E-2</v>
      </c>
      <c r="G14">
        <v>2.6903E-2</v>
      </c>
      <c r="H14">
        <v>0</v>
      </c>
      <c r="I14">
        <v>0</v>
      </c>
      <c r="J14">
        <v>2.5695610000000002</v>
      </c>
      <c r="K14">
        <v>3.215373</v>
      </c>
      <c r="L14">
        <v>3.2154639999999999</v>
      </c>
      <c r="M14">
        <v>3.215465</v>
      </c>
      <c r="N14">
        <v>3.196145</v>
      </c>
      <c r="O14">
        <v>2.8710309999999999</v>
      </c>
      <c r="P14">
        <v>2.6050460000000002</v>
      </c>
      <c r="Q14">
        <v>2.6405630000000002</v>
      </c>
      <c r="R14">
        <v>2.6568299999999998</v>
      </c>
      <c r="S14">
        <v>2.6781540000000001</v>
      </c>
      <c r="T14">
        <v>2.7169660000000002</v>
      </c>
      <c r="U14">
        <v>2.7358189999999998</v>
      </c>
      <c r="V14">
        <v>2.7401149999999999</v>
      </c>
      <c r="W14">
        <v>2.7501199999999999</v>
      </c>
      <c r="X14">
        <v>2.7524389999999999</v>
      </c>
      <c r="Y14">
        <v>2.8057850000000002</v>
      </c>
      <c r="Z14">
        <v>2.814095</v>
      </c>
      <c r="AA14">
        <v>2.745231</v>
      </c>
      <c r="AB14">
        <v>2.7453720000000001</v>
      </c>
      <c r="AC14">
        <v>2.7682790000000002</v>
      </c>
      <c r="AD14">
        <v>2.7566250000000001</v>
      </c>
      <c r="AE14" s="4">
        <v>104.56927849264707</v>
      </c>
    </row>
    <row r="15" spans="1:31" x14ac:dyDescent="0.25">
      <c r="A15" t="s">
        <v>29</v>
      </c>
      <c r="B15" t="s">
        <v>44</v>
      </c>
      <c r="C15" t="s">
        <v>31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s="4" t="e">
        <v>#DIV/0!</v>
      </c>
    </row>
    <row r="16" spans="1:31" x14ac:dyDescent="0.25">
      <c r="A16" t="s">
        <v>29</v>
      </c>
      <c r="B16" s="6" t="s">
        <v>45</v>
      </c>
      <c r="C16" t="s">
        <v>31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4.4881999999999998E-2</v>
      </c>
      <c r="M16">
        <v>4.7900999999999999E-2</v>
      </c>
      <c r="N16">
        <v>5.1683E-2</v>
      </c>
      <c r="O16">
        <v>5.5749E-2</v>
      </c>
      <c r="P16">
        <v>5.5749E-2</v>
      </c>
      <c r="Q16">
        <v>5.5749E-2</v>
      </c>
      <c r="R16">
        <v>5.5749E-2</v>
      </c>
      <c r="S16">
        <v>5.5749E-2</v>
      </c>
      <c r="T16">
        <v>5.5749E-2</v>
      </c>
      <c r="U16">
        <v>5.5749E-2</v>
      </c>
      <c r="V16">
        <v>5.5749E-2</v>
      </c>
      <c r="W16">
        <v>5.5749E-2</v>
      </c>
      <c r="X16">
        <v>5.5749E-2</v>
      </c>
      <c r="Y16">
        <v>5.5749E-2</v>
      </c>
      <c r="Z16">
        <v>5.5749E-2</v>
      </c>
      <c r="AA16">
        <v>5.5749E-2</v>
      </c>
      <c r="AB16">
        <v>5.5749E-2</v>
      </c>
      <c r="AC16">
        <v>5.5749E-2</v>
      </c>
      <c r="AD16">
        <v>5.5749E-2</v>
      </c>
      <c r="AE16" s="4" t="e">
        <v>#DIV/0!</v>
      </c>
    </row>
    <row r="17" spans="1:31" x14ac:dyDescent="0.25">
      <c r="A17" t="s">
        <v>29</v>
      </c>
      <c r="B17" s="6" t="s">
        <v>46</v>
      </c>
      <c r="C17" t="s">
        <v>31</v>
      </c>
      <c r="D17">
        <v>193.598907</v>
      </c>
      <c r="E17">
        <v>197.47297699999999</v>
      </c>
      <c r="F17">
        <v>196.834351</v>
      </c>
      <c r="G17">
        <v>190.062881</v>
      </c>
      <c r="H17">
        <v>189.5112</v>
      </c>
      <c r="I17">
        <v>192.126282</v>
      </c>
      <c r="J17">
        <v>194.83255</v>
      </c>
      <c r="K17">
        <v>197.501633</v>
      </c>
      <c r="L17">
        <v>191.415085</v>
      </c>
      <c r="M17">
        <v>211.89120500000001</v>
      </c>
      <c r="N17">
        <v>225.064896</v>
      </c>
      <c r="O17">
        <v>239.033356</v>
      </c>
      <c r="P17">
        <v>251.612762</v>
      </c>
      <c r="Q17">
        <v>250.59445199999999</v>
      </c>
      <c r="R17">
        <v>248.414276</v>
      </c>
      <c r="S17">
        <v>241.97163399999999</v>
      </c>
      <c r="T17">
        <v>243.86762999999999</v>
      </c>
      <c r="U17">
        <v>246.392639</v>
      </c>
      <c r="V17">
        <v>247.35412600000001</v>
      </c>
      <c r="W17">
        <v>247.759018</v>
      </c>
      <c r="X17">
        <v>248.08923300000001</v>
      </c>
      <c r="Y17">
        <v>249.21357699999999</v>
      </c>
      <c r="Z17">
        <v>249.877014</v>
      </c>
      <c r="AA17">
        <v>253.69451900000001</v>
      </c>
      <c r="AB17">
        <v>256.99471999999997</v>
      </c>
      <c r="AC17">
        <v>259.22543300000001</v>
      </c>
      <c r="AD17">
        <v>264.75268599999998</v>
      </c>
      <c r="AE17" s="4">
        <v>0.36753192516732541</v>
      </c>
    </row>
    <row r="18" spans="1:31" x14ac:dyDescent="0.25">
      <c r="A18" t="s">
        <v>75</v>
      </c>
      <c r="B18" t="s">
        <v>47</v>
      </c>
      <c r="C18" t="s">
        <v>48</v>
      </c>
      <c r="D18">
        <v>11.774521</v>
      </c>
      <c r="E18">
        <v>11.811249999999999</v>
      </c>
      <c r="F18">
        <v>10.400311</v>
      </c>
      <c r="G18">
        <v>10.139557</v>
      </c>
      <c r="H18">
        <v>9.9299379999999999</v>
      </c>
      <c r="I18">
        <v>10.018350999999999</v>
      </c>
      <c r="J18">
        <v>10.048871999999999</v>
      </c>
      <c r="K18">
        <v>10.007854</v>
      </c>
      <c r="L18">
        <v>10.343672</v>
      </c>
      <c r="M18">
        <v>10.530631</v>
      </c>
      <c r="N18">
        <v>10.453011</v>
      </c>
      <c r="O18">
        <v>10.528574000000001</v>
      </c>
      <c r="P18">
        <v>10.911927</v>
      </c>
      <c r="Q18">
        <v>10.796082999999999</v>
      </c>
      <c r="R18">
        <v>10.708971</v>
      </c>
      <c r="S18">
        <v>10.551406999999999</v>
      </c>
      <c r="T18">
        <v>10.517664999999999</v>
      </c>
      <c r="U18">
        <v>10.414875</v>
      </c>
      <c r="V18">
        <v>10.352067999999999</v>
      </c>
      <c r="W18">
        <v>10.455773000000001</v>
      </c>
      <c r="X18">
        <v>10.595484000000001</v>
      </c>
      <c r="Y18">
        <v>10.724418</v>
      </c>
      <c r="Z18">
        <v>10.905431999999999</v>
      </c>
      <c r="AA18">
        <v>11.185428</v>
      </c>
      <c r="AB18">
        <v>11.133053</v>
      </c>
      <c r="AC18">
        <v>11.082285000000001</v>
      </c>
      <c r="AD18">
        <v>11.134354</v>
      </c>
      <c r="AE18" s="4" cm="1">
        <f t="array" ref="AE18:AE22">(AD18:AD22-D18:D22)/D18:D22</f>
        <v>-5.4368835895744712E-2</v>
      </c>
    </row>
    <row r="19" spans="1:31" x14ac:dyDescent="0.25">
      <c r="A19" t="s">
        <v>75</v>
      </c>
      <c r="B19" t="s">
        <v>49</v>
      </c>
      <c r="C19" t="s">
        <v>48</v>
      </c>
      <c r="D19">
        <v>12.330563</v>
      </c>
      <c r="E19">
        <v>11.961959999999999</v>
      </c>
      <c r="F19">
        <v>10.213146</v>
      </c>
      <c r="G19">
        <v>9.9794</v>
      </c>
      <c r="H19">
        <v>9.7707719999999991</v>
      </c>
      <c r="I19">
        <v>9.9380620000000004</v>
      </c>
      <c r="J19">
        <v>10.010869</v>
      </c>
      <c r="K19">
        <v>10.002357</v>
      </c>
      <c r="L19">
        <v>10.466810000000001</v>
      </c>
      <c r="M19">
        <v>10.738008000000001</v>
      </c>
      <c r="N19">
        <v>10.677317</v>
      </c>
      <c r="O19">
        <v>10.828149</v>
      </c>
      <c r="P19">
        <v>11.383838000000001</v>
      </c>
      <c r="Q19">
        <v>11.279572</v>
      </c>
      <c r="R19">
        <v>11.214024</v>
      </c>
      <c r="S19">
        <v>11.064643</v>
      </c>
      <c r="T19">
        <v>11.07009</v>
      </c>
      <c r="U19">
        <v>10.990957</v>
      </c>
      <c r="V19">
        <v>10.959884000000001</v>
      </c>
      <c r="W19">
        <v>11.137737</v>
      </c>
      <c r="X19">
        <v>11.362755</v>
      </c>
      <c r="Y19">
        <v>11.55752</v>
      </c>
      <c r="Z19">
        <v>11.816793000000001</v>
      </c>
      <c r="AA19">
        <v>12.201088</v>
      </c>
      <c r="AB19">
        <v>12.094569</v>
      </c>
      <c r="AC19">
        <v>11.98663</v>
      </c>
      <c r="AD19">
        <v>12.011933000000001</v>
      </c>
      <c r="AE19" s="4">
        <v>-2.5840669237892775E-2</v>
      </c>
    </row>
    <row r="20" spans="1:31" x14ac:dyDescent="0.25">
      <c r="A20" t="s">
        <v>75</v>
      </c>
      <c r="B20" t="s">
        <v>50</v>
      </c>
      <c r="C20" t="s">
        <v>48</v>
      </c>
      <c r="D20">
        <v>6.6043729999999998</v>
      </c>
      <c r="E20">
        <v>6.4723579999999998</v>
      </c>
      <c r="F20">
        <v>5.3122299999999996</v>
      </c>
      <c r="G20">
        <v>5.2162860000000002</v>
      </c>
      <c r="H20">
        <v>5.0967200000000004</v>
      </c>
      <c r="I20">
        <v>5.2389409999999996</v>
      </c>
      <c r="J20">
        <v>5.3075710000000003</v>
      </c>
      <c r="K20">
        <v>5.3493680000000001</v>
      </c>
      <c r="L20">
        <v>5.7166360000000003</v>
      </c>
      <c r="M20">
        <v>5.9221180000000002</v>
      </c>
      <c r="N20">
        <v>5.9178670000000002</v>
      </c>
      <c r="O20">
        <v>6.0535589999999999</v>
      </c>
      <c r="P20">
        <v>6.468852</v>
      </c>
      <c r="Q20">
        <v>6.4157489999999999</v>
      </c>
      <c r="R20">
        <v>6.3948150000000004</v>
      </c>
      <c r="S20">
        <v>6.3218300000000003</v>
      </c>
      <c r="T20">
        <v>6.3380159999999997</v>
      </c>
      <c r="U20">
        <v>6.2995580000000002</v>
      </c>
      <c r="V20">
        <v>6.2997610000000002</v>
      </c>
      <c r="W20">
        <v>6.4274589999999998</v>
      </c>
      <c r="X20">
        <v>6.5864799999999999</v>
      </c>
      <c r="Y20">
        <v>6.7302600000000004</v>
      </c>
      <c r="Z20">
        <v>6.8981450000000004</v>
      </c>
      <c r="AA20">
        <v>7.1685920000000003</v>
      </c>
      <c r="AB20">
        <v>7.0875579999999996</v>
      </c>
      <c r="AC20">
        <v>7.0154649999999998</v>
      </c>
      <c r="AD20">
        <v>7.0307139999999997</v>
      </c>
      <c r="AE20" s="4">
        <v>6.4554349065384389E-2</v>
      </c>
    </row>
    <row r="21" spans="1:31" x14ac:dyDescent="0.25">
      <c r="A21" t="s">
        <v>75</v>
      </c>
      <c r="B21" t="s">
        <v>51</v>
      </c>
      <c r="C21" t="s">
        <v>48</v>
      </c>
      <c r="D21">
        <v>10.708940999999999</v>
      </c>
      <c r="E21">
        <v>10.385903000000001</v>
      </c>
      <c r="F21">
        <v>8.9474470000000004</v>
      </c>
      <c r="G21">
        <v>8.7263769999999994</v>
      </c>
      <c r="H21">
        <v>8.5591679999999997</v>
      </c>
      <c r="I21">
        <v>8.6946739999999991</v>
      </c>
      <c r="J21">
        <v>8.7689409999999999</v>
      </c>
      <c r="K21">
        <v>8.7653040000000004</v>
      </c>
      <c r="L21">
        <v>9.1413700000000002</v>
      </c>
      <c r="M21">
        <v>9.3872280000000003</v>
      </c>
      <c r="N21">
        <v>9.3536819999999992</v>
      </c>
      <c r="O21">
        <v>9.4845539999999993</v>
      </c>
      <c r="P21">
        <v>9.9360160000000004</v>
      </c>
      <c r="Q21">
        <v>9.8734210000000004</v>
      </c>
      <c r="R21">
        <v>9.8255079999999992</v>
      </c>
      <c r="S21">
        <v>9.7018989999999992</v>
      </c>
      <c r="T21">
        <v>9.7098239999999993</v>
      </c>
      <c r="U21">
        <v>9.6436399999999995</v>
      </c>
      <c r="V21">
        <v>9.6079360000000005</v>
      </c>
      <c r="W21">
        <v>9.7488069999999993</v>
      </c>
      <c r="X21">
        <v>9.9329459999999994</v>
      </c>
      <c r="Y21">
        <v>10.085725</v>
      </c>
      <c r="Z21">
        <v>10.306187</v>
      </c>
      <c r="AA21">
        <v>10.616761</v>
      </c>
      <c r="AB21">
        <v>10.534190000000001</v>
      </c>
      <c r="AC21">
        <v>10.439258000000001</v>
      </c>
      <c r="AD21">
        <v>10.457488</v>
      </c>
      <c r="AE21" s="4">
        <v>-2.348065975898081E-2</v>
      </c>
    </row>
    <row r="22" spans="1:31" x14ac:dyDescent="0.25">
      <c r="A22" t="s">
        <v>75</v>
      </c>
      <c r="B22" t="s">
        <v>52</v>
      </c>
      <c r="C22" t="s">
        <v>48</v>
      </c>
      <c r="D22">
        <v>10.558824</v>
      </c>
      <c r="E22">
        <v>10.361613999999999</v>
      </c>
      <c r="F22">
        <v>8.8954909999999998</v>
      </c>
      <c r="G22">
        <v>8.6994579999999999</v>
      </c>
      <c r="H22">
        <v>8.5246770000000005</v>
      </c>
      <c r="I22">
        <v>8.6531570000000002</v>
      </c>
      <c r="J22">
        <v>8.7022069999999996</v>
      </c>
      <c r="K22">
        <v>8.6878039999999999</v>
      </c>
      <c r="L22">
        <v>9.0646360000000001</v>
      </c>
      <c r="M22">
        <v>9.2739229999999999</v>
      </c>
      <c r="N22">
        <v>9.2104909999999993</v>
      </c>
      <c r="O22">
        <v>9.3178079999999994</v>
      </c>
      <c r="P22">
        <v>9.7578309999999995</v>
      </c>
      <c r="Q22">
        <v>9.6573799999999999</v>
      </c>
      <c r="R22">
        <v>9.5955460000000006</v>
      </c>
      <c r="S22">
        <v>9.4677349999999993</v>
      </c>
      <c r="T22">
        <v>9.463775</v>
      </c>
      <c r="U22">
        <v>9.3912630000000004</v>
      </c>
      <c r="V22">
        <v>9.3608949999999993</v>
      </c>
      <c r="W22">
        <v>9.4990550000000002</v>
      </c>
      <c r="X22">
        <v>9.6764779999999995</v>
      </c>
      <c r="Y22">
        <v>9.8351799999999994</v>
      </c>
      <c r="Z22">
        <v>10.043123</v>
      </c>
      <c r="AA22">
        <v>10.357836000000001</v>
      </c>
      <c r="AB22">
        <v>10.278722</v>
      </c>
      <c r="AC22">
        <v>10.202552000000001</v>
      </c>
      <c r="AD22">
        <v>10.2334</v>
      </c>
      <c r="AE22" s="4">
        <v>-3.0820098904953803E-2</v>
      </c>
    </row>
    <row r="23" spans="1:31" x14ac:dyDescent="0.25">
      <c r="A23" t="s">
        <v>74</v>
      </c>
      <c r="B23" t="s">
        <v>47</v>
      </c>
      <c r="C23" t="s">
        <v>53</v>
      </c>
      <c r="D23">
        <v>11.774521</v>
      </c>
      <c r="E23">
        <v>12.053570000000001</v>
      </c>
      <c r="F23">
        <v>10.792920000000001</v>
      </c>
      <c r="G23">
        <v>10.697695</v>
      </c>
      <c r="H23">
        <v>10.674359000000001</v>
      </c>
      <c r="I23">
        <v>10.960435</v>
      </c>
      <c r="J23">
        <v>11.199251</v>
      </c>
      <c r="K23">
        <v>11.382842</v>
      </c>
      <c r="L23">
        <v>12.013399</v>
      </c>
      <c r="M23">
        <v>12.496710999999999</v>
      </c>
      <c r="N23">
        <v>12.679259999999999</v>
      </c>
      <c r="O23">
        <v>13.047791</v>
      </c>
      <c r="P23">
        <v>13.802732000000001</v>
      </c>
      <c r="Q23">
        <v>13.940229</v>
      </c>
      <c r="R23">
        <v>14.113424</v>
      </c>
      <c r="S23">
        <v>14.190572</v>
      </c>
      <c r="T23">
        <v>14.442802</v>
      </c>
      <c r="U23">
        <v>14.607059</v>
      </c>
      <c r="V23">
        <v>14.835639</v>
      </c>
      <c r="W23">
        <v>15.317882000000001</v>
      </c>
      <c r="X23">
        <v>15.868283</v>
      </c>
      <c r="Y23">
        <v>16.423780000000001</v>
      </c>
      <c r="Z23">
        <v>17.078716</v>
      </c>
      <c r="AA23">
        <v>17.916640999999998</v>
      </c>
      <c r="AB23">
        <v>18.239370000000001</v>
      </c>
      <c r="AC23">
        <v>18.566202000000001</v>
      </c>
      <c r="AD23">
        <v>19.071344</v>
      </c>
      <c r="AE23" s="4" cm="1">
        <f t="array" ref="AE23:AE27">(AD23:AD27-D23:D27)/D23:D27</f>
        <v>0.61971293779169445</v>
      </c>
    </row>
    <row r="24" spans="1:31" x14ac:dyDescent="0.25">
      <c r="A24" t="s">
        <v>74</v>
      </c>
      <c r="B24" t="s">
        <v>49</v>
      </c>
      <c r="C24" t="s">
        <v>53</v>
      </c>
      <c r="D24">
        <v>12.330563</v>
      </c>
      <c r="E24">
        <v>12.207371999999999</v>
      </c>
      <c r="F24">
        <v>10.598691000000001</v>
      </c>
      <c r="G24">
        <v>10.528722</v>
      </c>
      <c r="H24">
        <v>10.503261</v>
      </c>
      <c r="I24">
        <v>10.872596</v>
      </c>
      <c r="J24">
        <v>11.156898</v>
      </c>
      <c r="K24">
        <v>11.376588</v>
      </c>
      <c r="L24">
        <v>12.156415000000001</v>
      </c>
      <c r="M24">
        <v>12.742805000000001</v>
      </c>
      <c r="N24">
        <v>12.95134</v>
      </c>
      <c r="O24">
        <v>13.419045000000001</v>
      </c>
      <c r="P24">
        <v>14.399661</v>
      </c>
      <c r="Q24">
        <v>14.564525</v>
      </c>
      <c r="R24">
        <v>14.779037000000001</v>
      </c>
      <c r="S24">
        <v>14.88082</v>
      </c>
      <c r="T24">
        <v>15.20139</v>
      </c>
      <c r="U24">
        <v>15.415025</v>
      </c>
      <c r="V24">
        <v>15.706704999999999</v>
      </c>
      <c r="W24">
        <v>16.316970999999999</v>
      </c>
      <c r="X24">
        <v>17.017384</v>
      </c>
      <c r="Y24">
        <v>17.699622999999999</v>
      </c>
      <c r="Z24">
        <v>18.505976</v>
      </c>
      <c r="AA24">
        <v>19.543510000000001</v>
      </c>
      <c r="AB24">
        <v>19.814630999999999</v>
      </c>
      <c r="AC24">
        <v>20.081257000000001</v>
      </c>
      <c r="AD24">
        <v>20.574494999999999</v>
      </c>
      <c r="AE24" s="4">
        <v>0.6685770957903544</v>
      </c>
    </row>
    <row r="25" spans="1:31" x14ac:dyDescent="0.25">
      <c r="A25" t="s">
        <v>74</v>
      </c>
      <c r="B25" t="s">
        <v>50</v>
      </c>
      <c r="C25" t="s">
        <v>53</v>
      </c>
      <c r="D25">
        <v>6.6043729999999998</v>
      </c>
      <c r="E25">
        <v>6.6051450000000003</v>
      </c>
      <c r="F25">
        <v>5.5127660000000001</v>
      </c>
      <c r="G25">
        <v>5.5034190000000001</v>
      </c>
      <c r="H25">
        <v>5.4788079999999999</v>
      </c>
      <c r="I25">
        <v>5.7315899999999997</v>
      </c>
      <c r="J25">
        <v>5.9151740000000004</v>
      </c>
      <c r="K25">
        <v>6.0843220000000002</v>
      </c>
      <c r="L25">
        <v>6.6394440000000001</v>
      </c>
      <c r="M25">
        <v>7.0277839999999996</v>
      </c>
      <c r="N25">
        <v>7.1782360000000001</v>
      </c>
      <c r="O25">
        <v>7.5020189999999998</v>
      </c>
      <c r="P25">
        <v>8.1825899999999994</v>
      </c>
      <c r="Q25">
        <v>8.2842090000000006</v>
      </c>
      <c r="R25">
        <v>8.4277700000000006</v>
      </c>
      <c r="S25">
        <v>8.5022199999999994</v>
      </c>
      <c r="T25">
        <v>8.7033290000000001</v>
      </c>
      <c r="U25">
        <v>8.8352489999999992</v>
      </c>
      <c r="V25">
        <v>9.0282429999999998</v>
      </c>
      <c r="W25">
        <v>9.4163340000000009</v>
      </c>
      <c r="X25">
        <v>9.8642149999999997</v>
      </c>
      <c r="Y25">
        <v>10.306976000000001</v>
      </c>
      <c r="Z25">
        <v>10.803006999999999</v>
      </c>
      <c r="AA25">
        <v>11.482538</v>
      </c>
      <c r="AB25">
        <v>11.611604</v>
      </c>
      <c r="AC25">
        <v>11.75304</v>
      </c>
      <c r="AD25">
        <v>12.042475</v>
      </c>
      <c r="AE25" s="4">
        <v>0.82340927745904113</v>
      </c>
    </row>
    <row r="26" spans="1:31" x14ac:dyDescent="0.25">
      <c r="A26" t="s">
        <v>74</v>
      </c>
      <c r="B26" t="s">
        <v>51</v>
      </c>
      <c r="C26" t="s">
        <v>53</v>
      </c>
      <c r="D26">
        <v>10.708940999999999</v>
      </c>
      <c r="E26">
        <v>10.598981</v>
      </c>
      <c r="F26">
        <v>9.2852119999999996</v>
      </c>
      <c r="G26">
        <v>9.2067259999999997</v>
      </c>
      <c r="H26">
        <v>9.2008259999999993</v>
      </c>
      <c r="I26">
        <v>9.5122850000000003</v>
      </c>
      <c r="J26">
        <v>9.7727950000000003</v>
      </c>
      <c r="K26">
        <v>9.969576</v>
      </c>
      <c r="L26">
        <v>10.617015</v>
      </c>
      <c r="M26">
        <v>11.139832999999999</v>
      </c>
      <c r="N26">
        <v>11.345799</v>
      </c>
      <c r="O26">
        <v>11.753963000000001</v>
      </c>
      <c r="P26">
        <v>12.568281000000001</v>
      </c>
      <c r="Q26">
        <v>12.748858999999999</v>
      </c>
      <c r="R26">
        <v>12.949102</v>
      </c>
      <c r="S26">
        <v>13.048068000000001</v>
      </c>
      <c r="T26">
        <v>13.333477999999999</v>
      </c>
      <c r="U26">
        <v>13.525385999999999</v>
      </c>
      <c r="V26">
        <v>13.769216</v>
      </c>
      <c r="W26">
        <v>14.282164</v>
      </c>
      <c r="X26">
        <v>14.876037</v>
      </c>
      <c r="Y26">
        <v>15.445660999999999</v>
      </c>
      <c r="Z26">
        <v>16.140253000000001</v>
      </c>
      <c r="AA26">
        <v>17.005759999999999</v>
      </c>
      <c r="AB26">
        <v>17.258248999999999</v>
      </c>
      <c r="AC26">
        <v>17.488935000000001</v>
      </c>
      <c r="AD26">
        <v>17.911982999999999</v>
      </c>
      <c r="AE26" s="4">
        <v>0.67261944948618169</v>
      </c>
    </row>
    <row r="27" spans="1:31" x14ac:dyDescent="0.25">
      <c r="A27" t="s">
        <v>74</v>
      </c>
      <c r="B27" t="s">
        <v>52</v>
      </c>
      <c r="C27" t="s">
        <v>53</v>
      </c>
      <c r="D27">
        <v>10.558824</v>
      </c>
      <c r="E27">
        <v>10.574194</v>
      </c>
      <c r="F27">
        <v>9.2312949999999994</v>
      </c>
      <c r="G27">
        <v>9.1783249999999992</v>
      </c>
      <c r="H27">
        <v>9.1637500000000003</v>
      </c>
      <c r="I27">
        <v>9.4668650000000003</v>
      </c>
      <c r="J27">
        <v>9.6984209999999997</v>
      </c>
      <c r="K27">
        <v>9.8814299999999999</v>
      </c>
      <c r="L27">
        <v>10.527894999999999</v>
      </c>
      <c r="M27">
        <v>11.005374</v>
      </c>
      <c r="N27">
        <v>11.172113</v>
      </c>
      <c r="O27">
        <v>11.547319</v>
      </c>
      <c r="P27">
        <v>12.342890000000001</v>
      </c>
      <c r="Q27">
        <v>12.469901</v>
      </c>
      <c r="R27">
        <v>12.646034</v>
      </c>
      <c r="S27">
        <v>12.733142000000001</v>
      </c>
      <c r="T27">
        <v>12.995606</v>
      </c>
      <c r="U27">
        <v>13.171424</v>
      </c>
      <c r="V27">
        <v>13.415179999999999</v>
      </c>
      <c r="W27">
        <v>13.916274</v>
      </c>
      <c r="X27">
        <v>14.491939</v>
      </c>
      <c r="Y27">
        <v>15.061968</v>
      </c>
      <c r="Z27">
        <v>15.728277</v>
      </c>
      <c r="AA27">
        <v>16.591018999999999</v>
      </c>
      <c r="AB27">
        <v>16.839714000000001</v>
      </c>
      <c r="AC27">
        <v>17.092381</v>
      </c>
      <c r="AD27">
        <v>17.528158000000001</v>
      </c>
      <c r="AE27" s="4">
        <v>0.66004831598670477</v>
      </c>
    </row>
    <row r="28" spans="1:31" x14ac:dyDescent="0.25">
      <c r="A28" t="s">
        <v>76</v>
      </c>
      <c r="B28" t="s">
        <v>54</v>
      </c>
      <c r="C28" t="s">
        <v>48</v>
      </c>
      <c r="D28">
        <v>7.0276269999999998</v>
      </c>
      <c r="E28">
        <v>6.8134439999999996</v>
      </c>
      <c r="F28">
        <v>5.3440399999999997</v>
      </c>
      <c r="G28">
        <v>5.1265039999999997</v>
      </c>
      <c r="H28">
        <v>4.9111940000000001</v>
      </c>
      <c r="I28">
        <v>4.9861899999999997</v>
      </c>
      <c r="J28">
        <v>4.967632</v>
      </c>
      <c r="K28">
        <v>4.8974919999999997</v>
      </c>
      <c r="L28">
        <v>5.1672359999999999</v>
      </c>
      <c r="M28">
        <v>5.2679689999999999</v>
      </c>
      <c r="N28">
        <v>5.1245839999999996</v>
      </c>
      <c r="O28">
        <v>5.1504339999999997</v>
      </c>
      <c r="P28">
        <v>5.5080470000000004</v>
      </c>
      <c r="Q28">
        <v>5.3535789999999999</v>
      </c>
      <c r="R28">
        <v>5.2696379999999996</v>
      </c>
      <c r="S28">
        <v>5.1301410000000001</v>
      </c>
      <c r="T28">
        <v>5.1050579999999997</v>
      </c>
      <c r="U28">
        <v>5.0132940000000001</v>
      </c>
      <c r="V28">
        <v>4.9595520000000004</v>
      </c>
      <c r="W28">
        <v>5.0602299999999998</v>
      </c>
      <c r="X28">
        <v>5.1982790000000003</v>
      </c>
      <c r="Y28">
        <v>5.3024190000000004</v>
      </c>
      <c r="Z28">
        <v>5.4422670000000002</v>
      </c>
      <c r="AA28">
        <v>5.6933439999999997</v>
      </c>
      <c r="AB28">
        <v>5.5490719999999998</v>
      </c>
      <c r="AC28">
        <v>5.4212449999999999</v>
      </c>
      <c r="AD28">
        <v>5.3922290000000004</v>
      </c>
      <c r="AE28" s="4" cm="1">
        <f t="array" ref="AE28:AE30">(AD28:AD30-D28:D30)/D28:D30</f>
        <v>-0.23270984643891879</v>
      </c>
    </row>
    <row r="29" spans="1:31" x14ac:dyDescent="0.25">
      <c r="A29" t="s">
        <v>76</v>
      </c>
      <c r="B29" t="s">
        <v>55</v>
      </c>
      <c r="C29" t="s">
        <v>48</v>
      </c>
      <c r="D29">
        <v>0.69977500000000004</v>
      </c>
      <c r="E29">
        <v>0.74619199999999997</v>
      </c>
      <c r="F29">
        <v>0.78822499999999995</v>
      </c>
      <c r="G29">
        <v>0.83543299999999998</v>
      </c>
      <c r="H29">
        <v>0.89583999999999997</v>
      </c>
      <c r="I29">
        <v>0.95587200000000005</v>
      </c>
      <c r="J29">
        <v>1.025579</v>
      </c>
      <c r="K29">
        <v>1.091178</v>
      </c>
      <c r="L29">
        <v>1.1786730000000001</v>
      </c>
      <c r="M29">
        <v>1.2951140000000001</v>
      </c>
      <c r="N29">
        <v>1.3836109999999999</v>
      </c>
      <c r="O29">
        <v>1.471203</v>
      </c>
      <c r="P29">
        <v>1.5521499999999999</v>
      </c>
      <c r="Q29">
        <v>1.6135200000000001</v>
      </c>
      <c r="R29">
        <v>1.629103</v>
      </c>
      <c r="S29">
        <v>1.643886</v>
      </c>
      <c r="T29">
        <v>1.6569700000000001</v>
      </c>
      <c r="U29">
        <v>1.6730290000000001</v>
      </c>
      <c r="V29">
        <v>1.689535</v>
      </c>
      <c r="W29">
        <v>1.7095309999999999</v>
      </c>
      <c r="X29">
        <v>1.7356860000000001</v>
      </c>
      <c r="Y29">
        <v>1.765218</v>
      </c>
      <c r="Z29">
        <v>1.800872</v>
      </c>
      <c r="AA29">
        <v>1.8376170000000001</v>
      </c>
      <c r="AB29">
        <v>1.8773420000000001</v>
      </c>
      <c r="AC29">
        <v>1.903492</v>
      </c>
      <c r="AD29">
        <v>1.936812</v>
      </c>
      <c r="AE29" s="4">
        <v>1.7677639241184664</v>
      </c>
    </row>
    <row r="30" spans="1:31" x14ac:dyDescent="0.25">
      <c r="A30" t="s">
        <v>76</v>
      </c>
      <c r="B30" t="s">
        <v>56</v>
      </c>
      <c r="C30" t="s">
        <v>48</v>
      </c>
      <c r="D30">
        <v>2.8314219999999999</v>
      </c>
      <c r="E30">
        <v>2.8019780000000001</v>
      </c>
      <c r="F30">
        <v>2.763226</v>
      </c>
      <c r="G30">
        <v>2.7375210000000001</v>
      </c>
      <c r="H30">
        <v>2.7176420000000001</v>
      </c>
      <c r="I30">
        <v>2.7110949999999998</v>
      </c>
      <c r="J30">
        <v>2.708996</v>
      </c>
      <c r="K30">
        <v>2.6991329999999998</v>
      </c>
      <c r="L30">
        <v>2.718728</v>
      </c>
      <c r="M30">
        <v>2.7108400000000001</v>
      </c>
      <c r="N30">
        <v>2.702296</v>
      </c>
      <c r="O30">
        <v>2.6961710000000001</v>
      </c>
      <c r="P30">
        <v>2.6976330000000002</v>
      </c>
      <c r="Q30">
        <v>2.69028</v>
      </c>
      <c r="R30">
        <v>2.6968049999999999</v>
      </c>
      <c r="S30">
        <v>2.693708</v>
      </c>
      <c r="T30">
        <v>2.7017479999999998</v>
      </c>
      <c r="U30">
        <v>2.7049409999999998</v>
      </c>
      <c r="V30">
        <v>2.7118090000000001</v>
      </c>
      <c r="W30">
        <v>2.7292930000000002</v>
      </c>
      <c r="X30">
        <v>2.7425120000000001</v>
      </c>
      <c r="Y30">
        <v>2.7675429999999999</v>
      </c>
      <c r="Z30">
        <v>2.7999839999999998</v>
      </c>
      <c r="AA30">
        <v>2.8268749999999998</v>
      </c>
      <c r="AB30">
        <v>2.8523070000000001</v>
      </c>
      <c r="AC30">
        <v>2.8778160000000002</v>
      </c>
      <c r="AD30">
        <v>2.9043610000000002</v>
      </c>
      <c r="AE30" s="4">
        <v>2.5760554237411561E-2</v>
      </c>
    </row>
    <row r="31" spans="1:31" x14ac:dyDescent="0.25">
      <c r="A31" t="s">
        <v>77</v>
      </c>
      <c r="B31" t="s">
        <v>54</v>
      </c>
      <c r="C31" t="s">
        <v>53</v>
      </c>
      <c r="D31">
        <v>7.0276269999999998</v>
      </c>
      <c r="E31">
        <v>6.9532280000000002</v>
      </c>
      <c r="F31">
        <v>5.5457770000000002</v>
      </c>
      <c r="G31">
        <v>5.4086959999999999</v>
      </c>
      <c r="H31">
        <v>5.2793739999999998</v>
      </c>
      <c r="I31">
        <v>5.4550710000000002</v>
      </c>
      <c r="J31">
        <v>5.5363189999999998</v>
      </c>
      <c r="K31">
        <v>5.5703620000000003</v>
      </c>
      <c r="L31">
        <v>6.0013569999999996</v>
      </c>
      <c r="M31">
        <v>6.2515039999999997</v>
      </c>
      <c r="N31">
        <v>6.2160019999999996</v>
      </c>
      <c r="O31">
        <v>6.3827999999999996</v>
      </c>
      <c r="P31">
        <v>6.9672470000000004</v>
      </c>
      <c r="Q31">
        <v>6.9127039999999997</v>
      </c>
      <c r="R31">
        <v>6.9448910000000001</v>
      </c>
      <c r="S31">
        <v>6.8995179999999996</v>
      </c>
      <c r="T31">
        <v>7.0102380000000002</v>
      </c>
      <c r="U31">
        <v>7.0312400000000004</v>
      </c>
      <c r="V31">
        <v>7.107577</v>
      </c>
      <c r="W31">
        <v>7.4133209999999998</v>
      </c>
      <c r="X31">
        <v>7.7851819999999998</v>
      </c>
      <c r="Y31">
        <v>8.1203249999999993</v>
      </c>
      <c r="Z31">
        <v>8.5229940000000006</v>
      </c>
      <c r="AA31">
        <v>9.1195090000000008</v>
      </c>
      <c r="AB31">
        <v>9.0910899999999994</v>
      </c>
      <c r="AC31">
        <v>9.082236</v>
      </c>
      <c r="AD31">
        <v>9.2360140000000008</v>
      </c>
      <c r="AE31" s="4" cm="1">
        <f t="array" ref="AE31:AE33">(AD31:AD33-D31:D33)/D31:D33</f>
        <v>0.31424362732968059</v>
      </c>
    </row>
    <row r="32" spans="1:31" x14ac:dyDescent="0.25">
      <c r="A32" t="s">
        <v>77</v>
      </c>
      <c r="B32" t="s">
        <v>55</v>
      </c>
      <c r="C32" t="s">
        <v>53</v>
      </c>
      <c r="D32">
        <v>0.69977500000000004</v>
      </c>
      <c r="E32">
        <v>0.76150099999999998</v>
      </c>
      <c r="F32">
        <v>0.81798000000000004</v>
      </c>
      <c r="G32">
        <v>0.88141999999999998</v>
      </c>
      <c r="H32">
        <v>0.96299900000000005</v>
      </c>
      <c r="I32">
        <v>1.045758</v>
      </c>
      <c r="J32">
        <v>1.1429860000000001</v>
      </c>
      <c r="K32">
        <v>1.241096</v>
      </c>
      <c r="L32">
        <v>1.36894</v>
      </c>
      <c r="M32">
        <v>1.536913</v>
      </c>
      <c r="N32">
        <v>1.6782889999999999</v>
      </c>
      <c r="O32">
        <v>1.823224</v>
      </c>
      <c r="P32">
        <v>1.963349</v>
      </c>
      <c r="Q32">
        <v>2.0834260000000002</v>
      </c>
      <c r="R32">
        <v>2.1470060000000002</v>
      </c>
      <c r="S32">
        <v>2.2108599999999998</v>
      </c>
      <c r="T32">
        <v>2.2753420000000002</v>
      </c>
      <c r="U32">
        <v>2.3464550000000002</v>
      </c>
      <c r="V32">
        <v>2.421287</v>
      </c>
      <c r="W32">
        <v>2.5044919999999999</v>
      </c>
      <c r="X32">
        <v>2.5994429999999999</v>
      </c>
      <c r="Y32">
        <v>2.703322</v>
      </c>
      <c r="Z32">
        <v>2.8202989999999999</v>
      </c>
      <c r="AA32">
        <v>2.9434659999999999</v>
      </c>
      <c r="AB32">
        <v>3.0756649999999999</v>
      </c>
      <c r="AC32">
        <v>3.1889289999999999</v>
      </c>
      <c r="AD32">
        <v>3.3174450000000002</v>
      </c>
      <c r="AE32" s="4">
        <v>3.7407309492336824</v>
      </c>
    </row>
    <row r="33" spans="1:31" x14ac:dyDescent="0.25">
      <c r="A33" t="s">
        <v>77</v>
      </c>
      <c r="B33" t="s">
        <v>56</v>
      </c>
      <c r="C33" t="s">
        <v>53</v>
      </c>
      <c r="D33">
        <v>2.8314219999999999</v>
      </c>
      <c r="E33">
        <v>2.8594629999999999</v>
      </c>
      <c r="F33">
        <v>2.867537</v>
      </c>
      <c r="G33">
        <v>2.8882099999999999</v>
      </c>
      <c r="H33">
        <v>2.921376</v>
      </c>
      <c r="I33">
        <v>2.9660350000000002</v>
      </c>
      <c r="J33">
        <v>3.0191180000000002</v>
      </c>
      <c r="K33">
        <v>3.0699700000000001</v>
      </c>
      <c r="L33">
        <v>3.1575980000000001</v>
      </c>
      <c r="M33">
        <v>3.2169569999999998</v>
      </c>
      <c r="N33">
        <v>3.2778230000000002</v>
      </c>
      <c r="O33">
        <v>3.3412950000000001</v>
      </c>
      <c r="P33">
        <v>3.4122940000000002</v>
      </c>
      <c r="Q33">
        <v>3.4737710000000002</v>
      </c>
      <c r="R33">
        <v>3.5541369999999999</v>
      </c>
      <c r="S33">
        <v>3.6227640000000001</v>
      </c>
      <c r="T33">
        <v>3.710026</v>
      </c>
      <c r="U33">
        <v>3.79373</v>
      </c>
      <c r="V33">
        <v>3.886317</v>
      </c>
      <c r="W33">
        <v>3.9984600000000001</v>
      </c>
      <c r="X33">
        <v>4.1073130000000004</v>
      </c>
      <c r="Y33">
        <v>4.2383199999999999</v>
      </c>
      <c r="Z33">
        <v>4.3849840000000002</v>
      </c>
      <c r="AA33">
        <v>4.5280430000000003</v>
      </c>
      <c r="AB33">
        <v>4.6729580000000004</v>
      </c>
      <c r="AC33">
        <v>4.821218</v>
      </c>
      <c r="AD33">
        <v>4.9746990000000002</v>
      </c>
      <c r="AE33" s="4">
        <v>0.75696134309898011</v>
      </c>
    </row>
    <row r="34" spans="1:31" x14ac:dyDescent="0.25">
      <c r="A34" t="s">
        <v>57</v>
      </c>
      <c r="B34" t="s">
        <v>58</v>
      </c>
      <c r="C34" t="s">
        <v>59</v>
      </c>
      <c r="D34">
        <v>23.033961999999999</v>
      </c>
      <c r="E34">
        <v>23.284013999999999</v>
      </c>
      <c r="F34">
        <v>22.792038000000002</v>
      </c>
      <c r="G34">
        <v>19.361507</v>
      </c>
      <c r="H34">
        <v>18.730205999999999</v>
      </c>
      <c r="I34">
        <v>17.056979999999999</v>
      </c>
      <c r="J34">
        <v>17.208580000000001</v>
      </c>
      <c r="K34">
        <v>16.467887999999999</v>
      </c>
      <c r="L34">
        <v>7.8374189999999997</v>
      </c>
      <c r="M34">
        <v>7.4168130000000003</v>
      </c>
      <c r="N34">
        <v>6.2533269999999996</v>
      </c>
      <c r="O34">
        <v>5.9240060000000003</v>
      </c>
      <c r="P34">
        <v>5.3901950000000003</v>
      </c>
      <c r="Q34">
        <v>4.577134</v>
      </c>
      <c r="R34">
        <v>4.2517290000000001</v>
      </c>
      <c r="S34">
        <v>3.0263469999999999</v>
      </c>
      <c r="T34">
        <v>3.1082550000000002</v>
      </c>
      <c r="U34">
        <v>3.2424729999999999</v>
      </c>
      <c r="V34">
        <v>3.3064710000000002</v>
      </c>
      <c r="W34">
        <v>3.2283909999999998</v>
      </c>
      <c r="X34">
        <v>3.2548539999999999</v>
      </c>
      <c r="Y34">
        <v>3.2143299999999999</v>
      </c>
      <c r="Z34">
        <v>3.281352</v>
      </c>
      <c r="AA34">
        <v>3.225368</v>
      </c>
      <c r="AB34">
        <v>3.3641559999999999</v>
      </c>
      <c r="AC34">
        <v>3.4598719999999998</v>
      </c>
      <c r="AD34">
        <v>3.6905450000000002</v>
      </c>
      <c r="AE34" s="4" cm="1">
        <f t="array" ref="AE34:AE38">(AD34:AD38-D34:D38)/D34:D38</f>
        <v>-0.83977810677989306</v>
      </c>
    </row>
    <row r="35" spans="1:31" x14ac:dyDescent="0.25">
      <c r="A35" t="s">
        <v>57</v>
      </c>
      <c r="B35" t="s">
        <v>60</v>
      </c>
      <c r="C35" t="s">
        <v>59</v>
      </c>
      <c r="D35">
        <v>84.457909000000001</v>
      </c>
      <c r="E35">
        <v>85.374756000000005</v>
      </c>
      <c r="F35">
        <v>83.570792999999995</v>
      </c>
      <c r="G35">
        <v>70.992264000000006</v>
      </c>
      <c r="H35">
        <v>68.677391</v>
      </c>
      <c r="I35">
        <v>62.542259000000001</v>
      </c>
      <c r="J35">
        <v>63.098140999999998</v>
      </c>
      <c r="K35">
        <v>60.382213999999998</v>
      </c>
      <c r="L35">
        <v>28.737193999999999</v>
      </c>
      <c r="M35">
        <v>27.194991999999999</v>
      </c>
      <c r="N35">
        <v>22.928875000000001</v>
      </c>
      <c r="O35">
        <v>21.721357000000001</v>
      </c>
      <c r="P35">
        <v>19.764047999999999</v>
      </c>
      <c r="Q35">
        <v>16.782824000000002</v>
      </c>
      <c r="R35">
        <v>15.589672999999999</v>
      </c>
      <c r="S35">
        <v>11.096607000000001</v>
      </c>
      <c r="T35">
        <v>11.396939</v>
      </c>
      <c r="U35">
        <v>11.889072000000001</v>
      </c>
      <c r="V35">
        <v>12.123734000000001</v>
      </c>
      <c r="W35">
        <v>11.837441</v>
      </c>
      <c r="X35">
        <v>11.934468000000001</v>
      </c>
      <c r="Y35">
        <v>11.785879</v>
      </c>
      <c r="Z35">
        <v>12.031625999999999</v>
      </c>
      <c r="AA35">
        <v>11.826347</v>
      </c>
      <c r="AB35">
        <v>12.335239</v>
      </c>
      <c r="AC35">
        <v>12.686197999999999</v>
      </c>
      <c r="AD35">
        <v>13.532</v>
      </c>
      <c r="AE35" s="4">
        <v>-0.83977817873752958</v>
      </c>
    </row>
    <row r="36" spans="1:31" x14ac:dyDescent="0.25">
      <c r="A36" t="s">
        <v>57</v>
      </c>
      <c r="B36" t="s">
        <v>61</v>
      </c>
      <c r="C36" t="s">
        <v>59</v>
      </c>
      <c r="D36">
        <v>6.0004000000000002E-2</v>
      </c>
      <c r="E36">
        <v>6.3973000000000002E-2</v>
      </c>
      <c r="F36">
        <v>5.0722000000000003E-2</v>
      </c>
      <c r="G36">
        <v>4.0343999999999998E-2</v>
      </c>
      <c r="H36">
        <v>4.5205000000000002E-2</v>
      </c>
      <c r="I36">
        <v>3.773E-2</v>
      </c>
      <c r="J36">
        <v>6.8880999999999998E-2</v>
      </c>
      <c r="K36">
        <v>7.2710999999999998E-2</v>
      </c>
      <c r="L36">
        <v>7.7140000000000004E-3</v>
      </c>
      <c r="M36">
        <v>8.2749999999999994E-3</v>
      </c>
      <c r="N36">
        <v>7.7840000000000001E-3</v>
      </c>
      <c r="O36">
        <v>7.9520000000000007E-3</v>
      </c>
      <c r="P36">
        <v>7.5420000000000001E-3</v>
      </c>
      <c r="Q36">
        <v>9.8049999999999995E-3</v>
      </c>
      <c r="R36">
        <v>9.6089999999999995E-3</v>
      </c>
      <c r="S36">
        <v>2.1800000000000001E-4</v>
      </c>
      <c r="T36">
        <v>2.2699999999999999E-4</v>
      </c>
      <c r="U36">
        <v>2.3599999999999999E-4</v>
      </c>
      <c r="V36">
        <v>2.4499999999999999E-4</v>
      </c>
      <c r="W36">
        <v>2.5399999999999999E-4</v>
      </c>
      <c r="X36">
        <v>2.61E-4</v>
      </c>
      <c r="Y36">
        <v>2.6699999999999998E-4</v>
      </c>
      <c r="Z36">
        <v>2.7300000000000002E-4</v>
      </c>
      <c r="AA36">
        <v>2.7900000000000001E-4</v>
      </c>
      <c r="AB36">
        <v>2.8200000000000002E-4</v>
      </c>
      <c r="AC36">
        <v>2.8200000000000002E-4</v>
      </c>
      <c r="AD36">
        <v>2.8400000000000002E-4</v>
      </c>
      <c r="AE36" s="4">
        <v>-0.99526698220118659</v>
      </c>
    </row>
    <row r="37" spans="1:31" x14ac:dyDescent="0.25">
      <c r="A37" t="s">
        <v>57</v>
      </c>
      <c r="B37" t="s">
        <v>62</v>
      </c>
      <c r="C37" t="s">
        <v>59</v>
      </c>
      <c r="D37">
        <v>2.5507999999999999E-2</v>
      </c>
      <c r="E37">
        <v>2.6606999999999999E-2</v>
      </c>
      <c r="F37">
        <v>2.4161999999999999E-2</v>
      </c>
      <c r="G37">
        <v>2.1037E-2</v>
      </c>
      <c r="H37">
        <v>2.0518999999999999E-2</v>
      </c>
      <c r="I37">
        <v>1.9618E-2</v>
      </c>
      <c r="J37">
        <v>2.5384E-2</v>
      </c>
      <c r="K37">
        <v>2.3609000000000002E-2</v>
      </c>
      <c r="L37">
        <v>5.7660000000000003E-3</v>
      </c>
      <c r="M37">
        <v>5.476E-3</v>
      </c>
      <c r="N37">
        <v>5.2529999999999999E-3</v>
      </c>
      <c r="O37">
        <v>5.2570000000000004E-3</v>
      </c>
      <c r="P37">
        <v>4.5970000000000004E-3</v>
      </c>
      <c r="Q37">
        <v>4.0350000000000004E-3</v>
      </c>
      <c r="R37">
        <v>3.7750000000000001E-3</v>
      </c>
      <c r="S37">
        <v>2.941E-3</v>
      </c>
      <c r="T37">
        <v>3.0850000000000001E-3</v>
      </c>
      <c r="U37">
        <v>3.14E-3</v>
      </c>
      <c r="V37">
        <v>3.313E-3</v>
      </c>
      <c r="W37">
        <v>3.0899999999999999E-3</v>
      </c>
      <c r="X37">
        <v>3.1510000000000002E-3</v>
      </c>
      <c r="Y37">
        <v>3.0850000000000001E-3</v>
      </c>
      <c r="Z37">
        <v>3.1840000000000002E-3</v>
      </c>
      <c r="AA37">
        <v>3.0990000000000002E-3</v>
      </c>
      <c r="AB37">
        <v>3.0899999999999999E-3</v>
      </c>
      <c r="AC37">
        <v>3.2260000000000001E-3</v>
      </c>
      <c r="AD37">
        <v>3.1440000000000001E-3</v>
      </c>
      <c r="AE37" s="4">
        <v>-0.876744550729183</v>
      </c>
    </row>
    <row r="38" spans="1:31" x14ac:dyDescent="0.25">
      <c r="A38" t="s">
        <v>57</v>
      </c>
      <c r="B38" t="s">
        <v>63</v>
      </c>
      <c r="C38" t="s">
        <v>64</v>
      </c>
      <c r="D38">
        <v>0.265434</v>
      </c>
      <c r="E38">
        <v>0.26993400000000001</v>
      </c>
      <c r="F38">
        <v>0.23440800000000001</v>
      </c>
      <c r="G38">
        <v>0.166577</v>
      </c>
      <c r="H38">
        <v>0.15624399999999999</v>
      </c>
      <c r="I38">
        <v>0.13606399999999999</v>
      </c>
      <c r="J38">
        <v>0.139822</v>
      </c>
      <c r="K38">
        <v>0.134433</v>
      </c>
      <c r="L38">
        <v>9.3519999999999992E-3</v>
      </c>
      <c r="M38">
        <v>9.5720000000000006E-3</v>
      </c>
      <c r="N38">
        <v>9.0200000000000002E-3</v>
      </c>
      <c r="O38">
        <v>8.933E-3</v>
      </c>
      <c r="P38">
        <v>7.9729999999999992E-3</v>
      </c>
      <c r="Q38">
        <v>8.5299999999999994E-3</v>
      </c>
      <c r="R38">
        <v>8.4180000000000001E-3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 s="4">
        <v>-1</v>
      </c>
    </row>
    <row r="39" spans="1:31" x14ac:dyDescent="0.25">
      <c r="A39" t="s">
        <v>65</v>
      </c>
      <c r="B39" t="s">
        <v>66</v>
      </c>
      <c r="C39" t="s">
        <v>71</v>
      </c>
      <c r="D39" cm="1">
        <f t="array" ref="D39:D42">907185*D34:D37*10^6/(D17*10^9)</f>
        <v>107.93482845938794</v>
      </c>
      <c r="E39" cm="1">
        <f t="array" ref="E39:E42">907185*E34:E37*10^6/(E17*10^9)</f>
        <v>106.96606979591947</v>
      </c>
      <c r="F39" cm="1">
        <f t="array" ref="F39:F42">907185*F34:F37*10^6/(F17*10^9)</f>
        <v>105.04566346262396</v>
      </c>
      <c r="G39" cm="1">
        <f t="array" ref="G39:G42">907185*G34:G37*10^6/(G17*10^9)</f>
        <v>92.413987599161999</v>
      </c>
      <c r="H39" cm="1">
        <f t="array" ref="H39:H42">907185*H34:H37*10^6/(H17*10^9)</f>
        <v>89.660990643877511</v>
      </c>
      <c r="I39" cm="1">
        <f t="array" ref="I39:I42">907185*I34:I37*10^6/(I17*10^9)</f>
        <v>80.539925304441169</v>
      </c>
      <c r="J39" cm="1">
        <f t="array" ref="J39:J42">907185*J34:J37*10^6/(J17*10^9)</f>
        <v>80.127091942799098</v>
      </c>
      <c r="K39" cm="1">
        <f t="array" ref="K39:K42">907185*K34:K37*10^6/(K17*10^9)</f>
        <v>75.642012414550507</v>
      </c>
      <c r="L39" cm="1">
        <f t="array" ref="L39:L42">907185*L34:L37*10^6/(L17*10^9)</f>
        <v>37.144350224617874</v>
      </c>
      <c r="M39" cm="1">
        <f t="array" ref="M39:M42">907185*M34:M37*10^6/(M17*10^9)</f>
        <v>31.754132982560559</v>
      </c>
      <c r="N39" cm="1">
        <f t="array" ref="N39:N42">907185*N34:N37*10^6/(N17*10^9)</f>
        <v>25.205727571548962</v>
      </c>
      <c r="O39" cm="1">
        <f t="array" ref="O39:O42">907185*O34:O37*10^6/(O17*10^9)</f>
        <v>22.482926538127177</v>
      </c>
      <c r="P39" cm="1">
        <f t="array" ref="P39:P42">907185*P34:P37*10^6/(P17*10^9)</f>
        <v>19.434244957237105</v>
      </c>
      <c r="Q39" cm="1">
        <f t="array" ref="Q39:Q42">907185*Q34:Q37*10^6/(Q17*10^9)</f>
        <v>16.569829358353072</v>
      </c>
      <c r="R39" cm="1">
        <f t="array" ref="R39:R42">907185*R34:R37*10^6/(R17*10^9)</f>
        <v>15.526904632747435</v>
      </c>
      <c r="S39" cm="1">
        <f t="array" ref="S39:S42">907185*S34:S37*10^6/(S17*10^9)</f>
        <v>11.346191939155149</v>
      </c>
      <c r="T39" cm="1">
        <f t="array" ref="T39:T42">907185*T34:T37*10^6/(T17*10^9)</f>
        <v>11.562675670301138</v>
      </c>
      <c r="U39" cm="1">
        <f t="array" ref="U39:U42">907185*U34:U37*10^6/(U17*10^9)</f>
        <v>11.938355303321378</v>
      </c>
      <c r="V39" cm="1">
        <f t="array" ref="V39:V42">907185*V34:V37*10^6/(V17*10^9)</f>
        <v>12.126666098688808</v>
      </c>
      <c r="W39" cm="1">
        <f t="array" ref="W39:W42">907185*W34:W37*10^6/(W17*10^9)</f>
        <v>11.8209537355165</v>
      </c>
      <c r="X39" cm="1">
        <f t="array" ref="X39:X42">907185*X34:X37*10^6/(X17*10^9)</f>
        <v>11.901986596854849</v>
      </c>
      <c r="Y39" cm="1">
        <f t="array" ref="Y39:Y42">907185*Y34:Y37*10^6/(Y17*10^9)</f>
        <v>11.700774878127929</v>
      </c>
      <c r="Z39" cm="1">
        <f t="array" ref="Z39:Z42">907185*Z34:Z37*10^6/(Z17*10^9)</f>
        <v>11.913033801980681</v>
      </c>
      <c r="AA39" cm="1">
        <f t="array" ref="AA39:AA42">907185*AA34:AA37*10^6/(AA17*10^9)</f>
        <v>11.533577787228426</v>
      </c>
      <c r="AB39" cm="1">
        <f t="array" ref="AB39:AB42">907185*AB34:AB37*10^6/(AB17*10^9)</f>
        <v>11.875387404301538</v>
      </c>
      <c r="AC39" cm="1">
        <f t="array" ref="AC39:AC42">907185*AC34:AC37*10^6/(AC17*10^9)</f>
        <v>12.108163709075566</v>
      </c>
      <c r="AD39" cm="1">
        <f t="array" ref="AD39:AD42">907185*AD34:AD37*10^6/(AD17*10^9)</f>
        <v>12.645790743082397</v>
      </c>
      <c r="AE39" s="4" cm="1">
        <f t="array" ref="AE39:AE43">(AD39:AD43-D39:D43)/D39:D43</f>
        <v>-0.88283864510109855</v>
      </c>
    </row>
    <row r="40" spans="1:31" x14ac:dyDescent="0.25">
      <c r="A40" t="s">
        <v>65</v>
      </c>
      <c r="B40" t="s">
        <v>67</v>
      </c>
      <c r="C40" t="s">
        <v>71</v>
      </c>
      <c r="D40">
        <v>395.76126416955958</v>
      </c>
      <c r="E40">
        <v>392.20909715591114</v>
      </c>
      <c r="F40">
        <v>385.16737278090744</v>
      </c>
      <c r="G40">
        <v>338.85162993420056</v>
      </c>
      <c r="H40">
        <v>328.75681729805416</v>
      </c>
      <c r="I40">
        <v>295.31305472780139</v>
      </c>
      <c r="J40">
        <v>293.79940386288121</v>
      </c>
      <c r="K40">
        <v>277.35385260125923</v>
      </c>
      <c r="L40">
        <v>136.19590816935874</v>
      </c>
      <c r="M40">
        <v>116.43186803114362</v>
      </c>
      <c r="N40">
        <v>92.421038716206553</v>
      </c>
      <c r="O40">
        <v>82.437403631838734</v>
      </c>
      <c r="P40">
        <v>71.258896974709103</v>
      </c>
      <c r="Q40">
        <v>60.756038567206588</v>
      </c>
      <c r="R40">
        <v>56.931983653407265</v>
      </c>
      <c r="S40">
        <v>41.602708775752617</v>
      </c>
      <c r="T40">
        <v>42.396492337728461</v>
      </c>
      <c r="U40">
        <v>43.773985400270014</v>
      </c>
      <c r="V40">
        <v>44.464468034747881</v>
      </c>
      <c r="W40">
        <v>43.343523881681676</v>
      </c>
      <c r="X40">
        <v>43.640629710762184</v>
      </c>
      <c r="Y40">
        <v>42.902849713581212</v>
      </c>
      <c r="Z40">
        <v>43.681131201647858</v>
      </c>
      <c r="AA40">
        <v>42.289776876082215</v>
      </c>
      <c r="AB40">
        <v>43.543088325764046</v>
      </c>
      <c r="AC40">
        <v>44.396602599676235</v>
      </c>
      <c r="AD40">
        <v>46.367905102197909</v>
      </c>
      <c r="AE40" s="4">
        <v>-0.88283869771971391</v>
      </c>
    </row>
    <row r="41" spans="1:31" x14ac:dyDescent="0.25">
      <c r="A41" t="s">
        <v>65</v>
      </c>
      <c r="B41" t="s">
        <v>68</v>
      </c>
      <c r="C41" t="s">
        <v>71</v>
      </c>
      <c r="D41">
        <v>0.2811727069306233</v>
      </c>
      <c r="E41">
        <v>0.29389006479099161</v>
      </c>
      <c r="F41">
        <v>0.23377137850293217</v>
      </c>
      <c r="G41">
        <v>0.19256506818919572</v>
      </c>
      <c r="H41">
        <v>0.21639511503805581</v>
      </c>
      <c r="I41">
        <v>0.17815412703400985</v>
      </c>
      <c r="J41">
        <v>0.32072572054823489</v>
      </c>
      <c r="K41">
        <v>0.33398371209923106</v>
      </c>
      <c r="L41">
        <v>3.655942315100192E-2</v>
      </c>
      <c r="M41">
        <v>3.5428350482975449E-2</v>
      </c>
      <c r="N41">
        <v>3.1375519530153648E-2</v>
      </c>
      <c r="O41">
        <v>3.0179616940156254E-2</v>
      </c>
      <c r="P41">
        <v>2.7192536720375096E-2</v>
      </c>
      <c r="Q41">
        <v>3.5495394467073033E-2</v>
      </c>
      <c r="R41">
        <v>3.5091142125020215E-2</v>
      </c>
      <c r="S41">
        <v>8.1731204079896409E-4</v>
      </c>
      <c r="T41">
        <v>8.4443759510025994E-4</v>
      </c>
      <c r="U41">
        <v>8.6892068232606568E-4</v>
      </c>
      <c r="V41">
        <v>8.9855111210071341E-4</v>
      </c>
      <c r="W41">
        <v>9.3003674239619408E-4</v>
      </c>
      <c r="X41">
        <v>9.5439565085841515E-4</v>
      </c>
      <c r="Y41">
        <v>9.7193097549416415E-4</v>
      </c>
      <c r="Z41">
        <v>9.9113360222881494E-4</v>
      </c>
      <c r="AA41">
        <v>9.9767474676896745E-4</v>
      </c>
      <c r="AB41">
        <v>9.9545301942390117E-4</v>
      </c>
      <c r="AC41">
        <v>9.8688684609121681E-4</v>
      </c>
      <c r="AD41">
        <v>9.7313664270057699E-4</v>
      </c>
      <c r="AE41" s="4">
        <v>-0.99653900745444435</v>
      </c>
    </row>
    <row r="42" spans="1:31" x14ac:dyDescent="0.25">
      <c r="A42" t="s">
        <v>65</v>
      </c>
      <c r="B42" t="s">
        <v>69</v>
      </c>
      <c r="C42" t="s">
        <v>71</v>
      </c>
      <c r="D42">
        <v>0.11952792161166488</v>
      </c>
      <c r="E42">
        <v>0.12223176893211064</v>
      </c>
      <c r="F42">
        <v>0.11135964763589461</v>
      </c>
      <c r="G42">
        <v>0.10041124676522187</v>
      </c>
      <c r="H42">
        <v>9.8223899247115734E-2</v>
      </c>
      <c r="I42">
        <v>9.2632591151688454E-2</v>
      </c>
      <c r="J42">
        <v>0.11819372091572994</v>
      </c>
      <c r="K42">
        <v>0.10844330925101771</v>
      </c>
      <c r="L42">
        <v>2.7327149842970844E-2</v>
      </c>
      <c r="M42">
        <v>2.3444791207827619E-2</v>
      </c>
      <c r="N42">
        <v>2.1173638757951838E-2</v>
      </c>
      <c r="O42">
        <v>1.9951489720120907E-2</v>
      </c>
      <c r="P42">
        <v>1.6574395558679969E-2</v>
      </c>
      <c r="Q42">
        <v>1.4607232705215679E-2</v>
      </c>
      <c r="R42">
        <v>1.3785936259959553E-2</v>
      </c>
      <c r="S42">
        <v>1.1026214275182354E-2</v>
      </c>
      <c r="T42">
        <v>1.1476167316670933E-2</v>
      </c>
      <c r="U42">
        <v>1.1561063315694264E-2</v>
      </c>
      <c r="V42">
        <v>1.2150611568937403E-2</v>
      </c>
      <c r="W42">
        <v>1.1314226511827714E-2</v>
      </c>
      <c r="X42">
        <v>1.1522224888332822E-2</v>
      </c>
      <c r="Y42">
        <v>1.1229988986514968E-2</v>
      </c>
      <c r="Z42">
        <v>1.1559594833320683E-2</v>
      </c>
      <c r="AA42">
        <v>1.108169906894993E-2</v>
      </c>
      <c r="AB42">
        <v>1.0907623510708704E-2</v>
      </c>
      <c r="AC42">
        <v>1.1289705551383918E-2</v>
      </c>
      <c r="AD42">
        <v>1.0773033819192302E-2</v>
      </c>
      <c r="AE42" s="4">
        <v>-0.90987014854827908</v>
      </c>
    </row>
    <row r="43" spans="1:31" x14ac:dyDescent="0.25">
      <c r="A43" t="s">
        <v>65</v>
      </c>
      <c r="B43" t="s">
        <v>70</v>
      </c>
      <c r="C43" t="s">
        <v>71</v>
      </c>
      <c r="D43">
        <f>907185*D38/(D17*10^9)</f>
        <v>1.2437970183891587E-6</v>
      </c>
      <c r="E43">
        <f>907185*E38/(E17*10^9)</f>
        <v>1.240068790728769E-6</v>
      </c>
      <c r="F43">
        <f>907185*F38/(F17*10^9)</f>
        <v>1.0803572669081528E-6</v>
      </c>
      <c r="G43">
        <f>907185*G38/(G17*10^9)</f>
        <v>7.9508505264107827E-7</v>
      </c>
      <c r="H43">
        <f>907185*H38/(H17*10^9)</f>
        <v>7.4793581139267766E-7</v>
      </c>
      <c r="I43">
        <f>907185*I38/(I17*10^9)</f>
        <v>6.4246920595694446E-7</v>
      </c>
      <c r="J43">
        <f>907185*J38/(J17*10^9)</f>
        <v>6.5104327315943865E-7</v>
      </c>
      <c r="K43">
        <f>907185*K38/(K17*10^9)</f>
        <v>6.1749160881621669E-7</v>
      </c>
      <c r="L43">
        <f>907185*L38/(L17*10^9)</f>
        <v>4.4322494854572192E-8</v>
      </c>
      <c r="M43">
        <f>907185*M38/(M17*10^9)</f>
        <v>4.0981289525443023E-8</v>
      </c>
      <c r="N43">
        <f>907185*N38/(N17*10^9)</f>
        <v>3.6357552179083494E-8</v>
      </c>
      <c r="O43">
        <f>907185*O38/(O17*10^9)</f>
        <v>3.3902731152718286E-8</v>
      </c>
      <c r="P43">
        <f>907185*P38/(P17*10^9)</f>
        <v>2.8746498975278521E-8</v>
      </c>
      <c r="Q43">
        <f>907185*Q38/(Q17*10^9)</f>
        <v>3.0879726140146149E-8</v>
      </c>
      <c r="R43">
        <f>907185*R38/(R17*10^9)</f>
        <v>3.0741724883798548E-8</v>
      </c>
      <c r="S43">
        <f>907185*S38/(S17*10^9)</f>
        <v>0</v>
      </c>
      <c r="T43">
        <f>907185*T38/(T17*10^9)</f>
        <v>0</v>
      </c>
      <c r="U43">
        <f>907185*U38/(U17*10^9)</f>
        <v>0</v>
      </c>
      <c r="V43">
        <f>907185*V38/(V17*10^9)</f>
        <v>0</v>
      </c>
      <c r="W43">
        <f>907185*W38/(W17*10^9)</f>
        <v>0</v>
      </c>
      <c r="X43">
        <f>907185*X38/(X17*10^9)</f>
        <v>0</v>
      </c>
      <c r="Y43">
        <f>907185*Y38/(Y17*10^9)</f>
        <v>0</v>
      </c>
      <c r="Z43">
        <f>907185*Z38/(Z17*10^9)</f>
        <v>0</v>
      </c>
      <c r="AA43">
        <f>907185*AA38/(AA17*10^9)</f>
        <v>0</v>
      </c>
      <c r="AB43">
        <f>907185*AB38/(AB17*10^9)</f>
        <v>0</v>
      </c>
      <c r="AC43">
        <f>907185*AC38/(AC17*10^9)</f>
        <v>0</v>
      </c>
      <c r="AD43">
        <f>907185*AD38/(AD17*10^9)</f>
        <v>0</v>
      </c>
      <c r="AE43" s="4">
        <v>-1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E43"/>
  <sheetViews>
    <sheetView tabSelected="1" topLeftCell="H1" zoomScale="55" zoomScaleNormal="55" workbookViewId="0">
      <selection sqref="A1:A1048576"/>
    </sheetView>
  </sheetViews>
  <sheetFormatPr defaultRowHeight="15" x14ac:dyDescent="0.25"/>
  <cols>
    <col min="1" max="1" width="50.28515625" bestFit="1" customWidth="1"/>
    <col min="2" max="2" width="35.7109375" bestFit="1" customWidth="1"/>
    <col min="3" max="3" width="17.5703125" bestFit="1" customWidth="1"/>
    <col min="4" max="30" width="16" bestFit="1" customWidth="1"/>
    <col min="31" max="31" width="27.42578125" bestFit="1" customWidth="1"/>
  </cols>
  <sheetData>
    <row r="1" spans="1:31" s="3" customFormat="1" ht="15.75" thickBot="1" x14ac:dyDescent="0.3">
      <c r="A1" s="3" t="s">
        <v>72</v>
      </c>
      <c r="B1" s="1" t="s">
        <v>73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</row>
    <row r="2" spans="1:31" ht="15.75" thickTop="1" x14ac:dyDescent="0.25">
      <c r="A2" t="s">
        <v>29</v>
      </c>
      <c r="B2" t="s">
        <v>30</v>
      </c>
      <c r="C2" t="s">
        <v>31</v>
      </c>
      <c r="D2">
        <v>37.790436</v>
      </c>
      <c r="E2">
        <v>32.739483</v>
      </c>
      <c r="F2">
        <v>31.723023999999999</v>
      </c>
      <c r="G2">
        <v>30.289555</v>
      </c>
      <c r="H2">
        <v>26.518761000000001</v>
      </c>
      <c r="I2">
        <v>22.974733000000001</v>
      </c>
      <c r="J2">
        <v>20.571539000000001</v>
      </c>
      <c r="K2">
        <v>20.549568000000001</v>
      </c>
      <c r="L2">
        <v>7.6481490000000001</v>
      </c>
      <c r="M2">
        <v>7.7486600000000001</v>
      </c>
      <c r="N2">
        <v>7.7392329999999996</v>
      </c>
      <c r="O2">
        <v>7.7165780000000002</v>
      </c>
      <c r="P2">
        <v>7.5727219999999997</v>
      </c>
      <c r="Q2">
        <v>7.0998349999999997</v>
      </c>
      <c r="R2">
        <v>7.0906830000000003</v>
      </c>
      <c r="S2">
        <v>5.9176209999999996</v>
      </c>
      <c r="T2">
        <v>5.9237149999999996</v>
      </c>
      <c r="U2">
        <v>5.929519</v>
      </c>
      <c r="V2">
        <v>5.9351250000000002</v>
      </c>
      <c r="W2">
        <v>5.9405939999999999</v>
      </c>
      <c r="X2">
        <v>5.3622019999999999</v>
      </c>
      <c r="Y2">
        <v>5.2948880000000003</v>
      </c>
      <c r="Z2">
        <v>0</v>
      </c>
      <c r="AA2">
        <v>0</v>
      </c>
      <c r="AB2">
        <v>0</v>
      </c>
      <c r="AC2">
        <v>0</v>
      </c>
      <c r="AD2">
        <v>0</v>
      </c>
      <c r="AE2" s="4" cm="1">
        <f t="array" ref="AE2:AE17">(AD2:AD17-D2:D17)/D2:D17</f>
        <v>-1</v>
      </c>
    </row>
    <row r="3" spans="1:31" x14ac:dyDescent="0.25">
      <c r="A3" t="s">
        <v>29</v>
      </c>
      <c r="B3" t="s">
        <v>32</v>
      </c>
      <c r="C3" t="s">
        <v>31</v>
      </c>
      <c r="D3">
        <v>0.28722999999999999</v>
      </c>
      <c r="E3">
        <v>0.25848599999999999</v>
      </c>
      <c r="F3">
        <v>0.24610299999999999</v>
      </c>
      <c r="G3">
        <v>0.218748</v>
      </c>
      <c r="H3">
        <v>0.18429699999999999</v>
      </c>
      <c r="I3">
        <v>0.15213499999999999</v>
      </c>
      <c r="J3">
        <v>0.12379</v>
      </c>
      <c r="K3">
        <v>0.115083</v>
      </c>
      <c r="L3">
        <v>5.8977000000000002E-2</v>
      </c>
      <c r="M3">
        <v>5.8443000000000002E-2</v>
      </c>
      <c r="N3">
        <v>5.8484000000000001E-2</v>
      </c>
      <c r="O3">
        <v>5.8524E-2</v>
      </c>
      <c r="P3">
        <v>5.8561000000000002E-2</v>
      </c>
      <c r="Q3">
        <v>5.8595000000000001E-2</v>
      </c>
      <c r="R3">
        <v>5.8625999999999998E-2</v>
      </c>
      <c r="S3">
        <v>5.8652999999999997E-2</v>
      </c>
      <c r="T3">
        <v>5.8677E-2</v>
      </c>
      <c r="U3">
        <v>5.8701000000000003E-2</v>
      </c>
      <c r="V3">
        <v>5.8722999999999997E-2</v>
      </c>
      <c r="W3">
        <v>5.8744999999999999E-2</v>
      </c>
      <c r="X3">
        <v>5.6422E-2</v>
      </c>
      <c r="Y3">
        <v>5.6152000000000001E-2</v>
      </c>
      <c r="Z3">
        <v>3.4887000000000001E-2</v>
      </c>
      <c r="AA3">
        <v>0</v>
      </c>
      <c r="AB3">
        <v>0</v>
      </c>
      <c r="AC3">
        <v>0</v>
      </c>
      <c r="AD3">
        <v>0</v>
      </c>
      <c r="AE3" s="4">
        <v>-1</v>
      </c>
    </row>
    <row r="4" spans="1:31" x14ac:dyDescent="0.25">
      <c r="A4" t="s">
        <v>29</v>
      </c>
      <c r="B4" t="s">
        <v>33</v>
      </c>
      <c r="C4" t="s">
        <v>31</v>
      </c>
      <c r="D4">
        <v>146.13200399999999</v>
      </c>
      <c r="E4">
        <v>145.580139</v>
      </c>
      <c r="F4">
        <v>145.413208</v>
      </c>
      <c r="G4">
        <v>145.616074</v>
      </c>
      <c r="H4">
        <v>145.081604</v>
      </c>
      <c r="I4">
        <v>141.28765899999999</v>
      </c>
      <c r="J4">
        <v>129.46785</v>
      </c>
      <c r="K4">
        <v>119.006142</v>
      </c>
      <c r="L4">
        <v>120.475319</v>
      </c>
      <c r="M4">
        <v>106.562225</v>
      </c>
      <c r="N4">
        <v>104.36035200000001</v>
      </c>
      <c r="O4">
        <v>100.468575</v>
      </c>
      <c r="P4">
        <v>96.124701999999999</v>
      </c>
      <c r="Q4">
        <v>91.253264999999999</v>
      </c>
      <c r="R4">
        <v>85.975746000000001</v>
      </c>
      <c r="S4">
        <v>84.922646</v>
      </c>
      <c r="T4">
        <v>83.130691999999996</v>
      </c>
      <c r="U4">
        <v>85.654555999999999</v>
      </c>
      <c r="V4">
        <v>82.098656000000005</v>
      </c>
      <c r="W4">
        <v>75.442916999999994</v>
      </c>
      <c r="X4">
        <v>75.258521999999999</v>
      </c>
      <c r="Y4">
        <v>74.654182000000006</v>
      </c>
      <c r="Z4">
        <v>74.752387999999996</v>
      </c>
      <c r="AA4">
        <v>70.248451000000003</v>
      </c>
      <c r="AB4">
        <v>69.257202000000007</v>
      </c>
      <c r="AC4">
        <v>71.501891999999998</v>
      </c>
      <c r="AD4">
        <v>72.035156000000001</v>
      </c>
      <c r="AE4" s="4">
        <v>-0.50705421106796011</v>
      </c>
    </row>
    <row r="5" spans="1:31" x14ac:dyDescent="0.25">
      <c r="A5" t="s">
        <v>29</v>
      </c>
      <c r="B5" t="s">
        <v>34</v>
      </c>
      <c r="C5" t="s">
        <v>31</v>
      </c>
      <c r="D5">
        <v>62.215060999999999</v>
      </c>
      <c r="E5">
        <v>65.012787000000003</v>
      </c>
      <c r="F5">
        <v>65.598388999999997</v>
      </c>
      <c r="G5">
        <v>65.448738000000006</v>
      </c>
      <c r="H5">
        <v>65.448738000000006</v>
      </c>
      <c r="I5">
        <v>65.448738000000006</v>
      </c>
      <c r="J5">
        <v>65.448738000000006</v>
      </c>
      <c r="K5">
        <v>65.448738000000006</v>
      </c>
      <c r="L5">
        <v>65.448738000000006</v>
      </c>
      <c r="M5">
        <v>65.448738000000006</v>
      </c>
      <c r="N5">
        <v>65.448738000000006</v>
      </c>
      <c r="O5">
        <v>65.448250000000002</v>
      </c>
      <c r="P5">
        <v>65.448250000000002</v>
      </c>
      <c r="Q5">
        <v>65.448250000000002</v>
      </c>
      <c r="R5">
        <v>65.448250000000002</v>
      </c>
      <c r="S5">
        <v>65.448250000000002</v>
      </c>
      <c r="T5">
        <v>65.448250000000002</v>
      </c>
      <c r="U5">
        <v>65.448250000000002</v>
      </c>
      <c r="V5">
        <v>65.448250000000002</v>
      </c>
      <c r="W5">
        <v>65.448250000000002</v>
      </c>
      <c r="X5">
        <v>65.448250000000002</v>
      </c>
      <c r="Y5">
        <v>65.448250000000002</v>
      </c>
      <c r="Z5">
        <v>65.448250000000002</v>
      </c>
      <c r="AA5">
        <v>65.448250000000002</v>
      </c>
      <c r="AB5">
        <v>65.448250000000002</v>
      </c>
      <c r="AC5">
        <v>65.448250000000002</v>
      </c>
      <c r="AD5">
        <v>65.448250000000002</v>
      </c>
      <c r="AE5" s="4">
        <v>5.1967947118142392E-2</v>
      </c>
    </row>
    <row r="6" spans="1:31" x14ac:dyDescent="0.25">
      <c r="A6" t="s">
        <v>29</v>
      </c>
      <c r="B6" t="s">
        <v>35</v>
      </c>
      <c r="C6" t="s">
        <v>31</v>
      </c>
      <c r="D6">
        <v>-0.41053000000000001</v>
      </c>
      <c r="E6">
        <v>-0.40703</v>
      </c>
      <c r="F6">
        <v>-0.41089300000000001</v>
      </c>
      <c r="G6">
        <v>-0.40704000000000001</v>
      </c>
      <c r="H6">
        <v>-0.41055399999999997</v>
      </c>
      <c r="I6">
        <v>-0.41355799999999998</v>
      </c>
      <c r="J6">
        <v>-0.41696</v>
      </c>
      <c r="K6">
        <v>-0.41687600000000002</v>
      </c>
      <c r="L6">
        <v>-0.416877</v>
      </c>
      <c r="M6">
        <v>-0.47738700000000001</v>
      </c>
      <c r="N6">
        <v>-1.1307210000000001</v>
      </c>
      <c r="O6">
        <v>-1.492659</v>
      </c>
      <c r="P6">
        <v>-1.4931840000000001</v>
      </c>
      <c r="Q6">
        <v>-1.4945520000000001</v>
      </c>
      <c r="R6">
        <v>-2.1865950000000001</v>
      </c>
      <c r="S6">
        <v>-2.406895</v>
      </c>
      <c r="T6">
        <v>-3.107205</v>
      </c>
      <c r="U6">
        <v>-3.8370820000000001</v>
      </c>
      <c r="V6">
        <v>-4.5521310000000001</v>
      </c>
      <c r="W6">
        <v>-5.3390969999999998</v>
      </c>
      <c r="X6">
        <v>-6.074103</v>
      </c>
      <c r="Y6">
        <v>-6.6181049999999999</v>
      </c>
      <c r="Z6">
        <v>-7.0399050000000001</v>
      </c>
      <c r="AA6">
        <v>-7.6132720000000003</v>
      </c>
      <c r="AB6">
        <v>-7.9859330000000002</v>
      </c>
      <c r="AC6">
        <v>-8.3325899999999997</v>
      </c>
      <c r="AD6">
        <v>-8.3267500000000005</v>
      </c>
      <c r="AE6" s="4">
        <v>19.282926948091493</v>
      </c>
    </row>
    <row r="7" spans="1:31" x14ac:dyDescent="0.25">
      <c r="A7" t="s">
        <v>29</v>
      </c>
      <c r="B7" t="s">
        <v>36</v>
      </c>
      <c r="C7" t="s">
        <v>31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 s="4" t="e">
        <v>#DIV/0!</v>
      </c>
    </row>
    <row r="8" spans="1:31" x14ac:dyDescent="0.25">
      <c r="A8" t="s">
        <v>29</v>
      </c>
      <c r="B8" t="s">
        <v>37</v>
      </c>
      <c r="C8" t="s">
        <v>31</v>
      </c>
      <c r="D8">
        <v>10.377651999999999</v>
      </c>
      <c r="E8">
        <v>11.275645000000001</v>
      </c>
      <c r="F8">
        <v>11.702640000000001</v>
      </c>
      <c r="G8">
        <v>12.142626999999999</v>
      </c>
      <c r="H8">
        <v>12.142856999999999</v>
      </c>
      <c r="I8">
        <v>12.149058</v>
      </c>
      <c r="J8">
        <v>12.154192</v>
      </c>
      <c r="K8">
        <v>12.175138</v>
      </c>
      <c r="L8">
        <v>11.516972000000001</v>
      </c>
      <c r="M8">
        <v>11.135033</v>
      </c>
      <c r="N8">
        <v>10.880044</v>
      </c>
      <c r="O8">
        <v>10.545731</v>
      </c>
      <c r="P8">
        <v>10.480632999999999</v>
      </c>
      <c r="Q8">
        <v>10.525465000000001</v>
      </c>
      <c r="R8">
        <v>10.582134999999999</v>
      </c>
      <c r="S8">
        <v>10.618830000000001</v>
      </c>
      <c r="T8">
        <v>10.705455000000001</v>
      </c>
      <c r="U8">
        <v>10.738649000000001</v>
      </c>
      <c r="V8">
        <v>10.791990999999999</v>
      </c>
      <c r="W8">
        <v>10.626575000000001</v>
      </c>
      <c r="X8">
        <v>10.622799000000001</v>
      </c>
      <c r="Y8">
        <v>10.621592</v>
      </c>
      <c r="Z8">
        <v>10.323359</v>
      </c>
      <c r="AA8">
        <v>10.324128</v>
      </c>
      <c r="AB8">
        <v>10.215870000000001</v>
      </c>
      <c r="AC8">
        <v>10.312860000000001</v>
      </c>
      <c r="AD8">
        <v>10.347624</v>
      </c>
      <c r="AE8" s="4">
        <v>-2.8935254333060816E-3</v>
      </c>
    </row>
    <row r="9" spans="1:31" x14ac:dyDescent="0.25">
      <c r="A9" t="s">
        <v>29</v>
      </c>
      <c r="B9" t="s">
        <v>38</v>
      </c>
      <c r="C9" t="s">
        <v>31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 s="4" t="e">
        <v>#DIV/0!</v>
      </c>
    </row>
    <row r="10" spans="1:31" x14ac:dyDescent="0.25">
      <c r="A10" t="s">
        <v>29</v>
      </c>
      <c r="B10" t="s">
        <v>39</v>
      </c>
      <c r="C10" t="s">
        <v>31</v>
      </c>
      <c r="D10">
        <v>0.28325299999999998</v>
      </c>
      <c r="E10">
        <v>0.39816200000000002</v>
      </c>
      <c r="F10">
        <v>0.55363499999999999</v>
      </c>
      <c r="G10">
        <v>0.65230999999999995</v>
      </c>
      <c r="H10">
        <v>0.78602499999999997</v>
      </c>
      <c r="I10">
        <v>0.88756199999999996</v>
      </c>
      <c r="J10">
        <v>0.96214699999999997</v>
      </c>
      <c r="K10">
        <v>1.071027</v>
      </c>
      <c r="L10">
        <v>1.2262230000000001</v>
      </c>
      <c r="M10">
        <v>1.3509009999999999</v>
      </c>
      <c r="N10">
        <v>1.4437260000000001</v>
      </c>
      <c r="O10">
        <v>1.5424</v>
      </c>
      <c r="P10">
        <v>1.6453180000000001</v>
      </c>
      <c r="Q10">
        <v>1.7156800000000001</v>
      </c>
      <c r="R10">
        <v>1.818201</v>
      </c>
      <c r="S10">
        <v>1.897974</v>
      </c>
      <c r="T10">
        <v>1.979679</v>
      </c>
      <c r="U10">
        <v>2.0628160000000002</v>
      </c>
      <c r="V10">
        <v>2.1471909999999998</v>
      </c>
      <c r="W10">
        <v>2.2322700000000002</v>
      </c>
      <c r="X10">
        <v>2.2763409999999999</v>
      </c>
      <c r="Y10">
        <v>2.3199860000000001</v>
      </c>
      <c r="Z10">
        <v>2.3639130000000002</v>
      </c>
      <c r="AA10">
        <v>2.4086110000000001</v>
      </c>
      <c r="AB10">
        <v>2.4533640000000001</v>
      </c>
      <c r="AC10">
        <v>2.4533640000000001</v>
      </c>
      <c r="AD10">
        <v>2.4533640000000001</v>
      </c>
      <c r="AE10" s="4">
        <v>7.6613875228152946</v>
      </c>
    </row>
    <row r="11" spans="1:31" x14ac:dyDescent="0.25">
      <c r="A11" t="s">
        <v>29</v>
      </c>
      <c r="B11" t="s">
        <v>40</v>
      </c>
      <c r="C11" t="s">
        <v>31</v>
      </c>
      <c r="D11">
        <v>1.367292</v>
      </c>
      <c r="E11">
        <v>1.367291</v>
      </c>
      <c r="F11">
        <v>1.367292</v>
      </c>
      <c r="G11">
        <v>1.367291</v>
      </c>
      <c r="H11">
        <v>1.367291</v>
      </c>
      <c r="I11">
        <v>1.366843</v>
      </c>
      <c r="J11">
        <v>1.367292</v>
      </c>
      <c r="K11">
        <v>1.367291</v>
      </c>
      <c r="L11">
        <v>1.367291</v>
      </c>
      <c r="M11">
        <v>1.367291</v>
      </c>
      <c r="N11">
        <v>1.367291</v>
      </c>
      <c r="O11">
        <v>1.367291</v>
      </c>
      <c r="P11">
        <v>1.367291</v>
      </c>
      <c r="Q11">
        <v>1.367291</v>
      </c>
      <c r="R11">
        <v>1.367291</v>
      </c>
      <c r="S11">
        <v>1.367291</v>
      </c>
      <c r="T11">
        <v>1.367291</v>
      </c>
      <c r="U11">
        <v>1.367291</v>
      </c>
      <c r="V11">
        <v>1.367291</v>
      </c>
      <c r="W11">
        <v>1.367291</v>
      </c>
      <c r="X11">
        <v>1.367291</v>
      </c>
      <c r="Y11">
        <v>1.367291</v>
      </c>
      <c r="Z11">
        <v>1.367291</v>
      </c>
      <c r="AA11">
        <v>1.367291</v>
      </c>
      <c r="AB11">
        <v>1.367291</v>
      </c>
      <c r="AC11">
        <v>1.367291</v>
      </c>
      <c r="AD11">
        <v>1.367291</v>
      </c>
      <c r="AE11" s="4">
        <v>-7.3137266942082117E-7</v>
      </c>
    </row>
    <row r="12" spans="1:31" x14ac:dyDescent="0.25">
      <c r="A12" t="s">
        <v>29</v>
      </c>
      <c r="B12" t="s">
        <v>41</v>
      </c>
      <c r="C12" t="s">
        <v>31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s="4" t="e">
        <v>#DIV/0!</v>
      </c>
    </row>
    <row r="13" spans="1:31" x14ac:dyDescent="0.25">
      <c r="A13" t="s">
        <v>29</v>
      </c>
      <c r="B13" t="s">
        <v>42</v>
      </c>
      <c r="C13" t="s">
        <v>31</v>
      </c>
      <c r="D13">
        <v>9.7883700000000005</v>
      </c>
      <c r="E13">
        <v>11.80232</v>
      </c>
      <c r="F13">
        <v>13.587338000000001</v>
      </c>
      <c r="G13">
        <v>14.352475999999999</v>
      </c>
      <c r="H13">
        <v>14.392207000000001</v>
      </c>
      <c r="I13">
        <v>27.264756999999999</v>
      </c>
      <c r="J13">
        <v>46.922905</v>
      </c>
      <c r="K13">
        <v>73.244797000000005</v>
      </c>
      <c r="L13">
        <v>99.512810000000002</v>
      </c>
      <c r="M13">
        <v>108.430702</v>
      </c>
      <c r="N13">
        <v>111.581886</v>
      </c>
      <c r="O13">
        <v>123.971977</v>
      </c>
      <c r="P13">
        <v>125.83788300000001</v>
      </c>
      <c r="Q13">
        <v>126.327896</v>
      </c>
      <c r="R13">
        <v>130.13166799999999</v>
      </c>
      <c r="S13">
        <v>130.61784399999999</v>
      </c>
      <c r="T13">
        <v>135.40479999999999</v>
      </c>
      <c r="U13">
        <v>139.31196600000001</v>
      </c>
      <c r="V13">
        <v>145.933853</v>
      </c>
      <c r="W13">
        <v>160.39707899999999</v>
      </c>
      <c r="X13">
        <v>166.027512</v>
      </c>
      <c r="Y13">
        <v>169.85531599999999</v>
      </c>
      <c r="Z13">
        <v>182.42584199999999</v>
      </c>
      <c r="AA13">
        <v>187.18850699999999</v>
      </c>
      <c r="AB13">
        <v>189.52773999999999</v>
      </c>
      <c r="AC13">
        <v>192.80444299999999</v>
      </c>
      <c r="AD13">
        <v>193.74539200000001</v>
      </c>
      <c r="AE13" s="4">
        <v>18.793427506316167</v>
      </c>
    </row>
    <row r="14" spans="1:31" x14ac:dyDescent="0.25">
      <c r="A14" t="s">
        <v>29</v>
      </c>
      <c r="B14" t="s">
        <v>43</v>
      </c>
      <c r="C14" t="s">
        <v>31</v>
      </c>
      <c r="D14">
        <v>0</v>
      </c>
      <c r="E14">
        <v>0</v>
      </c>
      <c r="F14">
        <v>0</v>
      </c>
      <c r="G14">
        <v>0.47489799999999999</v>
      </c>
      <c r="H14">
        <v>0.59334100000000001</v>
      </c>
      <c r="I14">
        <v>0.59306599999999998</v>
      </c>
      <c r="J14">
        <v>0.59341500000000003</v>
      </c>
      <c r="K14">
        <v>0.59368699999999996</v>
      </c>
      <c r="L14">
        <v>0.55029700000000004</v>
      </c>
      <c r="M14">
        <v>0.52511300000000005</v>
      </c>
      <c r="N14">
        <v>0.51229499999999994</v>
      </c>
      <c r="O14">
        <v>0.494454</v>
      </c>
      <c r="P14">
        <v>0.49071199999999998</v>
      </c>
      <c r="Q14">
        <v>0.49147000000000002</v>
      </c>
      <c r="R14">
        <v>0.72422500000000001</v>
      </c>
      <c r="S14">
        <v>0.78184100000000001</v>
      </c>
      <c r="T14">
        <v>0.77685199999999999</v>
      </c>
      <c r="U14">
        <v>0.782115</v>
      </c>
      <c r="V14">
        <v>0.78674200000000005</v>
      </c>
      <c r="W14">
        <v>0.77318299999999995</v>
      </c>
      <c r="X14">
        <v>0.77195100000000005</v>
      </c>
      <c r="Y14">
        <v>0.77263199999999999</v>
      </c>
      <c r="Z14">
        <v>0.746614</v>
      </c>
      <c r="AA14">
        <v>0.74641999999999997</v>
      </c>
      <c r="AB14">
        <v>0.739201</v>
      </c>
      <c r="AC14">
        <v>0.74404800000000004</v>
      </c>
      <c r="AD14">
        <v>0.74642900000000001</v>
      </c>
      <c r="AE14" s="4" t="e">
        <v>#DIV/0!</v>
      </c>
    </row>
    <row r="15" spans="1:31" x14ac:dyDescent="0.25">
      <c r="A15" t="s">
        <v>29</v>
      </c>
      <c r="B15" t="s">
        <v>44</v>
      </c>
      <c r="C15" t="s">
        <v>31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s="4" t="e">
        <v>#DIV/0!</v>
      </c>
    </row>
    <row r="16" spans="1:31" x14ac:dyDescent="0.25">
      <c r="A16" t="s">
        <v>29</v>
      </c>
      <c r="B16" s="6" t="s">
        <v>45</v>
      </c>
      <c r="C16" t="s">
        <v>31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9.0598999999999999E-2</v>
      </c>
      <c r="M16">
        <v>9.0598999999999999E-2</v>
      </c>
      <c r="N16">
        <v>9.0598999999999999E-2</v>
      </c>
      <c r="O16">
        <v>9.0598999999999999E-2</v>
      </c>
      <c r="P16">
        <v>9.0598999999999999E-2</v>
      </c>
      <c r="Q16">
        <v>9.0598999999999999E-2</v>
      </c>
      <c r="R16">
        <v>9.0598999999999999E-2</v>
      </c>
      <c r="S16">
        <v>9.0598999999999999E-2</v>
      </c>
      <c r="T16">
        <v>9.0598999999999999E-2</v>
      </c>
      <c r="U16">
        <v>9.0598999999999999E-2</v>
      </c>
      <c r="V16">
        <v>9.0598999999999999E-2</v>
      </c>
      <c r="W16">
        <v>9.0598999999999999E-2</v>
      </c>
      <c r="X16">
        <v>9.0598999999999999E-2</v>
      </c>
      <c r="Y16">
        <v>9.0598999999999999E-2</v>
      </c>
      <c r="Z16">
        <v>9.0598999999999999E-2</v>
      </c>
      <c r="AA16">
        <v>9.0598999999999999E-2</v>
      </c>
      <c r="AB16">
        <v>9.0598999999999999E-2</v>
      </c>
      <c r="AC16">
        <v>9.0598999999999999E-2</v>
      </c>
      <c r="AD16">
        <v>9.0598999999999999E-2</v>
      </c>
      <c r="AE16" s="4" t="e">
        <v>#DIV/0!</v>
      </c>
    </row>
    <row r="17" spans="1:31" x14ac:dyDescent="0.25">
      <c r="A17" t="s">
        <v>29</v>
      </c>
      <c r="B17" s="6" t="s">
        <v>46</v>
      </c>
      <c r="C17" t="s">
        <v>31</v>
      </c>
      <c r="D17">
        <v>267.83075000000002</v>
      </c>
      <c r="E17">
        <v>268.02728300000001</v>
      </c>
      <c r="F17">
        <v>269.78076199999998</v>
      </c>
      <c r="G17">
        <v>270.15566999999999</v>
      </c>
      <c r="H17">
        <v>266.10455300000001</v>
      </c>
      <c r="I17">
        <v>271.71096799999998</v>
      </c>
      <c r="J17">
        <v>277.194885</v>
      </c>
      <c r="K17">
        <v>293.15460200000001</v>
      </c>
      <c r="L17">
        <v>307.47851600000001</v>
      </c>
      <c r="M17">
        <v>302.24032599999998</v>
      </c>
      <c r="N17">
        <v>302.35192899999998</v>
      </c>
      <c r="O17">
        <v>310.21173099999999</v>
      </c>
      <c r="P17">
        <v>307.62350500000002</v>
      </c>
      <c r="Q17">
        <v>302.88382000000001</v>
      </c>
      <c r="R17">
        <v>301.10082999999997</v>
      </c>
      <c r="S17">
        <v>299.31466699999999</v>
      </c>
      <c r="T17">
        <v>301.778839</v>
      </c>
      <c r="U17">
        <v>307.60739100000001</v>
      </c>
      <c r="V17">
        <v>310.10629299999999</v>
      </c>
      <c r="W17">
        <v>317.03839099999999</v>
      </c>
      <c r="X17">
        <v>321.20779399999998</v>
      </c>
      <c r="Y17">
        <v>323.86282299999999</v>
      </c>
      <c r="Z17">
        <v>330.51327500000002</v>
      </c>
      <c r="AA17">
        <v>330.20901500000002</v>
      </c>
      <c r="AB17">
        <v>331.113586</v>
      </c>
      <c r="AC17">
        <v>336.39016700000002</v>
      </c>
      <c r="AD17">
        <v>337.90737899999999</v>
      </c>
      <c r="AE17" s="4">
        <v>0.26164519570661682</v>
      </c>
    </row>
    <row r="18" spans="1:31" x14ac:dyDescent="0.25">
      <c r="A18" t="s">
        <v>75</v>
      </c>
      <c r="B18" t="s">
        <v>47</v>
      </c>
      <c r="C18" t="s">
        <v>48</v>
      </c>
      <c r="D18">
        <v>14.495593</v>
      </c>
      <c r="E18">
        <v>14.347981000000001</v>
      </c>
      <c r="F18">
        <v>13.452698</v>
      </c>
      <c r="G18">
        <v>12.832719000000001</v>
      </c>
      <c r="H18">
        <v>12.561669</v>
      </c>
      <c r="I18">
        <v>12.589097000000001</v>
      </c>
      <c r="J18">
        <v>12.564375</v>
      </c>
      <c r="K18">
        <v>12.588157000000001</v>
      </c>
      <c r="L18">
        <v>12.518658</v>
      </c>
      <c r="M18">
        <v>12.615023000000001</v>
      </c>
      <c r="N18">
        <v>12.779064</v>
      </c>
      <c r="O18">
        <v>13.095781000000001</v>
      </c>
      <c r="P18">
        <v>13.165319</v>
      </c>
      <c r="Q18">
        <v>12.933649000000001</v>
      </c>
      <c r="R18">
        <v>12.735900000000001</v>
      </c>
      <c r="S18">
        <v>12.568212000000001</v>
      </c>
      <c r="T18">
        <v>12.482804</v>
      </c>
      <c r="U18">
        <v>12.504716999999999</v>
      </c>
      <c r="V18">
        <v>12.609964</v>
      </c>
      <c r="W18">
        <v>12.890238999999999</v>
      </c>
      <c r="X18">
        <v>13.167593999999999</v>
      </c>
      <c r="Y18">
        <v>13.210953999999999</v>
      </c>
      <c r="Z18">
        <v>13.496366999999999</v>
      </c>
      <c r="AA18">
        <v>13.609457000000001</v>
      </c>
      <c r="AB18">
        <v>13.432290999999999</v>
      </c>
      <c r="AC18">
        <v>13.271440999999999</v>
      </c>
      <c r="AD18">
        <v>13.121001</v>
      </c>
      <c r="AE18" s="4" cm="1">
        <f t="array" ref="AE18:AE22">(AD18:AD22-D18:D22)/D18:D22</f>
        <v>-9.4828269529918491E-2</v>
      </c>
    </row>
    <row r="19" spans="1:31" x14ac:dyDescent="0.25">
      <c r="A19" t="s">
        <v>75</v>
      </c>
      <c r="B19" t="s">
        <v>49</v>
      </c>
      <c r="C19" t="s">
        <v>48</v>
      </c>
      <c r="D19">
        <v>12.263833</v>
      </c>
      <c r="E19">
        <v>11.732965999999999</v>
      </c>
      <c r="F19">
        <v>10.828503</v>
      </c>
      <c r="G19">
        <v>10.350134000000001</v>
      </c>
      <c r="H19">
        <v>10.176439999999999</v>
      </c>
      <c r="I19">
        <v>10.248912000000001</v>
      </c>
      <c r="J19">
        <v>10.273082</v>
      </c>
      <c r="K19">
        <v>10.318592000000001</v>
      </c>
      <c r="L19">
        <v>10.278259</v>
      </c>
      <c r="M19">
        <v>10.43788</v>
      </c>
      <c r="N19">
        <v>10.646874</v>
      </c>
      <c r="O19">
        <v>11.045940999999999</v>
      </c>
      <c r="P19">
        <v>11.139557999999999</v>
      </c>
      <c r="Q19">
        <v>10.960355</v>
      </c>
      <c r="R19">
        <v>10.816162</v>
      </c>
      <c r="S19">
        <v>10.695404999999999</v>
      </c>
      <c r="T19">
        <v>10.662896</v>
      </c>
      <c r="U19">
        <v>10.738459000000001</v>
      </c>
      <c r="V19">
        <v>10.896817</v>
      </c>
      <c r="W19">
        <v>11.235787</v>
      </c>
      <c r="X19">
        <v>11.55803</v>
      </c>
      <c r="Y19">
        <v>11.631606</v>
      </c>
      <c r="Z19">
        <v>11.964596</v>
      </c>
      <c r="AA19">
        <v>12.101521999999999</v>
      </c>
      <c r="AB19">
        <v>11.939579999999999</v>
      </c>
      <c r="AC19">
        <v>11.790755000000001</v>
      </c>
      <c r="AD19">
        <v>11.650314</v>
      </c>
      <c r="AE19" s="4">
        <v>-5.0026692307372431E-2</v>
      </c>
    </row>
    <row r="20" spans="1:31" x14ac:dyDescent="0.25">
      <c r="A20" t="s">
        <v>75</v>
      </c>
      <c r="B20" t="s">
        <v>50</v>
      </c>
      <c r="C20" t="s">
        <v>48</v>
      </c>
      <c r="D20">
        <v>7.856884</v>
      </c>
      <c r="E20">
        <v>7.5230170000000003</v>
      </c>
      <c r="F20">
        <v>6.7414100000000001</v>
      </c>
      <c r="G20">
        <v>6.436985</v>
      </c>
      <c r="H20">
        <v>6.3231020000000004</v>
      </c>
      <c r="I20">
        <v>6.3943960000000004</v>
      </c>
      <c r="J20">
        <v>6.4365540000000001</v>
      </c>
      <c r="K20">
        <v>6.473198</v>
      </c>
      <c r="L20">
        <v>6.454898</v>
      </c>
      <c r="M20">
        <v>6.6278699999999997</v>
      </c>
      <c r="N20">
        <v>6.8257050000000001</v>
      </c>
      <c r="O20">
        <v>7.1940239999999998</v>
      </c>
      <c r="P20">
        <v>7.2402189999999997</v>
      </c>
      <c r="Q20">
        <v>7.1305649999999998</v>
      </c>
      <c r="R20">
        <v>7.0466519999999999</v>
      </c>
      <c r="S20">
        <v>6.9688049999999997</v>
      </c>
      <c r="T20">
        <v>6.9657640000000001</v>
      </c>
      <c r="U20">
        <v>7.0439559999999997</v>
      </c>
      <c r="V20">
        <v>7.1928809999999999</v>
      </c>
      <c r="W20">
        <v>7.4840119999999999</v>
      </c>
      <c r="X20">
        <v>7.7197399999999998</v>
      </c>
      <c r="Y20">
        <v>7.756621</v>
      </c>
      <c r="Z20">
        <v>8.0699120000000004</v>
      </c>
      <c r="AA20">
        <v>8.1137429999999995</v>
      </c>
      <c r="AB20">
        <v>8.0041250000000002</v>
      </c>
      <c r="AC20">
        <v>7.8952749999999998</v>
      </c>
      <c r="AD20">
        <v>7.7901350000000003</v>
      </c>
      <c r="AE20" s="4">
        <v>-8.4956071643669077E-3</v>
      </c>
    </row>
    <row r="21" spans="1:31" x14ac:dyDescent="0.25">
      <c r="A21" t="s">
        <v>75</v>
      </c>
      <c r="B21" t="s">
        <v>51</v>
      </c>
      <c r="C21" t="s">
        <v>48</v>
      </c>
      <c r="D21">
        <v>11.893794</v>
      </c>
      <c r="E21">
        <v>11.404895</v>
      </c>
      <c r="F21">
        <v>10.553747</v>
      </c>
      <c r="G21">
        <v>10.024013</v>
      </c>
      <c r="H21">
        <v>9.8164770000000008</v>
      </c>
      <c r="I21">
        <v>9.8778500000000005</v>
      </c>
      <c r="J21">
        <v>9.8953070000000007</v>
      </c>
      <c r="K21">
        <v>9.9539100000000005</v>
      </c>
      <c r="L21">
        <v>9.9283710000000003</v>
      </c>
      <c r="M21">
        <v>10.062187</v>
      </c>
      <c r="N21">
        <v>10.265677999999999</v>
      </c>
      <c r="O21">
        <v>10.619123999999999</v>
      </c>
      <c r="P21">
        <v>10.744111999999999</v>
      </c>
      <c r="Q21">
        <v>10.57361</v>
      </c>
      <c r="R21">
        <v>10.432136</v>
      </c>
      <c r="S21">
        <v>10.318251999999999</v>
      </c>
      <c r="T21">
        <v>10.276852999999999</v>
      </c>
      <c r="U21">
        <v>10.337716</v>
      </c>
      <c r="V21">
        <v>10.470193999999999</v>
      </c>
      <c r="W21">
        <v>10.765096</v>
      </c>
      <c r="X21">
        <v>11.080788</v>
      </c>
      <c r="Y21">
        <v>11.168403</v>
      </c>
      <c r="Z21">
        <v>11.436116</v>
      </c>
      <c r="AA21">
        <v>11.615911000000001</v>
      </c>
      <c r="AB21">
        <v>11.456326000000001</v>
      </c>
      <c r="AC21">
        <v>11.316268000000001</v>
      </c>
      <c r="AD21">
        <v>11.188242000000001</v>
      </c>
      <c r="AE21" s="4">
        <v>-5.9321020693649064E-2</v>
      </c>
    </row>
    <row r="22" spans="1:31" x14ac:dyDescent="0.25">
      <c r="A22" t="s">
        <v>75</v>
      </c>
      <c r="B22" t="s">
        <v>52</v>
      </c>
      <c r="C22" t="s">
        <v>48</v>
      </c>
      <c r="D22">
        <v>12.042769</v>
      </c>
      <c r="E22">
        <v>11.664645999999999</v>
      </c>
      <c r="F22">
        <v>10.789415999999999</v>
      </c>
      <c r="G22">
        <v>10.309063999999999</v>
      </c>
      <c r="H22">
        <v>10.120539000000001</v>
      </c>
      <c r="I22">
        <v>10.172939</v>
      </c>
      <c r="J22">
        <v>10.175891</v>
      </c>
      <c r="K22">
        <v>10.200825</v>
      </c>
      <c r="L22">
        <v>10.141757</v>
      </c>
      <c r="M22">
        <v>10.266667</v>
      </c>
      <c r="N22">
        <v>10.438890000000001</v>
      </c>
      <c r="O22">
        <v>10.783389</v>
      </c>
      <c r="P22">
        <v>10.844094</v>
      </c>
      <c r="Q22">
        <v>10.6568</v>
      </c>
      <c r="R22">
        <v>10.507179000000001</v>
      </c>
      <c r="S22">
        <v>10.381911000000001</v>
      </c>
      <c r="T22">
        <v>10.338889999999999</v>
      </c>
      <c r="U22">
        <v>10.396641000000001</v>
      </c>
      <c r="V22">
        <v>10.533397000000001</v>
      </c>
      <c r="W22">
        <v>10.837662</v>
      </c>
      <c r="X22">
        <v>11.120618</v>
      </c>
      <c r="Y22">
        <v>11.174548</v>
      </c>
      <c r="Z22">
        <v>11.486952</v>
      </c>
      <c r="AA22">
        <v>11.590681</v>
      </c>
      <c r="AB22">
        <v>11.437091000000001</v>
      </c>
      <c r="AC22">
        <v>11.294283</v>
      </c>
      <c r="AD22">
        <v>11.157892</v>
      </c>
      <c r="AE22" s="4">
        <v>-7.3477868752609921E-2</v>
      </c>
    </row>
    <row r="23" spans="1:31" x14ac:dyDescent="0.25">
      <c r="A23" t="s">
        <v>74</v>
      </c>
      <c r="B23" t="s">
        <v>47</v>
      </c>
      <c r="C23" t="s">
        <v>53</v>
      </c>
      <c r="D23">
        <v>14.495593</v>
      </c>
      <c r="E23">
        <v>14.642345000000001</v>
      </c>
      <c r="F23">
        <v>13.960535</v>
      </c>
      <c r="G23">
        <v>13.539104</v>
      </c>
      <c r="H23">
        <v>13.503384</v>
      </c>
      <c r="I23">
        <v>13.772923</v>
      </c>
      <c r="J23">
        <v>14.002725</v>
      </c>
      <c r="K23">
        <v>14.317655</v>
      </c>
      <c r="L23">
        <v>14.539481</v>
      </c>
      <c r="M23">
        <v>14.970261000000001</v>
      </c>
      <c r="N23">
        <v>15.50071</v>
      </c>
      <c r="O23">
        <v>16.229263</v>
      </c>
      <c r="P23">
        <v>16.653096999999999</v>
      </c>
      <c r="Q23">
        <v>16.700319</v>
      </c>
      <c r="R23">
        <v>16.784728999999999</v>
      </c>
      <c r="S23">
        <v>16.902967</v>
      </c>
      <c r="T23">
        <v>17.141321000000001</v>
      </c>
      <c r="U23">
        <v>17.538101000000001</v>
      </c>
      <c r="V23">
        <v>18.071449000000001</v>
      </c>
      <c r="W23">
        <v>18.884415000000001</v>
      </c>
      <c r="X23">
        <v>19.720393999999999</v>
      </c>
      <c r="Y23">
        <v>20.231756000000001</v>
      </c>
      <c r="Z23">
        <v>21.136312</v>
      </c>
      <c r="AA23">
        <v>21.799413999999999</v>
      </c>
      <c r="AB23">
        <v>22.006231</v>
      </c>
      <c r="AC23">
        <v>22.233706000000002</v>
      </c>
      <c r="AD23">
        <v>22.474150000000002</v>
      </c>
      <c r="AE23" s="4" cm="1">
        <f t="array" ref="AE23:AE27">(AD23:AD27-D23:D27)/D23:D27</f>
        <v>0.55041259781507401</v>
      </c>
    </row>
    <row r="24" spans="1:31" x14ac:dyDescent="0.25">
      <c r="A24" t="s">
        <v>74</v>
      </c>
      <c r="B24" t="s">
        <v>49</v>
      </c>
      <c r="C24" t="s">
        <v>53</v>
      </c>
      <c r="D24">
        <v>12.263833</v>
      </c>
      <c r="E24">
        <v>11.97368</v>
      </c>
      <c r="F24">
        <v>11.237278</v>
      </c>
      <c r="G24">
        <v>10.919864</v>
      </c>
      <c r="H24">
        <v>10.939341000000001</v>
      </c>
      <c r="I24">
        <v>11.212676999999999</v>
      </c>
      <c r="J24">
        <v>11.449128</v>
      </c>
      <c r="K24">
        <v>11.736272</v>
      </c>
      <c r="L24">
        <v>11.937427</v>
      </c>
      <c r="M24">
        <v>12.386642999999999</v>
      </c>
      <c r="N24">
        <v>12.914413</v>
      </c>
      <c r="O24">
        <v>13.68895</v>
      </c>
      <c r="P24">
        <v>14.090667</v>
      </c>
      <c r="Q24">
        <v>14.152342000000001</v>
      </c>
      <c r="R24">
        <v>14.254693</v>
      </c>
      <c r="S24">
        <v>14.384233</v>
      </c>
      <c r="T24">
        <v>14.642232999999999</v>
      </c>
      <c r="U24">
        <v>15.060891</v>
      </c>
      <c r="V24">
        <v>15.616323</v>
      </c>
      <c r="W24">
        <v>16.460615000000001</v>
      </c>
      <c r="X24">
        <v>17.309837000000002</v>
      </c>
      <c r="Y24">
        <v>17.813082000000001</v>
      </c>
      <c r="Z24">
        <v>18.737445999999998</v>
      </c>
      <c r="AA24">
        <v>19.384027</v>
      </c>
      <c r="AB24">
        <v>19.560711000000001</v>
      </c>
      <c r="AC24">
        <v>19.753107</v>
      </c>
      <c r="AD24">
        <v>19.955103000000001</v>
      </c>
      <c r="AE24" s="4">
        <v>0.62715058171454241</v>
      </c>
    </row>
    <row r="25" spans="1:31" x14ac:dyDescent="0.25">
      <c r="A25" t="s">
        <v>74</v>
      </c>
      <c r="B25" t="s">
        <v>50</v>
      </c>
      <c r="C25" t="s">
        <v>53</v>
      </c>
      <c r="D25">
        <v>7.856884</v>
      </c>
      <c r="E25">
        <v>7.6773600000000002</v>
      </c>
      <c r="F25">
        <v>6.9958970000000003</v>
      </c>
      <c r="G25">
        <v>6.7913129999999997</v>
      </c>
      <c r="H25">
        <v>6.7971269999999997</v>
      </c>
      <c r="I25">
        <v>6.995698</v>
      </c>
      <c r="J25">
        <v>7.1734</v>
      </c>
      <c r="K25">
        <v>7.3625559999999997</v>
      </c>
      <c r="L25">
        <v>7.49688</v>
      </c>
      <c r="M25">
        <v>7.8653000000000004</v>
      </c>
      <c r="N25">
        <v>8.2794220000000003</v>
      </c>
      <c r="O25">
        <v>8.9153669999999998</v>
      </c>
      <c r="P25">
        <v>9.1583089999999991</v>
      </c>
      <c r="Q25">
        <v>9.2072009999999995</v>
      </c>
      <c r="R25">
        <v>9.2868289999999991</v>
      </c>
      <c r="S25">
        <v>9.3723340000000004</v>
      </c>
      <c r="T25">
        <v>9.5653509999999997</v>
      </c>
      <c r="U25">
        <v>9.8792810000000006</v>
      </c>
      <c r="V25">
        <v>10.308179000000001</v>
      </c>
      <c r="W25">
        <v>10.964200999999999</v>
      </c>
      <c r="X25">
        <v>11.561438000000001</v>
      </c>
      <c r="Y25">
        <v>11.878783</v>
      </c>
      <c r="Z25">
        <v>12.638082000000001</v>
      </c>
      <c r="AA25">
        <v>12.996465000000001</v>
      </c>
      <c r="AB25">
        <v>13.113222</v>
      </c>
      <c r="AC25">
        <v>13.226989</v>
      </c>
      <c r="AD25">
        <v>13.343239000000001</v>
      </c>
      <c r="AE25" s="4">
        <v>0.6982863689981933</v>
      </c>
    </row>
    <row r="26" spans="1:31" x14ac:dyDescent="0.25">
      <c r="A26" t="s">
        <v>74</v>
      </c>
      <c r="B26" t="s">
        <v>51</v>
      </c>
      <c r="C26" t="s">
        <v>53</v>
      </c>
      <c r="D26">
        <v>11.893794</v>
      </c>
      <c r="E26">
        <v>11.638878999999999</v>
      </c>
      <c r="F26">
        <v>10.952149</v>
      </c>
      <c r="G26">
        <v>10.57579</v>
      </c>
      <c r="H26">
        <v>10.552391999999999</v>
      </c>
      <c r="I26">
        <v>10.806722000000001</v>
      </c>
      <c r="J26">
        <v>11.028105999999999</v>
      </c>
      <c r="K26">
        <v>11.321486</v>
      </c>
      <c r="L26">
        <v>11.531058</v>
      </c>
      <c r="M26">
        <v>11.940808000000001</v>
      </c>
      <c r="N26">
        <v>12.452031</v>
      </c>
      <c r="O26">
        <v>13.160007</v>
      </c>
      <c r="P26">
        <v>13.590458999999999</v>
      </c>
      <c r="Q26">
        <v>13.652965999999999</v>
      </c>
      <c r="R26">
        <v>13.748581</v>
      </c>
      <c r="S26">
        <v>13.877001</v>
      </c>
      <c r="T26">
        <v>14.112120000000001</v>
      </c>
      <c r="U26">
        <v>14.498841000000001</v>
      </c>
      <c r="V26">
        <v>15.004925999999999</v>
      </c>
      <c r="W26">
        <v>15.771044</v>
      </c>
      <c r="X26">
        <v>16.595096999999999</v>
      </c>
      <c r="Y26">
        <v>17.103715999999999</v>
      </c>
      <c r="Z26">
        <v>17.909807000000001</v>
      </c>
      <c r="AA26">
        <v>18.606183999999999</v>
      </c>
      <c r="AB26">
        <v>18.768992999999998</v>
      </c>
      <c r="AC26">
        <v>18.958195</v>
      </c>
      <c r="AD26">
        <v>19.163644999999999</v>
      </c>
      <c r="AE26" s="4">
        <v>0.61123061320887173</v>
      </c>
    </row>
    <row r="27" spans="1:31" x14ac:dyDescent="0.25">
      <c r="A27" t="s">
        <v>74</v>
      </c>
      <c r="B27" t="s">
        <v>52</v>
      </c>
      <c r="C27" t="s">
        <v>53</v>
      </c>
      <c r="D27">
        <v>12.042769</v>
      </c>
      <c r="E27">
        <v>11.903957999999999</v>
      </c>
      <c r="F27">
        <v>11.196714999999999</v>
      </c>
      <c r="G27">
        <v>10.876533999999999</v>
      </c>
      <c r="H27">
        <v>10.879249</v>
      </c>
      <c r="I27">
        <v>11.12956</v>
      </c>
      <c r="J27">
        <v>11.340811</v>
      </c>
      <c r="K27">
        <v>11.602323999999999</v>
      </c>
      <c r="L27">
        <v>11.778890000000001</v>
      </c>
      <c r="M27">
        <v>12.183465</v>
      </c>
      <c r="N27">
        <v>12.662133000000001</v>
      </c>
      <c r="O27">
        <v>13.363576</v>
      </c>
      <c r="P27">
        <v>13.716927999999999</v>
      </c>
      <c r="Q27">
        <v>13.760382999999999</v>
      </c>
      <c r="R27">
        <v>13.847483</v>
      </c>
      <c r="S27">
        <v>13.962616000000001</v>
      </c>
      <c r="T27">
        <v>14.197309000000001</v>
      </c>
      <c r="U27">
        <v>14.581485000000001</v>
      </c>
      <c r="V27">
        <v>15.095502</v>
      </c>
      <c r="W27">
        <v>15.877354</v>
      </c>
      <c r="X27">
        <v>16.654748999999999</v>
      </c>
      <c r="Y27">
        <v>17.113126999999999</v>
      </c>
      <c r="Z27">
        <v>17.989419999999999</v>
      </c>
      <c r="AA27">
        <v>18.565769</v>
      </c>
      <c r="AB27">
        <v>18.737480000000001</v>
      </c>
      <c r="AC27">
        <v>18.921361999999998</v>
      </c>
      <c r="AD27">
        <v>19.111661999999999</v>
      </c>
      <c r="AE27" s="4">
        <v>0.58698236261112369</v>
      </c>
    </row>
    <row r="28" spans="1:31" x14ac:dyDescent="0.25">
      <c r="A28" t="s">
        <v>76</v>
      </c>
      <c r="B28" t="s">
        <v>54</v>
      </c>
      <c r="C28" t="s">
        <v>48</v>
      </c>
      <c r="D28">
        <v>7.9840989999999996</v>
      </c>
      <c r="E28">
        <v>7.620234</v>
      </c>
      <c r="F28">
        <v>6.7065070000000002</v>
      </c>
      <c r="G28">
        <v>6.1884980000000001</v>
      </c>
      <c r="H28">
        <v>5.9563059999999997</v>
      </c>
      <c r="I28">
        <v>5.9534370000000001</v>
      </c>
      <c r="J28">
        <v>5.8889880000000003</v>
      </c>
      <c r="K28">
        <v>5.8466040000000001</v>
      </c>
      <c r="L28">
        <v>5.7242449999999998</v>
      </c>
      <c r="M28">
        <v>5.8013779999999997</v>
      </c>
      <c r="N28">
        <v>5.9428739999999998</v>
      </c>
      <c r="O28">
        <v>6.2601589999999998</v>
      </c>
      <c r="P28">
        <v>6.2904530000000003</v>
      </c>
      <c r="Q28">
        <v>6.1128330000000002</v>
      </c>
      <c r="R28">
        <v>5.9658829999999998</v>
      </c>
      <c r="S28">
        <v>5.8332199999999998</v>
      </c>
      <c r="T28">
        <v>5.7851379999999999</v>
      </c>
      <c r="U28">
        <v>5.8294670000000002</v>
      </c>
      <c r="V28">
        <v>5.9413229999999997</v>
      </c>
      <c r="W28">
        <v>6.2094620000000003</v>
      </c>
      <c r="X28">
        <v>6.4510990000000001</v>
      </c>
      <c r="Y28">
        <v>6.4765230000000003</v>
      </c>
      <c r="Z28">
        <v>6.7495609999999999</v>
      </c>
      <c r="AA28">
        <v>6.8024269999999998</v>
      </c>
      <c r="AB28">
        <v>6.6414220000000004</v>
      </c>
      <c r="AC28">
        <v>6.4935559999999999</v>
      </c>
      <c r="AD28">
        <v>6.3500079999999999</v>
      </c>
      <c r="AE28" s="4" cm="1">
        <f t="array" ref="AE28:AE30">(AD28:AD30-D28:D30)/D28:D30</f>
        <v>-0.20466817858846689</v>
      </c>
    </row>
    <row r="29" spans="1:31" x14ac:dyDescent="0.25">
      <c r="A29" t="s">
        <v>76</v>
      </c>
      <c r="B29" t="s">
        <v>55</v>
      </c>
      <c r="C29" t="s">
        <v>48</v>
      </c>
      <c r="D29">
        <v>0.93635299999999999</v>
      </c>
      <c r="E29">
        <v>0.93638699999999997</v>
      </c>
      <c r="F29">
        <v>0.95263799999999998</v>
      </c>
      <c r="G29">
        <v>0.970549</v>
      </c>
      <c r="H29">
        <v>0.99362099999999998</v>
      </c>
      <c r="I29">
        <v>1.02597</v>
      </c>
      <c r="J29">
        <v>1.0740719999999999</v>
      </c>
      <c r="K29">
        <v>1.128846</v>
      </c>
      <c r="L29">
        <v>1.18316</v>
      </c>
      <c r="M29">
        <v>1.2241109999999999</v>
      </c>
      <c r="N29">
        <v>1.2494339999999999</v>
      </c>
      <c r="O29">
        <v>1.2722880000000001</v>
      </c>
      <c r="P29">
        <v>1.2985910000000001</v>
      </c>
      <c r="Q29">
        <v>1.288125</v>
      </c>
      <c r="R29">
        <v>1.2816540000000001</v>
      </c>
      <c r="S29">
        <v>1.2829660000000001</v>
      </c>
      <c r="T29">
        <v>1.2818989999999999</v>
      </c>
      <c r="U29">
        <v>1.288125</v>
      </c>
      <c r="V29">
        <v>1.3048420000000001</v>
      </c>
      <c r="W29">
        <v>1.331286</v>
      </c>
      <c r="X29">
        <v>1.3617090000000001</v>
      </c>
      <c r="Y29">
        <v>1.377281</v>
      </c>
      <c r="Z29">
        <v>1.400069</v>
      </c>
      <c r="AA29">
        <v>1.4356139999999999</v>
      </c>
      <c r="AB29">
        <v>1.431476</v>
      </c>
      <c r="AC29">
        <v>1.4257610000000001</v>
      </c>
      <c r="AD29">
        <v>1.422342</v>
      </c>
      <c r="AE29" s="4">
        <v>0.51902327434204831</v>
      </c>
    </row>
    <row r="30" spans="1:31" x14ac:dyDescent="0.25">
      <c r="A30" t="s">
        <v>76</v>
      </c>
      <c r="B30" t="s">
        <v>56</v>
      </c>
      <c r="C30" t="s">
        <v>48</v>
      </c>
      <c r="D30">
        <v>3.1223179999999999</v>
      </c>
      <c r="E30">
        <v>3.108025</v>
      </c>
      <c r="F30">
        <v>3.1302720000000002</v>
      </c>
      <c r="G30">
        <v>3.1500170000000001</v>
      </c>
      <c r="H30">
        <v>3.1706129999999999</v>
      </c>
      <c r="I30">
        <v>3.1935319999999998</v>
      </c>
      <c r="J30">
        <v>3.212831</v>
      </c>
      <c r="K30">
        <v>3.225374</v>
      </c>
      <c r="L30">
        <v>3.2343519999999999</v>
      </c>
      <c r="M30">
        <v>3.2411789999999998</v>
      </c>
      <c r="N30">
        <v>3.2465820000000001</v>
      </c>
      <c r="O30">
        <v>3.2509420000000002</v>
      </c>
      <c r="P30">
        <v>3.2550490000000001</v>
      </c>
      <c r="Q30">
        <v>3.2558419999999999</v>
      </c>
      <c r="R30">
        <v>3.2596440000000002</v>
      </c>
      <c r="S30">
        <v>3.2657240000000001</v>
      </c>
      <c r="T30">
        <v>3.2718509999999998</v>
      </c>
      <c r="U30">
        <v>3.2790490000000001</v>
      </c>
      <c r="V30">
        <v>3.2872309999999998</v>
      </c>
      <c r="W30">
        <v>3.2969140000000001</v>
      </c>
      <c r="X30">
        <v>3.3078099999999999</v>
      </c>
      <c r="Y30">
        <v>3.3207439999999999</v>
      </c>
      <c r="Z30">
        <v>3.3373219999999999</v>
      </c>
      <c r="AA30">
        <v>3.3526410000000002</v>
      </c>
      <c r="AB30">
        <v>3.3641939999999999</v>
      </c>
      <c r="AC30">
        <v>3.3749669999999998</v>
      </c>
      <c r="AD30">
        <v>3.3855430000000002</v>
      </c>
      <c r="AE30" s="4">
        <v>8.4304353368234844E-2</v>
      </c>
    </row>
    <row r="31" spans="1:31" x14ac:dyDescent="0.25">
      <c r="A31" t="s">
        <v>77</v>
      </c>
      <c r="B31" t="s">
        <v>54</v>
      </c>
      <c r="C31" t="s">
        <v>53</v>
      </c>
      <c r="D31">
        <v>7.9840989999999996</v>
      </c>
      <c r="E31">
        <v>7.7765709999999997</v>
      </c>
      <c r="F31">
        <v>6.9596770000000001</v>
      </c>
      <c r="G31">
        <v>6.5291490000000003</v>
      </c>
      <c r="H31">
        <v>6.4028340000000004</v>
      </c>
      <c r="I31">
        <v>6.513274</v>
      </c>
      <c r="J31">
        <v>6.5631500000000003</v>
      </c>
      <c r="K31">
        <v>6.6498739999999996</v>
      </c>
      <c r="L31">
        <v>6.6482809999999999</v>
      </c>
      <c r="M31">
        <v>6.8845020000000003</v>
      </c>
      <c r="N31">
        <v>7.2085699999999999</v>
      </c>
      <c r="O31">
        <v>7.7580530000000003</v>
      </c>
      <c r="P31">
        <v>7.9569299999999998</v>
      </c>
      <c r="Q31">
        <v>7.8930749999999996</v>
      </c>
      <c r="R31">
        <v>7.8624770000000002</v>
      </c>
      <c r="S31">
        <v>7.8450889999999998</v>
      </c>
      <c r="T31">
        <v>7.944121</v>
      </c>
      <c r="U31">
        <v>8.1759369999999993</v>
      </c>
      <c r="V31">
        <v>8.5145619999999997</v>
      </c>
      <c r="W31">
        <v>9.0969639999999998</v>
      </c>
      <c r="X31">
        <v>9.6614620000000002</v>
      </c>
      <c r="Y31">
        <v>9.918393</v>
      </c>
      <c r="Z31">
        <v>10.570313000000001</v>
      </c>
      <c r="AA31">
        <v>10.89602</v>
      </c>
      <c r="AB31">
        <v>10.880694999999999</v>
      </c>
      <c r="AC31">
        <v>10.878683000000001</v>
      </c>
      <c r="AD31">
        <v>10.876533999999999</v>
      </c>
      <c r="AE31" s="4" cm="1">
        <f t="array" ref="AE31:AE33">(AD31:AD33-D31:D33)/D31:D33</f>
        <v>0.36227444073526643</v>
      </c>
    </row>
    <row r="32" spans="1:31" x14ac:dyDescent="0.25">
      <c r="A32" t="s">
        <v>77</v>
      </c>
      <c r="B32" t="s">
        <v>55</v>
      </c>
      <c r="C32" t="s">
        <v>53</v>
      </c>
      <c r="D32">
        <v>0.93635299999999999</v>
      </c>
      <c r="E32">
        <v>0.95559799999999995</v>
      </c>
      <c r="F32">
        <v>0.98860000000000003</v>
      </c>
      <c r="G32">
        <v>1.0239739999999999</v>
      </c>
      <c r="H32">
        <v>1.0681099999999999</v>
      </c>
      <c r="I32">
        <v>1.1224479999999999</v>
      </c>
      <c r="J32">
        <v>1.19703</v>
      </c>
      <c r="K32">
        <v>1.2839389999999999</v>
      </c>
      <c r="L32">
        <v>1.374152</v>
      </c>
      <c r="M32">
        <v>1.4526539999999999</v>
      </c>
      <c r="N32">
        <v>1.5155350000000001</v>
      </c>
      <c r="O32">
        <v>1.5767139999999999</v>
      </c>
      <c r="P32">
        <v>1.6426160000000001</v>
      </c>
      <c r="Q32">
        <v>1.6632670000000001</v>
      </c>
      <c r="R32">
        <v>1.6891</v>
      </c>
      <c r="S32">
        <v>1.7254590000000001</v>
      </c>
      <c r="T32">
        <v>1.760297</v>
      </c>
      <c r="U32">
        <v>1.806619</v>
      </c>
      <c r="V32">
        <v>1.8699809999999999</v>
      </c>
      <c r="W32">
        <v>1.950356</v>
      </c>
      <c r="X32">
        <v>2.039358</v>
      </c>
      <c r="Y32">
        <v>2.1092200000000001</v>
      </c>
      <c r="Z32">
        <v>2.192612</v>
      </c>
      <c r="AA32">
        <v>2.299544</v>
      </c>
      <c r="AB32">
        <v>2.345199</v>
      </c>
      <c r="AC32">
        <v>2.3885830000000001</v>
      </c>
      <c r="AD32">
        <v>2.4362409999999999</v>
      </c>
      <c r="AE32" s="4">
        <v>1.601840331584349</v>
      </c>
    </row>
    <row r="33" spans="1:31" x14ac:dyDescent="0.25">
      <c r="A33" t="s">
        <v>77</v>
      </c>
      <c r="B33" t="s">
        <v>56</v>
      </c>
      <c r="C33" t="s">
        <v>53</v>
      </c>
      <c r="D33">
        <v>3.1223179999999999</v>
      </c>
      <c r="E33">
        <v>3.171789</v>
      </c>
      <c r="F33">
        <v>3.24844</v>
      </c>
      <c r="G33">
        <v>3.3234119999999998</v>
      </c>
      <c r="H33">
        <v>3.4083049999999999</v>
      </c>
      <c r="I33">
        <v>3.4938380000000002</v>
      </c>
      <c r="J33">
        <v>3.5806309999999999</v>
      </c>
      <c r="K33">
        <v>3.6685110000000001</v>
      </c>
      <c r="L33">
        <v>3.7564570000000002</v>
      </c>
      <c r="M33">
        <v>3.8463099999999999</v>
      </c>
      <c r="N33">
        <v>3.9380289999999998</v>
      </c>
      <c r="O33">
        <v>4.0288089999999999</v>
      </c>
      <c r="P33">
        <v>4.1173820000000001</v>
      </c>
      <c r="Q33">
        <v>4.2040410000000001</v>
      </c>
      <c r="R33">
        <v>4.2959069999999997</v>
      </c>
      <c r="S33">
        <v>4.3920669999999999</v>
      </c>
      <c r="T33">
        <v>4.4928889999999999</v>
      </c>
      <c r="U33">
        <v>4.5989279999999999</v>
      </c>
      <c r="V33">
        <v>4.7109589999999999</v>
      </c>
      <c r="W33">
        <v>4.8300340000000004</v>
      </c>
      <c r="X33">
        <v>4.9539280000000003</v>
      </c>
      <c r="Y33">
        <v>5.0855139999999999</v>
      </c>
      <c r="Z33">
        <v>5.2264929999999996</v>
      </c>
      <c r="AA33">
        <v>5.3702069999999997</v>
      </c>
      <c r="AB33">
        <v>5.5115860000000003</v>
      </c>
      <c r="AC33">
        <v>5.6540980000000003</v>
      </c>
      <c r="AD33">
        <v>5.7988869999999997</v>
      </c>
      <c r="AE33" s="4">
        <v>0.85723779576583803</v>
      </c>
    </row>
    <row r="34" spans="1:31" x14ac:dyDescent="0.25">
      <c r="A34" t="s">
        <v>57</v>
      </c>
      <c r="B34" t="s">
        <v>58</v>
      </c>
      <c r="C34" t="s">
        <v>59</v>
      </c>
      <c r="D34">
        <v>28.471895</v>
      </c>
      <c r="E34">
        <v>26.996185000000001</v>
      </c>
      <c r="F34">
        <v>26.195364000000001</v>
      </c>
      <c r="G34">
        <v>25.893135000000001</v>
      </c>
      <c r="H34">
        <v>24.811066</v>
      </c>
      <c r="I34">
        <v>23.395344000000001</v>
      </c>
      <c r="J34">
        <v>21.229939999999999</v>
      </c>
      <c r="K34">
        <v>20.037935000000001</v>
      </c>
      <c r="L34">
        <v>14.919364</v>
      </c>
      <c r="M34">
        <v>13.33235</v>
      </c>
      <c r="N34">
        <v>13.088687999999999</v>
      </c>
      <c r="O34">
        <v>12.654287</v>
      </c>
      <c r="P34">
        <v>12.088627000000001</v>
      </c>
      <c r="Q34">
        <v>11.379821</v>
      </c>
      <c r="R34">
        <v>10.786253</v>
      </c>
      <c r="S34">
        <v>10.289757</v>
      </c>
      <c r="T34">
        <v>10.086328</v>
      </c>
      <c r="U34">
        <v>10.380583</v>
      </c>
      <c r="V34">
        <v>9.950469</v>
      </c>
      <c r="W34">
        <v>9.1335110000000004</v>
      </c>
      <c r="X34">
        <v>9.0677090000000007</v>
      </c>
      <c r="Y34">
        <v>8.9867830000000009</v>
      </c>
      <c r="Z34">
        <v>8.7660529999999994</v>
      </c>
      <c r="AA34">
        <v>8.2081020000000002</v>
      </c>
      <c r="AB34">
        <v>8.0918949999999992</v>
      </c>
      <c r="AC34">
        <v>8.3381810000000005</v>
      </c>
      <c r="AD34">
        <v>8.4265290000000004</v>
      </c>
      <c r="AE34" s="4" cm="1">
        <f t="array" ref="AE34:AE38">(AD34:AD38-D34:D38)/D34:D38</f>
        <v>-0.70404045814302141</v>
      </c>
    </row>
    <row r="35" spans="1:31" x14ac:dyDescent="0.25">
      <c r="A35" t="s">
        <v>57</v>
      </c>
      <c r="B35" t="s">
        <v>60</v>
      </c>
      <c r="C35" t="s">
        <v>59</v>
      </c>
      <c r="D35">
        <v>104.396942</v>
      </c>
      <c r="E35">
        <v>98.986007999999998</v>
      </c>
      <c r="F35">
        <v>96.049628999999996</v>
      </c>
      <c r="G35">
        <v>94.941505000000006</v>
      </c>
      <c r="H35">
        <v>90.973892000000006</v>
      </c>
      <c r="I35">
        <v>85.782912999999994</v>
      </c>
      <c r="J35">
        <v>77.843056000000004</v>
      </c>
      <c r="K35">
        <v>73.47242</v>
      </c>
      <c r="L35">
        <v>54.704326999999999</v>
      </c>
      <c r="M35">
        <v>48.885288000000003</v>
      </c>
      <c r="N35">
        <v>47.991863000000002</v>
      </c>
      <c r="O35">
        <v>46.399059000000001</v>
      </c>
      <c r="P35">
        <v>44.324955000000003</v>
      </c>
      <c r="Q35">
        <v>41.725997999999997</v>
      </c>
      <c r="R35">
        <v>39.549594999999997</v>
      </c>
      <c r="S35">
        <v>37.729121999999997</v>
      </c>
      <c r="T35">
        <v>36.983192000000003</v>
      </c>
      <c r="U35">
        <v>38.062134</v>
      </c>
      <c r="V35">
        <v>36.485050000000001</v>
      </c>
      <c r="W35">
        <v>33.489544000000002</v>
      </c>
      <c r="X35">
        <v>33.248280000000001</v>
      </c>
      <c r="Y35">
        <v>32.951542000000003</v>
      </c>
      <c r="Z35">
        <v>32.142192999999999</v>
      </c>
      <c r="AA35">
        <v>30.096364999999999</v>
      </c>
      <c r="AB35">
        <v>29.670280000000002</v>
      </c>
      <c r="AC35">
        <v>30.573328</v>
      </c>
      <c r="AD35">
        <v>30.897264</v>
      </c>
      <c r="AE35" s="4">
        <v>-0.70404052639779424</v>
      </c>
    </row>
    <row r="36" spans="1:31" x14ac:dyDescent="0.25">
      <c r="A36" t="s">
        <v>57</v>
      </c>
      <c r="B36" t="s">
        <v>61</v>
      </c>
      <c r="C36" t="s">
        <v>59</v>
      </c>
      <c r="D36">
        <v>1.405E-2</v>
      </c>
      <c r="E36">
        <v>1.1285999999999999E-2</v>
      </c>
      <c r="F36">
        <v>1.4433E-2</v>
      </c>
      <c r="G36">
        <v>1.3672E-2</v>
      </c>
      <c r="H36">
        <v>1.1599999999999999E-2</v>
      </c>
      <c r="I36">
        <v>8.4270000000000005E-3</v>
      </c>
      <c r="J36">
        <v>6.9569999999999996E-3</v>
      </c>
      <c r="K36">
        <v>7.8689999999999993E-3</v>
      </c>
      <c r="L36">
        <v>5.5859999999999998E-3</v>
      </c>
      <c r="M36">
        <v>6.254E-3</v>
      </c>
      <c r="N36">
        <v>6.2009999999999999E-3</v>
      </c>
      <c r="O36">
        <v>6.332E-3</v>
      </c>
      <c r="P36">
        <v>6.1919999999999996E-3</v>
      </c>
      <c r="Q36">
        <v>5.4070000000000003E-3</v>
      </c>
      <c r="R36">
        <v>5.3109999999999997E-3</v>
      </c>
      <c r="S36">
        <v>2.2070000000000002E-3</v>
      </c>
      <c r="T36">
        <v>2.2469999999999999E-3</v>
      </c>
      <c r="U36">
        <v>2.287E-3</v>
      </c>
      <c r="V36">
        <v>2.33E-3</v>
      </c>
      <c r="W36">
        <v>2.3709999999999998E-3</v>
      </c>
      <c r="X36">
        <v>2.294E-3</v>
      </c>
      <c r="Y36">
        <v>2.3119999999999998E-3</v>
      </c>
      <c r="Z36">
        <v>1.1169999999999999E-3</v>
      </c>
      <c r="AA36">
        <v>1.142E-3</v>
      </c>
      <c r="AB36">
        <v>1.158E-3</v>
      </c>
      <c r="AC36">
        <v>1.158E-3</v>
      </c>
      <c r="AD36">
        <v>1.1670000000000001E-3</v>
      </c>
      <c r="AE36" s="4">
        <v>-0.91693950177935946</v>
      </c>
    </row>
    <row r="37" spans="1:31" x14ac:dyDescent="0.25">
      <c r="A37" t="s">
        <v>57</v>
      </c>
      <c r="B37" t="s">
        <v>62</v>
      </c>
      <c r="C37" t="s">
        <v>59</v>
      </c>
      <c r="D37">
        <v>1.9583E-2</v>
      </c>
      <c r="E37">
        <v>1.9800999999999999E-2</v>
      </c>
      <c r="F37">
        <v>1.5535E-2</v>
      </c>
      <c r="G37">
        <v>1.7600999999999999E-2</v>
      </c>
      <c r="H37">
        <v>1.6513E-2</v>
      </c>
      <c r="I37">
        <v>1.4862999999999999E-2</v>
      </c>
      <c r="J37">
        <v>1.0515999999999999E-2</v>
      </c>
      <c r="K37">
        <v>9.8689999999999993E-3</v>
      </c>
      <c r="L37">
        <v>8.1700000000000002E-3</v>
      </c>
      <c r="M37">
        <v>7.0520000000000001E-3</v>
      </c>
      <c r="N37">
        <v>6.9340000000000001E-3</v>
      </c>
      <c r="O37">
        <v>6.966E-3</v>
      </c>
      <c r="P37">
        <v>6.0910000000000001E-3</v>
      </c>
      <c r="Q37">
        <v>5.9040000000000004E-3</v>
      </c>
      <c r="R37">
        <v>5.8939999999999999E-3</v>
      </c>
      <c r="S37">
        <v>6.0769999999999999E-3</v>
      </c>
      <c r="T37">
        <v>6.0720000000000001E-3</v>
      </c>
      <c r="U37">
        <v>6.2069999999999998E-3</v>
      </c>
      <c r="V37">
        <v>5.7349999999999996E-3</v>
      </c>
      <c r="W37">
        <v>5.2779999999999997E-3</v>
      </c>
      <c r="X37">
        <v>5.1939999999999998E-3</v>
      </c>
      <c r="Y37">
        <v>5.1269999999999996E-3</v>
      </c>
      <c r="Z37">
        <v>3.8709999999999999E-3</v>
      </c>
      <c r="AA37">
        <v>3.1580000000000002E-3</v>
      </c>
      <c r="AB37">
        <v>3.1150000000000001E-3</v>
      </c>
      <c r="AC37">
        <v>3.215E-3</v>
      </c>
      <c r="AD37">
        <v>3.1779999999999998E-3</v>
      </c>
      <c r="AE37" s="4">
        <v>-0.83771638666190062</v>
      </c>
    </row>
    <row r="38" spans="1:31" x14ac:dyDescent="0.25">
      <c r="A38" t="s">
        <v>57</v>
      </c>
      <c r="B38" t="s">
        <v>63</v>
      </c>
      <c r="C38" t="s">
        <v>64</v>
      </c>
      <c r="D38">
        <v>0.14178299999999999</v>
      </c>
      <c r="E38">
        <v>0.12035</v>
      </c>
      <c r="F38">
        <v>0.112161</v>
      </c>
      <c r="G38">
        <v>0.107972</v>
      </c>
      <c r="H38">
        <v>9.5017000000000004E-2</v>
      </c>
      <c r="I38">
        <v>8.4200999999999998E-2</v>
      </c>
      <c r="J38">
        <v>7.4620000000000006E-2</v>
      </c>
      <c r="K38">
        <v>7.4341000000000004E-2</v>
      </c>
      <c r="L38">
        <v>3.6473999999999999E-2</v>
      </c>
      <c r="M38">
        <v>3.7673999999999999E-2</v>
      </c>
      <c r="N38">
        <v>3.7922999999999998E-2</v>
      </c>
      <c r="O38">
        <v>3.8073999999999997E-2</v>
      </c>
      <c r="P38">
        <v>3.7503000000000002E-2</v>
      </c>
      <c r="Q38">
        <v>3.5193000000000002E-2</v>
      </c>
      <c r="R38">
        <v>3.5188999999999998E-2</v>
      </c>
      <c r="S38">
        <v>3.2661000000000003E-2</v>
      </c>
      <c r="T38">
        <v>3.2749E-2</v>
      </c>
      <c r="U38">
        <v>3.2821999999999997E-2</v>
      </c>
      <c r="V38">
        <v>3.2948999999999999E-2</v>
      </c>
      <c r="W38">
        <v>3.3019E-2</v>
      </c>
      <c r="X38">
        <v>3.0925000000000001E-2</v>
      </c>
      <c r="Y38">
        <v>3.0905999999999999E-2</v>
      </c>
      <c r="Z38">
        <v>3.6000000000000001E-5</v>
      </c>
      <c r="AA38">
        <v>0</v>
      </c>
      <c r="AB38">
        <v>0</v>
      </c>
      <c r="AC38">
        <v>0</v>
      </c>
      <c r="AD38">
        <v>0</v>
      </c>
      <c r="AE38" s="4">
        <v>-1</v>
      </c>
    </row>
    <row r="39" spans="1:31" x14ac:dyDescent="0.25">
      <c r="A39" t="s">
        <v>65</v>
      </c>
      <c r="B39" t="s">
        <v>66</v>
      </c>
      <c r="C39" t="s">
        <v>71</v>
      </c>
      <c r="D39" cm="1">
        <f t="array" ref="D39:D42">907185*D34:D37*10^6/(D17*10^9)</f>
        <v>96.438799747881816</v>
      </c>
      <c r="E39" cm="1">
        <f t="array" ref="E39:E42">907185*E34:E37*10^6/(E17*10^9)</f>
        <v>91.373287879894676</v>
      </c>
      <c r="F39" cm="1">
        <f t="array" ref="F39:F42">907185*F34:F37*10^6/(F17*10^9)</f>
        <v>88.086493322085019</v>
      </c>
      <c r="G39" cm="1">
        <f t="array" ref="G39:G42">907185*G34:G37*10^6/(G17*10^9)</f>
        <v>86.949363953660495</v>
      </c>
      <c r="H39" cm="1">
        <f t="array" ref="H39:H42">907185*H34:H37*10^6/(H17*10^9)</f>
        <v>84.584148055557691</v>
      </c>
      <c r="I39" cm="1">
        <f t="array" ref="I39:I42">907185*I34:I37*10^6/(I17*10^9)</f>
        <v>78.112066299215442</v>
      </c>
      <c r="J39" cm="1">
        <f t="array" ref="J39:J42">907185*J34:J37*10^6/(J17*10^9)</f>
        <v>69.479936900350808</v>
      </c>
      <c r="K39" cm="1">
        <f t="array" ref="K39:K42">907185*K34:K37*10^6/(K17*10^9)</f>
        <v>62.008625956944726</v>
      </c>
      <c r="L39" cm="1">
        <f t="array" ref="L39:L42">907185*L34:L37*10^6/(L17*10^9)</f>
        <v>44.018110294053848</v>
      </c>
      <c r="M39" cm="1">
        <f t="array" ref="M39:M42">907185*M34:M37*10^6/(M17*10^9)</f>
        <v>40.017518822918419</v>
      </c>
      <c r="N39" cm="1">
        <f t="array" ref="N39:N42">907185*N34:N37*10^6/(N17*10^9)</f>
        <v>39.271657576492586</v>
      </c>
      <c r="O39" cm="1">
        <f t="array" ref="O39:O42">907185*O34:O37*10^6/(O17*10^9)</f>
        <v>37.006270894684505</v>
      </c>
      <c r="P39" cm="1">
        <f t="array" ref="P39:P42">907185*P34:P37*10^6/(P17*10^9)</f>
        <v>35.649490064145134</v>
      </c>
      <c r="Q39" cm="1">
        <f t="array" ref="Q39:Q42">907185*Q34:Q37*10^6/(Q17*10^9)</f>
        <v>34.084365793738996</v>
      </c>
      <c r="R39" cm="1">
        <f t="array" ref="R39:R42">907185*R34:R37*10^6/(R17*10^9)</f>
        <v>32.497841097963764</v>
      </c>
      <c r="S39" cm="1">
        <f t="array" ref="S39:S42">907185*S34:S37*10^6/(S17*10^9)</f>
        <v>31.186955512758082</v>
      </c>
      <c r="T39" cm="1">
        <f t="array" ref="T39:T42">907185*T34:T37*10^6/(T17*10^9)</f>
        <v>30.320765687219044</v>
      </c>
      <c r="U39" cm="1">
        <f t="array" ref="U39:U42">907185*U34:U37*10^6/(U17*10^9)</f>
        <v>30.614053707360366</v>
      </c>
      <c r="V39" cm="1">
        <f t="array" ref="V39:V42">907185*V34:V37*10^6/(V17*10^9)</f>
        <v>29.109103631653809</v>
      </c>
      <c r="W39" cm="1">
        <f t="array" ref="W39:W42">907185*W34:W37*10^6/(W17*10^9)</f>
        <v>26.134955298000488</v>
      </c>
      <c r="X39" cm="1">
        <f t="array" ref="X39:X42">907185*X34:X37*10^6/(X17*10^9)</f>
        <v>25.60986919627797</v>
      </c>
      <c r="Y39" cm="1">
        <f t="array" ref="Y39:Y42">907185*Y34:Y37*10^6/(Y17*10^9)</f>
        <v>25.173234335251259</v>
      </c>
      <c r="Z39" cm="1">
        <f t="array" ref="Z39:Z42">907185*Z34:Z37*10^6/(Z17*10^9)</f>
        <v>24.060854411384838</v>
      </c>
      <c r="AA39" cm="1">
        <f t="array" ref="AA39:AA42">907185*AA34:AA37*10^6/(AA17*10^9)</f>
        <v>22.550162698828803</v>
      </c>
      <c r="AB39" cm="1">
        <f t="array" ref="AB39:AB42">907185*AB34:AB37*10^6/(AB17*10^9)</f>
        <v>22.170173849571363</v>
      </c>
      <c r="AC39" cm="1">
        <f t="array" ref="AC39:AC42">907185*AC34:AC37*10^6/(AC17*10^9)</f>
        <v>22.486604760016665</v>
      </c>
      <c r="AD39" cm="1">
        <f t="array" ref="AD39:AD42">907185*AD34:AD37*10^6/(AD17*10^9)</f>
        <v>22.62282857949959</v>
      </c>
      <c r="AE39" s="4" cm="1">
        <f t="array" ref="AE39:AE43">(AD39:AD43-D39:D43)/D39:D43</f>
        <v>-0.76541777128456556</v>
      </c>
    </row>
    <row r="40" spans="1:31" x14ac:dyDescent="0.25">
      <c r="A40" t="s">
        <v>65</v>
      </c>
      <c r="B40" t="s">
        <v>67</v>
      </c>
      <c r="C40" t="s">
        <v>71</v>
      </c>
      <c r="D40">
        <v>353.6089109569009</v>
      </c>
      <c r="E40">
        <v>335.03537648247544</v>
      </c>
      <c r="F40">
        <v>322.98367770332339</v>
      </c>
      <c r="G40">
        <v>318.81436807683889</v>
      </c>
      <c r="H40">
        <v>310.14181938487917</v>
      </c>
      <c r="I40">
        <v>286.41085968198757</v>
      </c>
      <c r="J40">
        <v>254.75958099789611</v>
      </c>
      <c r="K40">
        <v>227.36493605411658</v>
      </c>
      <c r="L40">
        <v>161.39971512512113</v>
      </c>
      <c r="M40">
        <v>146.73091635786548</v>
      </c>
      <c r="N40">
        <v>143.99609878346436</v>
      </c>
      <c r="O40">
        <v>135.68967944321551</v>
      </c>
      <c r="P40">
        <v>130.71476544575162</v>
      </c>
      <c r="Q40">
        <v>124.97597097009009</v>
      </c>
      <c r="R40">
        <v>119.15875270113003</v>
      </c>
      <c r="S40">
        <v>114.35220961480648</v>
      </c>
      <c r="T40">
        <v>111.17610878780008</v>
      </c>
      <c r="U40">
        <v>112.25151944671575</v>
      </c>
      <c r="V40">
        <v>106.73337120653014</v>
      </c>
      <c r="W40">
        <v>95.828179917933042</v>
      </c>
      <c r="X40">
        <v>93.902892318360117</v>
      </c>
      <c r="Y40">
        <v>92.301871367526502</v>
      </c>
      <c r="Z40">
        <v>88.223129182042683</v>
      </c>
      <c r="AA40">
        <v>82.683905169957271</v>
      </c>
      <c r="AB40">
        <v>81.290632882095025</v>
      </c>
      <c r="AC40">
        <v>82.450877827472283</v>
      </c>
      <c r="AD40">
        <v>82.95034729573041</v>
      </c>
      <c r="AE40" s="4">
        <v>-0.76541782538438152</v>
      </c>
    </row>
    <row r="41" spans="1:31" x14ac:dyDescent="0.25">
      <c r="A41" t="s">
        <v>65</v>
      </c>
      <c r="B41" t="s">
        <v>68</v>
      </c>
      <c r="C41" t="s">
        <v>71</v>
      </c>
      <c r="D41">
        <v>4.7589566358605194E-2</v>
      </c>
      <c r="E41">
        <v>3.8199431772025977E-2</v>
      </c>
      <c r="F41">
        <v>4.8533486998602222E-2</v>
      </c>
      <c r="G41">
        <v>4.5910690380845977E-2</v>
      </c>
      <c r="H41">
        <v>3.9545907356196196E-2</v>
      </c>
      <c r="I41">
        <v>2.8135956569114284E-2</v>
      </c>
      <c r="J41">
        <v>2.2768407306649977E-2</v>
      </c>
      <c r="K41">
        <v>2.4351105922601209E-2</v>
      </c>
      <c r="L41">
        <v>1.6480941419660028E-2</v>
      </c>
      <c r="M41">
        <v>1.8771601609508588E-2</v>
      </c>
      <c r="N41">
        <v>1.8605650056891153E-2</v>
      </c>
      <c r="O41">
        <v>1.8517337824339081E-2</v>
      </c>
      <c r="P41">
        <v>1.8260274097065498E-2</v>
      </c>
      <c r="Q41">
        <v>1.6194821152876373E-2</v>
      </c>
      <c r="R41">
        <v>1.6001482078279224E-2</v>
      </c>
      <c r="S41">
        <v>6.6891386080990154E-3</v>
      </c>
      <c r="T41">
        <v>6.7547635273393046E-3</v>
      </c>
      <c r="U41">
        <v>6.7447407172345859E-3</v>
      </c>
      <c r="V41">
        <v>6.8161823791173439E-3</v>
      </c>
      <c r="W41">
        <v>6.7844642669789481E-3</v>
      </c>
      <c r="X41">
        <v>6.4789286837790743E-3</v>
      </c>
      <c r="Y41">
        <v>6.4762349088768366E-3</v>
      </c>
      <c r="Z41">
        <v>3.0659151133944616E-3</v>
      </c>
      <c r="AA41">
        <v>3.1374227320837989E-3</v>
      </c>
      <c r="AB41">
        <v>3.1726883897781224E-3</v>
      </c>
      <c r="AC41">
        <v>3.1229219313060356E-3</v>
      </c>
      <c r="AD41">
        <v>3.1330623738761269E-3</v>
      </c>
      <c r="AE41" s="4">
        <v>-0.9341649312316207</v>
      </c>
    </row>
    <row r="42" spans="1:31" x14ac:dyDescent="0.25">
      <c r="A42" t="s">
        <v>65</v>
      </c>
      <c r="B42" t="s">
        <v>69</v>
      </c>
      <c r="C42" t="s">
        <v>71</v>
      </c>
      <c r="D42">
        <v>6.633071017797619E-2</v>
      </c>
      <c r="E42">
        <v>6.7019931642555958E-2</v>
      </c>
      <c r="F42">
        <v>5.2239154751145676E-2</v>
      </c>
      <c r="G42">
        <v>5.910430525111688E-2</v>
      </c>
      <c r="H42">
        <v>5.6294962773523083E-2</v>
      </c>
      <c r="I42">
        <v>4.9624388570872861E-2</v>
      </c>
      <c r="J42">
        <v>3.4416066010741868E-2</v>
      </c>
      <c r="K42">
        <v>3.0540229298532378E-2</v>
      </c>
      <c r="L42">
        <v>2.4104778266849709E-2</v>
      </c>
      <c r="M42">
        <v>2.1166826758915024E-2</v>
      </c>
      <c r="N42">
        <v>2.0804963311479321E-2</v>
      </c>
      <c r="O42">
        <v>2.0371411131450731E-2</v>
      </c>
      <c r="P42">
        <v>1.7962424018931843E-2</v>
      </c>
      <c r="Q42">
        <v>1.7683414848637346E-2</v>
      </c>
      <c r="R42">
        <v>1.7757999504684194E-2</v>
      </c>
      <c r="S42">
        <v>1.8418620444684057E-2</v>
      </c>
      <c r="T42">
        <v>1.825319276279673E-2</v>
      </c>
      <c r="U42">
        <v>1.8305468138117658E-2</v>
      </c>
      <c r="V42">
        <v>1.6777169933149341E-2</v>
      </c>
      <c r="W42">
        <v>1.5102658119407373E-2</v>
      </c>
      <c r="X42">
        <v>1.4669379068678514E-2</v>
      </c>
      <c r="Y42">
        <v>1.4361443069987691E-2</v>
      </c>
      <c r="Z42">
        <v>1.062502900980301E-2</v>
      </c>
      <c r="AA42">
        <v>8.6759903571984546E-3</v>
      </c>
      <c r="AB42">
        <v>8.534476972503327E-3</v>
      </c>
      <c r="AC42">
        <v>8.6702884362253076E-3</v>
      </c>
      <c r="AD42">
        <v>8.5320241852427856E-3</v>
      </c>
      <c r="AE42" s="4">
        <v>-0.87137143319663002</v>
      </c>
    </row>
    <row r="43" spans="1:31" x14ac:dyDescent="0.25">
      <c r="A43" t="s">
        <v>65</v>
      </c>
      <c r="B43" t="s">
        <v>70</v>
      </c>
      <c r="C43" t="s">
        <v>71</v>
      </c>
      <c r="D43">
        <f>907185*D38/(D17*10^9)</f>
        <v>4.8024138697666336E-7</v>
      </c>
      <c r="E43">
        <f>907185*E38/(E17*10^9)</f>
        <v>4.0734552664924041E-7</v>
      </c>
      <c r="F43">
        <f>907185*F38/(F17*10^9)</f>
        <v>3.7716098075592214E-7</v>
      </c>
      <c r="G43">
        <f>907185*G38/(G17*10^9)</f>
        <v>3.6257087930081201E-7</v>
      </c>
      <c r="H43">
        <f>907185*H38/(H17*10^9)</f>
        <v>3.2392529993652532E-7</v>
      </c>
      <c r="I43">
        <f>907185*I38/(I17*10^9)</f>
        <v>2.8112918940026012E-7</v>
      </c>
      <c r="J43">
        <f>907185*J38/(J17*10^9)</f>
        <v>2.4421137749349162E-7</v>
      </c>
      <c r="K43">
        <f>907185*K38/(K17*10^9)</f>
        <v>2.3005281044504975E-7</v>
      </c>
      <c r="L43">
        <f>907185*L38/(L17*10^9)</f>
        <v>1.0761293543513786E-7</v>
      </c>
      <c r="M43">
        <f>907185*M38/(M17*10^9)</f>
        <v>1.1307983994829333E-7</v>
      </c>
      <c r="N43">
        <f>907185*N38/(N17*10^9)</f>
        <v>1.1378520675818146E-7</v>
      </c>
      <c r="O43">
        <f>907185*O38/(O17*10^9)</f>
        <v>1.1134382822550317E-7</v>
      </c>
      <c r="P43">
        <f>907185*P38/(P17*10^9)</f>
        <v>1.1059674732917436E-7</v>
      </c>
      <c r="Q43">
        <f>907185*Q38/(Q17*10^9)</f>
        <v>1.0540860751492107E-7</v>
      </c>
      <c r="R43">
        <f>907185*R38/(R17*10^9)</f>
        <v>1.0602074051074519E-7</v>
      </c>
      <c r="S43">
        <f>907185*S38/(S17*10^9)</f>
        <v>9.8991371127830505E-8</v>
      </c>
      <c r="T43">
        <f>907185*T38/(T17*10^9)</f>
        <v>9.8447597132547782E-8</v>
      </c>
      <c r="U43">
        <f>907185*U38/(U17*10^9)</f>
        <v>9.6797498828628599E-8</v>
      </c>
      <c r="V43">
        <f>907185*V38/(V17*10^9)</f>
        <v>9.6389009961174829E-8</v>
      </c>
      <c r="W43">
        <f>907185*W38/(W17*10^9)</f>
        <v>9.4481748473799193E-8</v>
      </c>
      <c r="X43">
        <f>907185*X38/(X17*10^9)</f>
        <v>8.7341268328625934E-8</v>
      </c>
      <c r="Y43">
        <f>907185*Y38/(Y17*10^9)</f>
        <v>8.6572022531897704E-8</v>
      </c>
      <c r="Z43">
        <f>907185*Z38/(Z17*10^9)</f>
        <v>9.8811946358281668E-11</v>
      </c>
      <c r="AA43">
        <f>907185*AA38/(AA17*10^9)</f>
        <v>0</v>
      </c>
      <c r="AB43">
        <f>907185*AB38/(AB17*10^9)</f>
        <v>0</v>
      </c>
      <c r="AC43">
        <f>907185*AC38/(AC17*10^9)</f>
        <v>0</v>
      </c>
      <c r="AD43">
        <f>907185*AD38/(AD17*10^9)</f>
        <v>0</v>
      </c>
      <c r="AE43" s="4">
        <v>-1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E43"/>
  <sheetViews>
    <sheetView tabSelected="1" topLeftCell="H1" zoomScale="55" zoomScaleNormal="55" workbookViewId="0">
      <selection sqref="A1:A1048576"/>
    </sheetView>
  </sheetViews>
  <sheetFormatPr defaultRowHeight="15" x14ac:dyDescent="0.25"/>
  <cols>
    <col min="1" max="1" width="50.28515625" bestFit="1" customWidth="1"/>
    <col min="2" max="2" width="35.7109375" bestFit="1" customWidth="1"/>
    <col min="3" max="3" width="17.5703125" bestFit="1" customWidth="1"/>
    <col min="4" max="30" width="16" bestFit="1" customWidth="1"/>
    <col min="31" max="31" width="27.42578125" bestFit="1" customWidth="1"/>
  </cols>
  <sheetData>
    <row r="1" spans="1:31" s="3" customFormat="1" ht="15.75" thickBot="1" x14ac:dyDescent="0.3">
      <c r="A1" s="3" t="s">
        <v>72</v>
      </c>
      <c r="B1" s="1" t="s">
        <v>73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</row>
    <row r="2" spans="1:31" ht="15.75" thickTop="1" x14ac:dyDescent="0.25">
      <c r="A2" t="s">
        <v>29</v>
      </c>
      <c r="B2" t="s">
        <v>30</v>
      </c>
      <c r="C2" t="s">
        <v>31</v>
      </c>
      <c r="D2">
        <v>38.071575000000003</v>
      </c>
      <c r="E2">
        <v>35.576248</v>
      </c>
      <c r="F2">
        <v>23.999265999999999</v>
      </c>
      <c r="G2">
        <v>22.292314999999999</v>
      </c>
      <c r="H2">
        <v>28.673355000000001</v>
      </c>
      <c r="I2">
        <v>30.951326000000002</v>
      </c>
      <c r="J2">
        <v>20.644041000000001</v>
      </c>
      <c r="K2">
        <v>20.544627999999999</v>
      </c>
      <c r="L2">
        <v>2.746397</v>
      </c>
      <c r="M2">
        <v>2.7498429999999998</v>
      </c>
      <c r="N2">
        <v>2.753206</v>
      </c>
      <c r="O2">
        <v>2.7559</v>
      </c>
      <c r="P2">
        <v>2.7581519999999999</v>
      </c>
      <c r="Q2">
        <v>2.7598509999999998</v>
      </c>
      <c r="R2">
        <v>2.7614079999999999</v>
      </c>
      <c r="S2">
        <v>2.7628949999999999</v>
      </c>
      <c r="T2">
        <v>2.764437</v>
      </c>
      <c r="U2">
        <v>2.7657600000000002</v>
      </c>
      <c r="V2">
        <v>2.766972</v>
      </c>
      <c r="W2">
        <v>2.7680560000000001</v>
      </c>
      <c r="X2">
        <v>1.1652009999999999</v>
      </c>
      <c r="Y2">
        <v>1.2295959999999999</v>
      </c>
      <c r="Z2">
        <v>0</v>
      </c>
      <c r="AA2">
        <v>0</v>
      </c>
      <c r="AB2">
        <v>0</v>
      </c>
      <c r="AC2">
        <v>0</v>
      </c>
      <c r="AD2">
        <v>0</v>
      </c>
      <c r="AE2" s="4" cm="1">
        <f t="array" ref="AE2:AE17">(AD2:AD17-D2:D17)/D2:D17</f>
        <v>-1</v>
      </c>
    </row>
    <row r="3" spans="1:31" x14ac:dyDescent="0.25">
      <c r="A3" t="s">
        <v>29</v>
      </c>
      <c r="B3" t="s">
        <v>32</v>
      </c>
      <c r="C3" t="s">
        <v>31</v>
      </c>
      <c r="D3">
        <v>0.168348</v>
      </c>
      <c r="E3">
        <v>0.157052</v>
      </c>
      <c r="F3">
        <v>0.108268</v>
      </c>
      <c r="G3">
        <v>0.102481</v>
      </c>
      <c r="H3">
        <v>0.128108</v>
      </c>
      <c r="I3">
        <v>0.13550499999999999</v>
      </c>
      <c r="J3">
        <v>0.110857</v>
      </c>
      <c r="K3">
        <v>0.109585</v>
      </c>
      <c r="L3">
        <v>3.3773999999999998E-2</v>
      </c>
      <c r="M3">
        <v>1.2992E-2</v>
      </c>
      <c r="N3">
        <v>1.3004999999999999E-2</v>
      </c>
      <c r="O3">
        <v>1.3016E-2</v>
      </c>
      <c r="P3">
        <v>1.7135999999999998E-2</v>
      </c>
      <c r="Q3">
        <v>1.6521999999999998E-2</v>
      </c>
      <c r="R3">
        <v>1.6528999999999999E-2</v>
      </c>
      <c r="S3">
        <v>1.6535000000000001E-2</v>
      </c>
      <c r="T3">
        <v>1.6541E-2</v>
      </c>
      <c r="U3">
        <v>1.5819E-2</v>
      </c>
      <c r="V3">
        <v>1.3061E-2</v>
      </c>
      <c r="W3">
        <v>1.3065E-2</v>
      </c>
      <c r="X3">
        <v>6.6280000000000002E-3</v>
      </c>
      <c r="Y3">
        <v>6.8869999999999999E-3</v>
      </c>
      <c r="Z3">
        <v>1.9480000000000001E-3</v>
      </c>
      <c r="AA3">
        <v>1.9480000000000001E-3</v>
      </c>
      <c r="AB3">
        <v>1.9480000000000001E-3</v>
      </c>
      <c r="AC3">
        <v>1.9480000000000001E-3</v>
      </c>
      <c r="AD3">
        <v>1.9480000000000001E-3</v>
      </c>
      <c r="AE3" s="4">
        <v>-0.98842873096205475</v>
      </c>
    </row>
    <row r="4" spans="1:31" x14ac:dyDescent="0.25">
      <c r="A4" t="s">
        <v>29</v>
      </c>
      <c r="B4" t="s">
        <v>33</v>
      </c>
      <c r="C4" t="s">
        <v>31</v>
      </c>
      <c r="D4">
        <v>189.617493</v>
      </c>
      <c r="E4">
        <v>171.85498000000001</v>
      </c>
      <c r="F4">
        <v>153.80154400000001</v>
      </c>
      <c r="G4">
        <v>141.61567700000001</v>
      </c>
      <c r="H4">
        <v>138.96559099999999</v>
      </c>
      <c r="I4">
        <v>140.10496499999999</v>
      </c>
      <c r="J4">
        <v>155.08007799999999</v>
      </c>
      <c r="K4">
        <v>160.481979</v>
      </c>
      <c r="L4">
        <v>168.547867</v>
      </c>
      <c r="M4">
        <v>157.471542</v>
      </c>
      <c r="N4">
        <v>161.49627699999999</v>
      </c>
      <c r="O4">
        <v>115.80218499999999</v>
      </c>
      <c r="P4">
        <v>84.244568000000001</v>
      </c>
      <c r="Q4">
        <v>85.709152000000003</v>
      </c>
      <c r="R4">
        <v>89.552811000000005</v>
      </c>
      <c r="S4">
        <v>95.674369999999996</v>
      </c>
      <c r="T4">
        <v>103.881271</v>
      </c>
      <c r="U4">
        <v>108.935692</v>
      </c>
      <c r="V4">
        <v>111.586029</v>
      </c>
      <c r="W4">
        <v>115.088776</v>
      </c>
      <c r="X4">
        <v>119.39254800000001</v>
      </c>
      <c r="Y4">
        <v>124.315865</v>
      </c>
      <c r="Z4">
        <v>130.24087499999999</v>
      </c>
      <c r="AA4">
        <v>135.61381499999999</v>
      </c>
      <c r="AB4">
        <v>138.80847199999999</v>
      </c>
      <c r="AC4">
        <v>135.537811</v>
      </c>
      <c r="AD4">
        <v>112.282021</v>
      </c>
      <c r="AE4" s="4">
        <v>-0.40784988123432259</v>
      </c>
    </row>
    <row r="5" spans="1:31" x14ac:dyDescent="0.25">
      <c r="A5" t="s">
        <v>29</v>
      </c>
      <c r="B5" t="s">
        <v>34</v>
      </c>
      <c r="C5" t="s">
        <v>31</v>
      </c>
      <c r="D5">
        <v>40.659270999999997</v>
      </c>
      <c r="E5">
        <v>41.290030999999999</v>
      </c>
      <c r="F5">
        <v>41.196060000000003</v>
      </c>
      <c r="G5">
        <v>41.102074000000002</v>
      </c>
      <c r="H5">
        <v>41.101596999999998</v>
      </c>
      <c r="I5">
        <v>41.101596999999998</v>
      </c>
      <c r="J5">
        <v>41.102074000000002</v>
      </c>
      <c r="K5">
        <v>41.102074000000002</v>
      </c>
      <c r="L5">
        <v>41.102074000000002</v>
      </c>
      <c r="M5">
        <v>41.101593000000001</v>
      </c>
      <c r="N5">
        <v>41.101593000000001</v>
      </c>
      <c r="O5">
        <v>41.101596999999998</v>
      </c>
      <c r="P5">
        <v>25.560616</v>
      </c>
      <c r="Q5">
        <v>23.830432999999999</v>
      </c>
      <c r="R5">
        <v>26.91206</v>
      </c>
      <c r="S5">
        <v>27.517233000000001</v>
      </c>
      <c r="T5">
        <v>27.064117</v>
      </c>
      <c r="U5">
        <v>29.635567000000002</v>
      </c>
      <c r="V5">
        <v>32.731411000000001</v>
      </c>
      <c r="W5">
        <v>36.694308999999997</v>
      </c>
      <c r="X5">
        <v>41.005054000000001</v>
      </c>
      <c r="Y5">
        <v>41.101596999999998</v>
      </c>
      <c r="Z5">
        <v>41.101596999999998</v>
      </c>
      <c r="AA5">
        <v>41.101596999999998</v>
      </c>
      <c r="AB5">
        <v>41.101596999999998</v>
      </c>
      <c r="AC5">
        <v>41.101596999999998</v>
      </c>
      <c r="AD5">
        <v>41.101596999999998</v>
      </c>
      <c r="AE5" s="4">
        <v>1.087884728676029E-2</v>
      </c>
    </row>
    <row r="6" spans="1:31" x14ac:dyDescent="0.25">
      <c r="A6" t="s">
        <v>29</v>
      </c>
      <c r="B6" t="s">
        <v>35</v>
      </c>
      <c r="C6" t="s">
        <v>31</v>
      </c>
      <c r="D6">
        <v>-0.601719</v>
      </c>
      <c r="E6">
        <v>-1.23184</v>
      </c>
      <c r="F6">
        <v>-2.1324459999999998</v>
      </c>
      <c r="G6">
        <v>-2.8716740000000001</v>
      </c>
      <c r="H6">
        <v>-2.8616890000000001</v>
      </c>
      <c r="I6">
        <v>-2.7753670000000001</v>
      </c>
      <c r="J6">
        <v>-2.9497140000000002</v>
      </c>
      <c r="K6">
        <v>-2.8122769999999999</v>
      </c>
      <c r="L6">
        <v>-3.1318269999999999</v>
      </c>
      <c r="M6">
        <v>-3.3878539999999999</v>
      </c>
      <c r="N6">
        <v>-3.45899</v>
      </c>
      <c r="O6">
        <v>-3.4109449999999999</v>
      </c>
      <c r="P6">
        <v>-3.069925</v>
      </c>
      <c r="Q6">
        <v>-3.0982889999999998</v>
      </c>
      <c r="R6">
        <v>-3.0841919999999998</v>
      </c>
      <c r="S6">
        <v>-3.1120570000000001</v>
      </c>
      <c r="T6">
        <v>-3.0516610000000002</v>
      </c>
      <c r="U6">
        <v>-3.0024860000000002</v>
      </c>
      <c r="V6">
        <v>-2.968461</v>
      </c>
      <c r="W6">
        <v>-3.0369299999999999</v>
      </c>
      <c r="X6">
        <v>-3.1273740000000001</v>
      </c>
      <c r="Y6">
        <v>-3.2183250000000001</v>
      </c>
      <c r="Z6">
        <v>-3.2758699999999998</v>
      </c>
      <c r="AA6">
        <v>-3.3274170000000001</v>
      </c>
      <c r="AB6">
        <v>-3.2583730000000002</v>
      </c>
      <c r="AC6">
        <v>-3.387972</v>
      </c>
      <c r="AD6">
        <v>-4.6660950000000003</v>
      </c>
      <c r="AE6" s="4">
        <v>6.7546080479426447</v>
      </c>
    </row>
    <row r="7" spans="1:31" x14ac:dyDescent="0.25">
      <c r="A7" t="s">
        <v>29</v>
      </c>
      <c r="B7" t="s">
        <v>36</v>
      </c>
      <c r="C7" t="s">
        <v>31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 s="4" t="e">
        <v>#DIV/0!</v>
      </c>
    </row>
    <row r="8" spans="1:31" x14ac:dyDescent="0.25">
      <c r="A8" t="s">
        <v>29</v>
      </c>
      <c r="B8" t="s">
        <v>37</v>
      </c>
      <c r="C8" t="s">
        <v>31</v>
      </c>
      <c r="D8">
        <v>0.71188499999999999</v>
      </c>
      <c r="E8">
        <v>0.77682799999999996</v>
      </c>
      <c r="F8">
        <v>0.80552800000000002</v>
      </c>
      <c r="G8">
        <v>0.83585200000000004</v>
      </c>
      <c r="H8">
        <v>0.83611800000000003</v>
      </c>
      <c r="I8">
        <v>0.83416900000000005</v>
      </c>
      <c r="J8">
        <v>0.83833199999999997</v>
      </c>
      <c r="K8">
        <v>0.83730300000000002</v>
      </c>
      <c r="L8">
        <v>0.82168200000000002</v>
      </c>
      <c r="M8">
        <v>0.80403999999999998</v>
      </c>
      <c r="N8">
        <v>0.80353300000000005</v>
      </c>
      <c r="O8">
        <v>0.78916799999999998</v>
      </c>
      <c r="P8">
        <v>0.74539</v>
      </c>
      <c r="Q8">
        <v>0.74057499999999998</v>
      </c>
      <c r="R8">
        <v>0.74574200000000002</v>
      </c>
      <c r="S8">
        <v>0.75328399999999995</v>
      </c>
      <c r="T8">
        <v>0.75744100000000003</v>
      </c>
      <c r="U8">
        <v>0.75820399999999999</v>
      </c>
      <c r="V8">
        <v>0.757274</v>
      </c>
      <c r="W8">
        <v>0.76171900000000003</v>
      </c>
      <c r="X8">
        <v>0.76218300000000005</v>
      </c>
      <c r="Y8">
        <v>0.76424199999999998</v>
      </c>
      <c r="Z8">
        <v>0.76634899999999995</v>
      </c>
      <c r="AA8">
        <v>0.76466199999999995</v>
      </c>
      <c r="AB8">
        <v>0.76557500000000001</v>
      </c>
      <c r="AC8">
        <v>0.76344400000000001</v>
      </c>
      <c r="AD8">
        <v>0.73629199999999995</v>
      </c>
      <c r="AE8" s="4">
        <v>3.4285031992526825E-2</v>
      </c>
    </row>
    <row r="9" spans="1:31" x14ac:dyDescent="0.25">
      <c r="A9" t="s">
        <v>29</v>
      </c>
      <c r="B9" t="s">
        <v>38</v>
      </c>
      <c r="C9" t="s">
        <v>31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 s="4" t="e">
        <v>#DIV/0!</v>
      </c>
    </row>
    <row r="10" spans="1:31" x14ac:dyDescent="0.25">
      <c r="A10" t="s">
        <v>29</v>
      </c>
      <c r="B10" t="s">
        <v>39</v>
      </c>
      <c r="C10" t="s">
        <v>31</v>
      </c>
      <c r="D10">
        <v>0.13234099999999999</v>
      </c>
      <c r="E10">
        <v>0.204345</v>
      </c>
      <c r="F10">
        <v>0.279534</v>
      </c>
      <c r="G10">
        <v>0.34921799999999997</v>
      </c>
      <c r="H10">
        <v>0.425153</v>
      </c>
      <c r="I10">
        <v>0.488813</v>
      </c>
      <c r="J10">
        <v>0.55138100000000001</v>
      </c>
      <c r="K10">
        <v>0.61966299999999996</v>
      </c>
      <c r="L10">
        <v>0.68933699999999998</v>
      </c>
      <c r="M10">
        <v>0.75959600000000005</v>
      </c>
      <c r="N10">
        <v>0.81790700000000005</v>
      </c>
      <c r="O10">
        <v>0.87985599999999997</v>
      </c>
      <c r="P10">
        <v>0.53372699999999995</v>
      </c>
      <c r="Q10">
        <v>0.57235400000000003</v>
      </c>
      <c r="R10">
        <v>0.61254399999999998</v>
      </c>
      <c r="S10">
        <v>0.64042299999999996</v>
      </c>
      <c r="T10">
        <v>0.66897499999999999</v>
      </c>
      <c r="U10">
        <v>1.121939</v>
      </c>
      <c r="V10">
        <v>1.170264</v>
      </c>
      <c r="W10">
        <v>1.2189749999999999</v>
      </c>
      <c r="X10">
        <v>1.2442420000000001</v>
      </c>
      <c r="Y10">
        <v>1.389785</v>
      </c>
      <c r="Z10">
        <v>1.4229719999999999</v>
      </c>
      <c r="AA10">
        <v>1.4563440000000001</v>
      </c>
      <c r="AB10">
        <v>1.484416</v>
      </c>
      <c r="AC10">
        <v>1.484432</v>
      </c>
      <c r="AD10">
        <v>1.4791570000000001</v>
      </c>
      <c r="AE10" s="4">
        <v>10.176861290151956</v>
      </c>
    </row>
    <row r="11" spans="1:31" x14ac:dyDescent="0.25">
      <c r="A11" t="s">
        <v>29</v>
      </c>
      <c r="B11" t="s">
        <v>40</v>
      </c>
      <c r="C11" t="s">
        <v>31</v>
      </c>
      <c r="D11">
        <v>0.19350999999999999</v>
      </c>
      <c r="E11">
        <v>0.19347400000000001</v>
      </c>
      <c r="F11">
        <v>0.19339500000000001</v>
      </c>
      <c r="G11">
        <v>0.19339500000000001</v>
      </c>
      <c r="H11">
        <v>0.19339500000000001</v>
      </c>
      <c r="I11">
        <v>0.19339500000000001</v>
      </c>
      <c r="J11">
        <v>0.19339500000000001</v>
      </c>
      <c r="K11">
        <v>0.19339500000000001</v>
      </c>
      <c r="L11">
        <v>0.19339500000000001</v>
      </c>
      <c r="M11">
        <v>0.19339500000000001</v>
      </c>
      <c r="N11">
        <v>0.19534799999999999</v>
      </c>
      <c r="O11">
        <v>0.19339500000000001</v>
      </c>
      <c r="P11">
        <v>0.19339500000000001</v>
      </c>
      <c r="Q11">
        <v>0.19339500000000001</v>
      </c>
      <c r="R11">
        <v>0.19339500000000001</v>
      </c>
      <c r="S11">
        <v>0.19339500000000001</v>
      </c>
      <c r="T11">
        <v>0.19339500000000001</v>
      </c>
      <c r="U11">
        <v>0.19339500000000001</v>
      </c>
      <c r="V11">
        <v>0.19339500000000001</v>
      </c>
      <c r="W11">
        <v>0.19339500000000001</v>
      </c>
      <c r="X11">
        <v>0.19339500000000001</v>
      </c>
      <c r="Y11">
        <v>0.19339500000000001</v>
      </c>
      <c r="Z11">
        <v>0.19339500000000001</v>
      </c>
      <c r="AA11">
        <v>0.19339500000000001</v>
      </c>
      <c r="AB11">
        <v>0.19339500000000001</v>
      </c>
      <c r="AC11">
        <v>0.19339500000000001</v>
      </c>
      <c r="AD11">
        <v>0.19339500000000001</v>
      </c>
      <c r="AE11" s="4">
        <v>-5.9428453309894188E-4</v>
      </c>
    </row>
    <row r="12" spans="1:31" x14ac:dyDescent="0.25">
      <c r="A12" t="s">
        <v>29</v>
      </c>
      <c r="B12" t="s">
        <v>41</v>
      </c>
      <c r="C12" t="s">
        <v>31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s="4" t="e">
        <v>#DIV/0!</v>
      </c>
    </row>
    <row r="13" spans="1:31" x14ac:dyDescent="0.25">
      <c r="A13" t="s">
        <v>29</v>
      </c>
      <c r="B13" t="s">
        <v>42</v>
      </c>
      <c r="C13" t="s">
        <v>31</v>
      </c>
      <c r="D13">
        <v>39.650455000000001</v>
      </c>
      <c r="E13">
        <v>65.938750999999996</v>
      </c>
      <c r="F13">
        <v>94.493331999999995</v>
      </c>
      <c r="G13">
        <v>109.23477200000001</v>
      </c>
      <c r="H13">
        <v>109.386169</v>
      </c>
      <c r="I13">
        <v>109.50296</v>
      </c>
      <c r="J13">
        <v>109.27720600000001</v>
      </c>
      <c r="K13">
        <v>109.31289700000001</v>
      </c>
      <c r="L13">
        <v>126.268097</v>
      </c>
      <c r="M13">
        <v>134.42817700000001</v>
      </c>
      <c r="N13">
        <v>135.39505</v>
      </c>
      <c r="O13">
        <v>135.46054100000001</v>
      </c>
      <c r="P13">
        <v>145.31144699999999</v>
      </c>
      <c r="Q13">
        <v>147.77293399999999</v>
      </c>
      <c r="R13">
        <v>148.494888</v>
      </c>
      <c r="S13">
        <v>151.070221</v>
      </c>
      <c r="T13">
        <v>151.38919100000001</v>
      </c>
      <c r="U13">
        <v>151.21444700000001</v>
      </c>
      <c r="V13">
        <v>151.13511700000001</v>
      </c>
      <c r="W13">
        <v>151.218613</v>
      </c>
      <c r="X13">
        <v>151.29747</v>
      </c>
      <c r="Y13">
        <v>151.30213900000001</v>
      </c>
      <c r="Z13">
        <v>151.34072900000001</v>
      </c>
      <c r="AA13">
        <v>151.19064299999999</v>
      </c>
      <c r="AB13">
        <v>152.55557300000001</v>
      </c>
      <c r="AC13">
        <v>158.51236</v>
      </c>
      <c r="AD13">
        <v>192.92460600000001</v>
      </c>
      <c r="AE13" s="4">
        <v>3.8656341018028675</v>
      </c>
    </row>
    <row r="14" spans="1:31" x14ac:dyDescent="0.25">
      <c r="A14" t="s">
        <v>29</v>
      </c>
      <c r="B14" t="s">
        <v>43</v>
      </c>
      <c r="C14" t="s">
        <v>31</v>
      </c>
      <c r="D14">
        <v>113.78212000000001</v>
      </c>
      <c r="E14">
        <v>117.54270200000001</v>
      </c>
      <c r="F14">
        <v>125.50402099999999</v>
      </c>
      <c r="G14">
        <v>130.17970299999999</v>
      </c>
      <c r="H14">
        <v>130.13642899999999</v>
      </c>
      <c r="I14">
        <v>130.087906</v>
      </c>
      <c r="J14">
        <v>128.911697</v>
      </c>
      <c r="K14">
        <v>127.93319700000001</v>
      </c>
      <c r="L14">
        <v>127.673996</v>
      </c>
      <c r="M14">
        <v>137.56904599999999</v>
      </c>
      <c r="N14">
        <v>140.18077099999999</v>
      </c>
      <c r="O14">
        <v>196.54837000000001</v>
      </c>
      <c r="P14">
        <v>247.25904800000001</v>
      </c>
      <c r="Q14">
        <v>257.114777</v>
      </c>
      <c r="R14">
        <v>258.55957000000001</v>
      </c>
      <c r="S14">
        <v>258.49603300000001</v>
      </c>
      <c r="T14">
        <v>258.68023699999998</v>
      </c>
      <c r="U14">
        <v>257.812836</v>
      </c>
      <c r="V14">
        <v>257.962738</v>
      </c>
      <c r="W14">
        <v>257.29415899999998</v>
      </c>
      <c r="X14">
        <v>256.88638300000002</v>
      </c>
      <c r="Y14">
        <v>258.06185900000003</v>
      </c>
      <c r="Z14">
        <v>258.70181300000002</v>
      </c>
      <c r="AA14">
        <v>259.20864899999998</v>
      </c>
      <c r="AB14">
        <v>260.74136399999998</v>
      </c>
      <c r="AC14">
        <v>265.341858</v>
      </c>
      <c r="AD14">
        <v>265.211456</v>
      </c>
      <c r="AE14" s="4">
        <v>1.330871106989393</v>
      </c>
    </row>
    <row r="15" spans="1:31" x14ac:dyDescent="0.25">
      <c r="A15" t="s">
        <v>29</v>
      </c>
      <c r="B15" t="s">
        <v>44</v>
      </c>
      <c r="C15" t="s">
        <v>31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s="4" t="e">
        <v>#DIV/0!</v>
      </c>
    </row>
    <row r="16" spans="1:31" x14ac:dyDescent="0.25">
      <c r="A16" t="s">
        <v>29</v>
      </c>
      <c r="B16" s="6" t="s">
        <v>45</v>
      </c>
      <c r="C16" t="s">
        <v>31</v>
      </c>
      <c r="D16">
        <v>0</v>
      </c>
      <c r="E16">
        <v>0</v>
      </c>
      <c r="F16">
        <v>2.2022E-2</v>
      </c>
      <c r="G16">
        <v>4.8191999999999999E-2</v>
      </c>
      <c r="H16">
        <v>6.8112000000000006E-2</v>
      </c>
      <c r="I16">
        <v>8.5868E-2</v>
      </c>
      <c r="J16">
        <v>0.130332</v>
      </c>
      <c r="K16">
        <v>0.178478</v>
      </c>
      <c r="L16">
        <v>0.48991899999999999</v>
      </c>
      <c r="M16">
        <v>0.57619399999999998</v>
      </c>
      <c r="N16">
        <v>0.68019700000000005</v>
      </c>
      <c r="O16">
        <v>0.80724600000000002</v>
      </c>
      <c r="P16">
        <v>0.95210099999999998</v>
      </c>
      <c r="Q16">
        <v>1.0998079999999999</v>
      </c>
      <c r="R16">
        <v>1.220424</v>
      </c>
      <c r="S16">
        <v>1.4570149999999999</v>
      </c>
      <c r="T16">
        <v>1.554802</v>
      </c>
      <c r="U16">
        <v>1.640239</v>
      </c>
      <c r="V16">
        <v>1.7212069999999999</v>
      </c>
      <c r="W16">
        <v>1.803782</v>
      </c>
      <c r="X16">
        <v>1.886145</v>
      </c>
      <c r="Y16">
        <v>1.978226</v>
      </c>
      <c r="Z16">
        <v>2.063097</v>
      </c>
      <c r="AA16">
        <v>2.155891</v>
      </c>
      <c r="AB16">
        <v>2.2587299999999999</v>
      </c>
      <c r="AC16">
        <v>2.382927</v>
      </c>
      <c r="AD16">
        <v>2.525474</v>
      </c>
      <c r="AE16" s="4" t="e">
        <v>#DIV/0!</v>
      </c>
    </row>
    <row r="17" spans="1:31" x14ac:dyDescent="0.25">
      <c r="A17" t="s">
        <v>29</v>
      </c>
      <c r="B17" s="6" t="s">
        <v>46</v>
      </c>
      <c r="C17" t="s">
        <v>31</v>
      </c>
      <c r="D17">
        <v>422.38528400000001</v>
      </c>
      <c r="E17">
        <v>432.30258199999997</v>
      </c>
      <c r="F17">
        <v>438.27053799999999</v>
      </c>
      <c r="G17">
        <v>443.08200099999999</v>
      </c>
      <c r="H17">
        <v>447.05233800000002</v>
      </c>
      <c r="I17">
        <v>450.71118200000001</v>
      </c>
      <c r="J17">
        <v>453.889679</v>
      </c>
      <c r="K17">
        <v>458.50091600000002</v>
      </c>
      <c r="L17">
        <v>465.434753</v>
      </c>
      <c r="M17">
        <v>472.278595</v>
      </c>
      <c r="N17">
        <v>479.97790500000002</v>
      </c>
      <c r="O17">
        <v>490.940338</v>
      </c>
      <c r="P17">
        <v>504.50567599999999</v>
      </c>
      <c r="Q17">
        <v>516.71148700000003</v>
      </c>
      <c r="R17">
        <v>525.98516800000004</v>
      </c>
      <c r="S17">
        <v>535.46936000000005</v>
      </c>
      <c r="T17">
        <v>543.91876200000002</v>
      </c>
      <c r="U17">
        <v>551.09143099999994</v>
      </c>
      <c r="V17">
        <v>557.06897000000004</v>
      </c>
      <c r="W17">
        <v>564.01788299999998</v>
      </c>
      <c r="X17">
        <v>570.71185300000002</v>
      </c>
      <c r="Y17">
        <v>577.12524399999995</v>
      </c>
      <c r="Z17">
        <v>582.55694600000004</v>
      </c>
      <c r="AA17">
        <v>588.35949700000003</v>
      </c>
      <c r="AB17">
        <v>594.65270999999996</v>
      </c>
      <c r="AC17">
        <v>601.93176300000005</v>
      </c>
      <c r="AD17">
        <v>611.78985599999999</v>
      </c>
      <c r="AE17" s="4">
        <v>0.44841659777143172</v>
      </c>
    </row>
    <row r="18" spans="1:31" x14ac:dyDescent="0.25">
      <c r="A18" t="s">
        <v>75</v>
      </c>
      <c r="B18" t="s">
        <v>47</v>
      </c>
      <c r="C18" t="s">
        <v>48</v>
      </c>
      <c r="D18">
        <v>12.271081000000001</v>
      </c>
      <c r="E18">
        <v>11.802133</v>
      </c>
      <c r="F18">
        <v>11.402492000000001</v>
      </c>
      <c r="G18">
        <v>10.798702</v>
      </c>
      <c r="H18">
        <v>10.753209</v>
      </c>
      <c r="I18">
        <v>11.208729</v>
      </c>
      <c r="J18">
        <v>11.430642000000001</v>
      </c>
      <c r="K18">
        <v>11.943928</v>
      </c>
      <c r="L18">
        <v>11.930095</v>
      </c>
      <c r="M18">
        <v>12.271699999999999</v>
      </c>
      <c r="N18">
        <v>12.344371000000001</v>
      </c>
      <c r="O18">
        <v>12.090490000000001</v>
      </c>
      <c r="P18">
        <v>11.594906</v>
      </c>
      <c r="Q18">
        <v>10.916145</v>
      </c>
      <c r="R18">
        <v>10.894577</v>
      </c>
      <c r="S18">
        <v>10.813177</v>
      </c>
      <c r="T18">
        <v>10.816863</v>
      </c>
      <c r="U18">
        <v>10.91967</v>
      </c>
      <c r="V18">
        <v>11.057772999999999</v>
      </c>
      <c r="W18">
        <v>11.138612</v>
      </c>
      <c r="X18">
        <v>11.152124000000001</v>
      </c>
      <c r="Y18">
        <v>11.256847</v>
      </c>
      <c r="Z18">
        <v>11.533778</v>
      </c>
      <c r="AA18">
        <v>11.821241000000001</v>
      </c>
      <c r="AB18">
        <v>11.952502000000001</v>
      </c>
      <c r="AC18">
        <v>11.892535000000001</v>
      </c>
      <c r="AD18">
        <v>11.406076000000001</v>
      </c>
      <c r="AE18" s="4" cm="1">
        <f t="array" ref="AE18:AE22">(AD18:AD22-D18:D22)/D18:D22</f>
        <v>-7.049134465007606E-2</v>
      </c>
    </row>
    <row r="19" spans="1:31" x14ac:dyDescent="0.25">
      <c r="A19" t="s">
        <v>75</v>
      </c>
      <c r="B19" t="s">
        <v>49</v>
      </c>
      <c r="C19" t="s">
        <v>48</v>
      </c>
      <c r="D19">
        <v>9.4971879999999995</v>
      </c>
      <c r="E19">
        <v>8.9125069999999997</v>
      </c>
      <c r="F19">
        <v>8.5262180000000001</v>
      </c>
      <c r="G19">
        <v>7.9957539999999998</v>
      </c>
      <c r="H19">
        <v>7.9887259999999998</v>
      </c>
      <c r="I19">
        <v>8.4297000000000004</v>
      </c>
      <c r="J19">
        <v>8.6393640000000005</v>
      </c>
      <c r="K19">
        <v>9.1302769999999995</v>
      </c>
      <c r="L19">
        <v>9.1016069999999996</v>
      </c>
      <c r="M19">
        <v>9.3977269999999997</v>
      </c>
      <c r="N19">
        <v>9.4461080000000006</v>
      </c>
      <c r="O19">
        <v>9.1971749999999997</v>
      </c>
      <c r="P19">
        <v>8.6828570000000003</v>
      </c>
      <c r="Q19">
        <v>7.9924920000000004</v>
      </c>
      <c r="R19">
        <v>7.9932090000000002</v>
      </c>
      <c r="S19">
        <v>7.9444650000000001</v>
      </c>
      <c r="T19">
        <v>7.967276</v>
      </c>
      <c r="U19">
        <v>8.049671</v>
      </c>
      <c r="V19">
        <v>8.1999639999999996</v>
      </c>
      <c r="W19">
        <v>8.2762630000000001</v>
      </c>
      <c r="X19">
        <v>8.2954570000000007</v>
      </c>
      <c r="Y19">
        <v>8.4100750000000009</v>
      </c>
      <c r="Z19">
        <v>8.6691099999999999</v>
      </c>
      <c r="AA19">
        <v>8.9074139999999993</v>
      </c>
      <c r="AB19">
        <v>9.0217930000000006</v>
      </c>
      <c r="AC19">
        <v>8.9718820000000008</v>
      </c>
      <c r="AD19">
        <v>8.5158909999999999</v>
      </c>
      <c r="AE19" s="4">
        <v>-0.10332500525418678</v>
      </c>
    </row>
    <row r="20" spans="1:31" x14ac:dyDescent="0.25">
      <c r="A20" t="s">
        <v>75</v>
      </c>
      <c r="B20" t="s">
        <v>50</v>
      </c>
      <c r="C20" t="s">
        <v>48</v>
      </c>
      <c r="D20">
        <v>7.9503219999999999</v>
      </c>
      <c r="E20">
        <v>7.6395220000000004</v>
      </c>
      <c r="F20">
        <v>7.217066</v>
      </c>
      <c r="G20">
        <v>6.707344</v>
      </c>
      <c r="H20">
        <v>6.6928229999999997</v>
      </c>
      <c r="I20">
        <v>7.0564349999999996</v>
      </c>
      <c r="J20">
        <v>7.256208</v>
      </c>
      <c r="K20">
        <v>7.6795169999999997</v>
      </c>
      <c r="L20">
        <v>7.7451239999999997</v>
      </c>
      <c r="M20">
        <v>8.0569670000000002</v>
      </c>
      <c r="N20">
        <v>8.1242140000000003</v>
      </c>
      <c r="O20">
        <v>7.9140879999999996</v>
      </c>
      <c r="P20">
        <v>7.3181409999999998</v>
      </c>
      <c r="Q20">
        <v>6.6119190000000003</v>
      </c>
      <c r="R20">
        <v>6.6147419999999997</v>
      </c>
      <c r="S20">
        <v>6.595364</v>
      </c>
      <c r="T20">
        <v>6.6294570000000004</v>
      </c>
      <c r="U20">
        <v>6.7241910000000003</v>
      </c>
      <c r="V20">
        <v>6.8773460000000002</v>
      </c>
      <c r="W20">
        <v>6.9559009999999999</v>
      </c>
      <c r="X20">
        <v>6.9715689999999997</v>
      </c>
      <c r="Y20">
        <v>7.0944250000000002</v>
      </c>
      <c r="Z20">
        <v>7.3605099999999997</v>
      </c>
      <c r="AA20">
        <v>7.5854590000000002</v>
      </c>
      <c r="AB20">
        <v>7.6892810000000003</v>
      </c>
      <c r="AC20">
        <v>7.6498010000000001</v>
      </c>
      <c r="AD20">
        <v>7.2274269999999996</v>
      </c>
      <c r="AE20" s="4">
        <v>-9.0926505869825189E-2</v>
      </c>
    </row>
    <row r="21" spans="1:31" x14ac:dyDescent="0.25">
      <c r="A21" t="s">
        <v>75</v>
      </c>
      <c r="B21" t="s">
        <v>51</v>
      </c>
      <c r="C21" t="s">
        <v>48</v>
      </c>
      <c r="D21">
        <v>10.079264999999999</v>
      </c>
      <c r="E21">
        <v>9.5061339999999994</v>
      </c>
      <c r="F21">
        <v>9.1318990000000007</v>
      </c>
      <c r="G21">
        <v>8.5773209999999995</v>
      </c>
      <c r="H21">
        <v>8.5481870000000004</v>
      </c>
      <c r="I21">
        <v>8.9581780000000002</v>
      </c>
      <c r="J21">
        <v>9.1708239999999996</v>
      </c>
      <c r="K21">
        <v>9.6431419999999992</v>
      </c>
      <c r="L21">
        <v>9.5936039999999991</v>
      </c>
      <c r="M21">
        <v>9.9953299999999992</v>
      </c>
      <c r="N21">
        <v>10.087749000000001</v>
      </c>
      <c r="O21">
        <v>9.8424230000000001</v>
      </c>
      <c r="P21">
        <v>9.2867920000000002</v>
      </c>
      <c r="Q21">
        <v>8.6100820000000002</v>
      </c>
      <c r="R21">
        <v>8.6113029999999995</v>
      </c>
      <c r="S21">
        <v>8.5683939999999996</v>
      </c>
      <c r="T21">
        <v>8.5969060000000006</v>
      </c>
      <c r="U21">
        <v>8.7173400000000001</v>
      </c>
      <c r="V21">
        <v>8.8667549999999995</v>
      </c>
      <c r="W21">
        <v>8.8658319999999993</v>
      </c>
      <c r="X21">
        <v>8.8867410000000007</v>
      </c>
      <c r="Y21">
        <v>9.0118919999999996</v>
      </c>
      <c r="Z21">
        <v>9.2819540000000007</v>
      </c>
      <c r="AA21">
        <v>9.5428219999999992</v>
      </c>
      <c r="AB21">
        <v>9.6724770000000007</v>
      </c>
      <c r="AC21">
        <v>9.6227619999999998</v>
      </c>
      <c r="AD21">
        <v>9.1755289999999992</v>
      </c>
      <c r="AE21" s="4">
        <v>-8.9662887125202123E-2</v>
      </c>
    </row>
    <row r="22" spans="1:31" x14ac:dyDescent="0.25">
      <c r="A22" t="s">
        <v>75</v>
      </c>
      <c r="B22" t="s">
        <v>52</v>
      </c>
      <c r="C22" t="s">
        <v>48</v>
      </c>
      <c r="D22">
        <v>10.022176</v>
      </c>
      <c r="E22">
        <v>9.5484639999999992</v>
      </c>
      <c r="F22">
        <v>9.1536419999999996</v>
      </c>
      <c r="G22">
        <v>8.6110690000000005</v>
      </c>
      <c r="H22">
        <v>8.5949600000000004</v>
      </c>
      <c r="I22">
        <v>9.0166120000000003</v>
      </c>
      <c r="J22">
        <v>9.2244969999999995</v>
      </c>
      <c r="K22">
        <v>9.6958769999999994</v>
      </c>
      <c r="L22">
        <v>9.6939010000000003</v>
      </c>
      <c r="M22">
        <v>10.004429</v>
      </c>
      <c r="N22">
        <v>10.059162000000001</v>
      </c>
      <c r="O22">
        <v>9.8158530000000006</v>
      </c>
      <c r="P22">
        <v>9.2820060000000009</v>
      </c>
      <c r="Q22">
        <v>8.5937979999999996</v>
      </c>
      <c r="R22">
        <v>8.5912279999999992</v>
      </c>
      <c r="S22">
        <v>8.542446</v>
      </c>
      <c r="T22">
        <v>8.5634689999999996</v>
      </c>
      <c r="U22">
        <v>8.6585249999999991</v>
      </c>
      <c r="V22">
        <v>8.8068299999999997</v>
      </c>
      <c r="W22">
        <v>8.8862740000000002</v>
      </c>
      <c r="X22">
        <v>8.9059310000000007</v>
      </c>
      <c r="Y22">
        <v>9.0218260000000008</v>
      </c>
      <c r="Z22">
        <v>9.2907890000000002</v>
      </c>
      <c r="AA22">
        <v>9.5412680000000005</v>
      </c>
      <c r="AB22">
        <v>9.6556040000000003</v>
      </c>
      <c r="AC22">
        <v>9.6034579999999998</v>
      </c>
      <c r="AD22">
        <v>9.1454310000000003</v>
      </c>
      <c r="AE22" s="4">
        <v>-8.7480503236023757E-2</v>
      </c>
    </row>
    <row r="23" spans="1:31" x14ac:dyDescent="0.25">
      <c r="A23" t="s">
        <v>74</v>
      </c>
      <c r="B23" t="s">
        <v>47</v>
      </c>
      <c r="C23" t="s">
        <v>53</v>
      </c>
      <c r="D23">
        <v>12.271081000000001</v>
      </c>
      <c r="E23">
        <v>12.044266</v>
      </c>
      <c r="F23">
        <v>11.832933000000001</v>
      </c>
      <c r="G23">
        <v>11.393124</v>
      </c>
      <c r="H23">
        <v>11.559348</v>
      </c>
      <c r="I23">
        <v>12.262752000000001</v>
      </c>
      <c r="J23">
        <v>12.739203</v>
      </c>
      <c r="K23">
        <v>13.584913999999999</v>
      </c>
      <c r="L23">
        <v>13.85591</v>
      </c>
      <c r="M23">
        <v>14.562839</v>
      </c>
      <c r="N23">
        <v>14.973437000000001</v>
      </c>
      <c r="O23">
        <v>14.983432000000001</v>
      </c>
      <c r="P23">
        <v>14.666646999999999</v>
      </c>
      <c r="Q23">
        <v>14.095257999999999</v>
      </c>
      <c r="R23">
        <v>14.358036</v>
      </c>
      <c r="S23">
        <v>14.542624</v>
      </c>
      <c r="T23">
        <v>14.85366</v>
      </c>
      <c r="U23">
        <v>15.315042999999999</v>
      </c>
      <c r="V23">
        <v>15.84699</v>
      </c>
      <c r="W23">
        <v>16.318251</v>
      </c>
      <c r="X23">
        <v>16.701934999999999</v>
      </c>
      <c r="Y23">
        <v>17.239162</v>
      </c>
      <c r="Z23">
        <v>18.062752</v>
      </c>
      <c r="AA23">
        <v>18.935078000000001</v>
      </c>
      <c r="AB23">
        <v>19.581882</v>
      </c>
      <c r="AC23">
        <v>19.923618000000001</v>
      </c>
      <c r="AD23">
        <v>19.536762</v>
      </c>
      <c r="AE23" s="4" cm="1">
        <f t="array" ref="AE23:AE27">(AD23:AD27-D23:D27)/D23:D27</f>
        <v>0.59209787629956956</v>
      </c>
    </row>
    <row r="24" spans="1:31" x14ac:dyDescent="0.25">
      <c r="A24" t="s">
        <v>74</v>
      </c>
      <c r="B24" t="s">
        <v>49</v>
      </c>
      <c r="C24" t="s">
        <v>53</v>
      </c>
      <c r="D24">
        <v>9.4971879999999995</v>
      </c>
      <c r="E24">
        <v>9.0953560000000007</v>
      </c>
      <c r="F24">
        <v>8.8480830000000008</v>
      </c>
      <c r="G24">
        <v>8.4358850000000007</v>
      </c>
      <c r="H24">
        <v>8.5876199999999994</v>
      </c>
      <c r="I24">
        <v>9.2223939999999995</v>
      </c>
      <c r="J24">
        <v>9.6283860000000008</v>
      </c>
      <c r="K24">
        <v>10.384693</v>
      </c>
      <c r="L24">
        <v>10.570834</v>
      </c>
      <c r="M24">
        <v>11.152291999999999</v>
      </c>
      <c r="N24">
        <v>11.457910999999999</v>
      </c>
      <c r="O24">
        <v>11.397821</v>
      </c>
      <c r="P24">
        <v>10.983131999999999</v>
      </c>
      <c r="Q24">
        <v>10.320148</v>
      </c>
      <c r="R24">
        <v>10.534304000000001</v>
      </c>
      <c r="S24">
        <v>10.684498</v>
      </c>
      <c r="T24">
        <v>10.940621999999999</v>
      </c>
      <c r="U24">
        <v>11.289816</v>
      </c>
      <c r="V24">
        <v>11.751438</v>
      </c>
      <c r="W24">
        <v>12.124863</v>
      </c>
      <c r="X24">
        <v>12.423657</v>
      </c>
      <c r="Y24">
        <v>12.879508</v>
      </c>
      <c r="Z24">
        <v>13.57647</v>
      </c>
      <c r="AA24">
        <v>14.267756</v>
      </c>
      <c r="AB24">
        <v>14.780478</v>
      </c>
      <c r="AC24">
        <v>15.030633999999999</v>
      </c>
      <c r="AD24">
        <v>14.586342</v>
      </c>
      <c r="AE24" s="4">
        <v>0.53585903532708845</v>
      </c>
    </row>
    <row r="25" spans="1:31" x14ac:dyDescent="0.25">
      <c r="A25" t="s">
        <v>74</v>
      </c>
      <c r="B25" t="s">
        <v>50</v>
      </c>
      <c r="C25" t="s">
        <v>53</v>
      </c>
      <c r="D25">
        <v>7.9503219999999999</v>
      </c>
      <c r="E25">
        <v>7.7962550000000004</v>
      </c>
      <c r="F25">
        <v>7.4895100000000001</v>
      </c>
      <c r="G25">
        <v>7.0765539999999998</v>
      </c>
      <c r="H25">
        <v>7.194566</v>
      </c>
      <c r="I25">
        <v>7.7199929999999997</v>
      </c>
      <c r="J25">
        <v>8.0868880000000001</v>
      </c>
      <c r="K25">
        <v>8.7346120000000003</v>
      </c>
      <c r="L25">
        <v>8.9953800000000008</v>
      </c>
      <c r="M25">
        <v>9.5612119999999994</v>
      </c>
      <c r="N25">
        <v>9.8544850000000004</v>
      </c>
      <c r="O25">
        <v>9.8077249999999996</v>
      </c>
      <c r="P25">
        <v>9.2568750000000009</v>
      </c>
      <c r="Q25">
        <v>8.5375110000000003</v>
      </c>
      <c r="R25">
        <v>8.7176130000000001</v>
      </c>
      <c r="S25">
        <v>8.8700949999999992</v>
      </c>
      <c r="T25">
        <v>9.1035350000000008</v>
      </c>
      <c r="U25">
        <v>9.4308040000000002</v>
      </c>
      <c r="V25">
        <v>9.8559839999999994</v>
      </c>
      <c r="W25">
        <v>10.190511000000001</v>
      </c>
      <c r="X25">
        <v>10.440941</v>
      </c>
      <c r="Y25">
        <v>10.864672000000001</v>
      </c>
      <c r="Z25">
        <v>11.527104</v>
      </c>
      <c r="AA25">
        <v>12.150269</v>
      </c>
      <c r="AB25">
        <v>12.597410999999999</v>
      </c>
      <c r="AC25">
        <v>12.815745</v>
      </c>
      <c r="AD25">
        <v>12.379413</v>
      </c>
      <c r="AE25" s="4">
        <v>0.55709580064807429</v>
      </c>
    </row>
    <row r="26" spans="1:31" x14ac:dyDescent="0.25">
      <c r="A26" t="s">
        <v>74</v>
      </c>
      <c r="B26" t="s">
        <v>51</v>
      </c>
      <c r="C26" t="s">
        <v>53</v>
      </c>
      <c r="D26">
        <v>10.079264999999999</v>
      </c>
      <c r="E26">
        <v>9.7011629999999993</v>
      </c>
      <c r="F26">
        <v>9.4766259999999996</v>
      </c>
      <c r="G26">
        <v>9.0494649999999996</v>
      </c>
      <c r="H26">
        <v>9.1890219999999996</v>
      </c>
      <c r="I26">
        <v>9.8005680000000002</v>
      </c>
      <c r="J26">
        <v>10.220685</v>
      </c>
      <c r="K26">
        <v>10.968021</v>
      </c>
      <c r="L26">
        <v>11.142251</v>
      </c>
      <c r="M26">
        <v>11.861468</v>
      </c>
      <c r="N26">
        <v>12.236207</v>
      </c>
      <c r="O26">
        <v>12.197461000000001</v>
      </c>
      <c r="P26">
        <v>11.747064</v>
      </c>
      <c r="Q26">
        <v>11.117597999999999</v>
      </c>
      <c r="R26">
        <v>11.348894</v>
      </c>
      <c r="S26">
        <v>11.523619</v>
      </c>
      <c r="T26">
        <v>11.805225</v>
      </c>
      <c r="U26">
        <v>12.226234</v>
      </c>
      <c r="V26">
        <v>12.707024000000001</v>
      </c>
      <c r="W26">
        <v>12.988591</v>
      </c>
      <c r="X26">
        <v>13.309191</v>
      </c>
      <c r="Y26">
        <v>13.801152999999999</v>
      </c>
      <c r="Z26">
        <v>14.536227999999999</v>
      </c>
      <c r="AA26">
        <v>15.285542</v>
      </c>
      <c r="AB26">
        <v>15.846498</v>
      </c>
      <c r="AC26">
        <v>16.121058000000001</v>
      </c>
      <c r="AD26">
        <v>15.716196</v>
      </c>
      <c r="AE26" s="4">
        <v>0.55926012462218233</v>
      </c>
    </row>
    <row r="27" spans="1:31" x14ac:dyDescent="0.25">
      <c r="A27" t="s">
        <v>74</v>
      </c>
      <c r="B27" t="s">
        <v>52</v>
      </c>
      <c r="C27" t="s">
        <v>53</v>
      </c>
      <c r="D27">
        <v>10.022176</v>
      </c>
      <c r="E27">
        <v>9.7443609999999996</v>
      </c>
      <c r="F27">
        <v>9.4991900000000005</v>
      </c>
      <c r="G27">
        <v>9.0850709999999992</v>
      </c>
      <c r="H27">
        <v>9.2393020000000003</v>
      </c>
      <c r="I27">
        <v>9.8644970000000001</v>
      </c>
      <c r="J27">
        <v>10.280503</v>
      </c>
      <c r="K27">
        <v>11.028002000000001</v>
      </c>
      <c r="L27">
        <v>11.258739</v>
      </c>
      <c r="M27">
        <v>11.872266</v>
      </c>
      <c r="N27">
        <v>12.201532</v>
      </c>
      <c r="O27">
        <v>12.164533</v>
      </c>
      <c r="P27">
        <v>11.741011</v>
      </c>
      <c r="Q27">
        <v>11.096572</v>
      </c>
      <c r="R27">
        <v>11.322436</v>
      </c>
      <c r="S27">
        <v>11.488723</v>
      </c>
      <c r="T27">
        <v>11.759311</v>
      </c>
      <c r="U27">
        <v>12.143744</v>
      </c>
      <c r="V27">
        <v>12.621145</v>
      </c>
      <c r="W27">
        <v>13.018539000000001</v>
      </c>
      <c r="X27">
        <v>13.337930999999999</v>
      </c>
      <c r="Y27">
        <v>13.816364999999999</v>
      </c>
      <c r="Z27">
        <v>14.550065</v>
      </c>
      <c r="AA27">
        <v>15.283053000000001</v>
      </c>
      <c r="AB27">
        <v>15.818854999999999</v>
      </c>
      <c r="AC27">
        <v>16.088716999999999</v>
      </c>
      <c r="AD27">
        <v>15.664641</v>
      </c>
      <c r="AE27" s="4">
        <v>0.56299799564485797</v>
      </c>
    </row>
    <row r="28" spans="1:31" x14ac:dyDescent="0.25">
      <c r="A28" t="s">
        <v>76</v>
      </c>
      <c r="B28" t="s">
        <v>54</v>
      </c>
      <c r="C28" t="s">
        <v>48</v>
      </c>
      <c r="D28">
        <v>6.3988290000000001</v>
      </c>
      <c r="E28">
        <v>5.9072009999999997</v>
      </c>
      <c r="F28">
        <v>5.4299739999999996</v>
      </c>
      <c r="G28">
        <v>4.8114169999999996</v>
      </c>
      <c r="H28">
        <v>4.7468779999999997</v>
      </c>
      <c r="I28">
        <v>5.1217269999999999</v>
      </c>
      <c r="J28">
        <v>5.2896859999999997</v>
      </c>
      <c r="K28">
        <v>5.7263640000000002</v>
      </c>
      <c r="L28">
        <v>5.6984719999999998</v>
      </c>
      <c r="M28">
        <v>5.9882280000000003</v>
      </c>
      <c r="N28">
        <v>6.0169240000000004</v>
      </c>
      <c r="O28">
        <v>5.7474100000000004</v>
      </c>
      <c r="P28">
        <v>5.1777449999999998</v>
      </c>
      <c r="Q28">
        <v>4.4703970000000002</v>
      </c>
      <c r="R28">
        <v>4.4741099999999996</v>
      </c>
      <c r="S28">
        <v>4.4232279999999999</v>
      </c>
      <c r="T28">
        <v>4.4412469999999997</v>
      </c>
      <c r="U28">
        <v>4.525296</v>
      </c>
      <c r="V28">
        <v>4.662083</v>
      </c>
      <c r="W28">
        <v>4.7300839999999997</v>
      </c>
      <c r="X28">
        <v>4.7704740000000001</v>
      </c>
      <c r="Y28">
        <v>4.89262</v>
      </c>
      <c r="Z28">
        <v>5.1436200000000003</v>
      </c>
      <c r="AA28">
        <v>5.376252</v>
      </c>
      <c r="AB28">
        <v>5.508286</v>
      </c>
      <c r="AC28">
        <v>5.4509309999999997</v>
      </c>
      <c r="AD28">
        <v>4.966272</v>
      </c>
      <c r="AE28" s="4" cm="1">
        <f t="array" ref="AE28:AE30">(AD28:AD30-D28:D30)/D28:D30</f>
        <v>-0.2238779939267013</v>
      </c>
    </row>
    <row r="29" spans="1:31" x14ac:dyDescent="0.25">
      <c r="A29" t="s">
        <v>76</v>
      </c>
      <c r="B29" t="s">
        <v>55</v>
      </c>
      <c r="C29" t="s">
        <v>48</v>
      </c>
      <c r="D29">
        <v>2.3421029999999998</v>
      </c>
      <c r="E29">
        <v>2.3573369999999998</v>
      </c>
      <c r="F29">
        <v>2.4173450000000001</v>
      </c>
      <c r="G29">
        <v>2.4679850000000001</v>
      </c>
      <c r="H29">
        <v>2.4920279999999999</v>
      </c>
      <c r="I29">
        <v>2.5144419999999998</v>
      </c>
      <c r="J29">
        <v>2.5321790000000002</v>
      </c>
      <c r="K29">
        <v>2.5514350000000001</v>
      </c>
      <c r="L29">
        <v>2.5675029999999999</v>
      </c>
      <c r="M29">
        <v>2.5807359999999999</v>
      </c>
      <c r="N29">
        <v>2.6007929999999999</v>
      </c>
      <c r="O29">
        <v>2.6224259999999999</v>
      </c>
      <c r="P29">
        <v>2.6549119999999999</v>
      </c>
      <c r="Q29">
        <v>2.6726079999999999</v>
      </c>
      <c r="R29">
        <v>2.6629499999999999</v>
      </c>
      <c r="S29">
        <v>2.658855</v>
      </c>
      <c r="T29">
        <v>2.6549529999999999</v>
      </c>
      <c r="U29">
        <v>2.658096</v>
      </c>
      <c r="V29">
        <v>2.661734</v>
      </c>
      <c r="W29">
        <v>2.6654849999999999</v>
      </c>
      <c r="X29">
        <v>2.646855</v>
      </c>
      <c r="Y29">
        <v>2.6382340000000002</v>
      </c>
      <c r="Z29">
        <v>2.645826</v>
      </c>
      <c r="AA29">
        <v>2.6535540000000002</v>
      </c>
      <c r="AB29">
        <v>2.6372930000000001</v>
      </c>
      <c r="AC29">
        <v>2.6407859999999999</v>
      </c>
      <c r="AD29">
        <v>2.6610269999999998</v>
      </c>
      <c r="AE29" s="4">
        <v>0.13616992933274072</v>
      </c>
    </row>
    <row r="30" spans="1:31" x14ac:dyDescent="0.25">
      <c r="A30" t="s">
        <v>76</v>
      </c>
      <c r="B30" t="s">
        <v>56</v>
      </c>
      <c r="C30" t="s">
        <v>48</v>
      </c>
      <c r="D30">
        <v>1.2812429999999999</v>
      </c>
      <c r="E30">
        <v>1.283925</v>
      </c>
      <c r="F30">
        <v>1.3063229999999999</v>
      </c>
      <c r="G30">
        <v>1.3316669999999999</v>
      </c>
      <c r="H30">
        <v>1.356055</v>
      </c>
      <c r="I30">
        <v>1.3804430000000001</v>
      </c>
      <c r="J30">
        <v>1.4026320000000001</v>
      </c>
      <c r="K30">
        <v>1.4180790000000001</v>
      </c>
      <c r="L30">
        <v>1.4279250000000001</v>
      </c>
      <c r="M30">
        <v>1.435465</v>
      </c>
      <c r="N30">
        <v>1.4414439999999999</v>
      </c>
      <c r="O30">
        <v>1.4460170000000001</v>
      </c>
      <c r="P30">
        <v>1.449349</v>
      </c>
      <c r="Q30">
        <v>1.450793</v>
      </c>
      <c r="R30">
        <v>1.454167</v>
      </c>
      <c r="S30">
        <v>1.460364</v>
      </c>
      <c r="T30">
        <v>1.4672689999999999</v>
      </c>
      <c r="U30">
        <v>1.475133</v>
      </c>
      <c r="V30">
        <v>1.4830129999999999</v>
      </c>
      <c r="W30">
        <v>1.4907049999999999</v>
      </c>
      <c r="X30">
        <v>1.4886010000000001</v>
      </c>
      <c r="Y30">
        <v>1.490972</v>
      </c>
      <c r="Z30">
        <v>1.5013430000000001</v>
      </c>
      <c r="AA30">
        <v>1.511463</v>
      </c>
      <c r="AB30">
        <v>1.5100260000000001</v>
      </c>
      <c r="AC30">
        <v>1.5117400000000001</v>
      </c>
      <c r="AD30">
        <v>1.518132</v>
      </c>
      <c r="AE30" s="4">
        <v>0.18488998574041002</v>
      </c>
    </row>
    <row r="31" spans="1:31" x14ac:dyDescent="0.25">
      <c r="A31" t="s">
        <v>77</v>
      </c>
      <c r="B31" t="s">
        <v>54</v>
      </c>
      <c r="C31" t="s">
        <v>53</v>
      </c>
      <c r="D31">
        <v>6.3988290000000001</v>
      </c>
      <c r="E31">
        <v>6.0283939999999996</v>
      </c>
      <c r="F31">
        <v>5.6349549999999997</v>
      </c>
      <c r="G31">
        <v>5.0762640000000001</v>
      </c>
      <c r="H31">
        <v>5.1027389999999997</v>
      </c>
      <c r="I31">
        <v>5.6033530000000003</v>
      </c>
      <c r="J31">
        <v>5.8952410000000004</v>
      </c>
      <c r="K31">
        <v>6.5131129999999997</v>
      </c>
      <c r="L31">
        <v>6.618347</v>
      </c>
      <c r="M31">
        <v>7.106236</v>
      </c>
      <c r="N31">
        <v>7.2983900000000004</v>
      </c>
      <c r="O31">
        <v>7.122617</v>
      </c>
      <c r="P31">
        <v>6.5494409999999998</v>
      </c>
      <c r="Q31">
        <v>5.7723120000000003</v>
      </c>
      <c r="R31">
        <v>5.8964590000000001</v>
      </c>
      <c r="S31">
        <v>5.9487920000000001</v>
      </c>
      <c r="T31">
        <v>6.0986969999999996</v>
      </c>
      <c r="U31">
        <v>6.3468140000000002</v>
      </c>
      <c r="V31">
        <v>6.6812719999999999</v>
      </c>
      <c r="W31">
        <v>6.9296509999999998</v>
      </c>
      <c r="X31">
        <v>7.144482</v>
      </c>
      <c r="Y31">
        <v>7.4927429999999999</v>
      </c>
      <c r="Z31">
        <v>8.0552910000000004</v>
      </c>
      <c r="AA31">
        <v>8.6115949999999994</v>
      </c>
      <c r="AB31">
        <v>9.0242699999999996</v>
      </c>
      <c r="AC31">
        <v>9.1319689999999998</v>
      </c>
      <c r="AD31">
        <v>8.5064200000000003</v>
      </c>
      <c r="AE31" s="4" cm="1">
        <f t="array" ref="AE31:AE33">(AD31:AD33-D31:D33)/D31:D33</f>
        <v>0.32937135841573517</v>
      </c>
    </row>
    <row r="32" spans="1:31" x14ac:dyDescent="0.25">
      <c r="A32" t="s">
        <v>77</v>
      </c>
      <c r="B32" t="s">
        <v>55</v>
      </c>
      <c r="C32" t="s">
        <v>53</v>
      </c>
      <c r="D32">
        <v>2.3421029999999998</v>
      </c>
      <c r="E32">
        <v>2.4056999999999999</v>
      </c>
      <c r="F32">
        <v>2.5085989999999998</v>
      </c>
      <c r="G32">
        <v>2.603837</v>
      </c>
      <c r="H32">
        <v>2.678849</v>
      </c>
      <c r="I32">
        <v>2.7508900000000001</v>
      </c>
      <c r="J32">
        <v>2.8220589999999999</v>
      </c>
      <c r="K32">
        <v>2.9019789999999999</v>
      </c>
      <c r="L32">
        <v>2.9819619999999998</v>
      </c>
      <c r="M32">
        <v>3.0625619999999998</v>
      </c>
      <c r="N32">
        <v>3.1547019999999999</v>
      </c>
      <c r="O32">
        <v>3.2499039999999999</v>
      </c>
      <c r="P32">
        <v>3.3582559999999999</v>
      </c>
      <c r="Q32">
        <v>3.450952</v>
      </c>
      <c r="R32">
        <v>3.5095190000000001</v>
      </c>
      <c r="S32">
        <v>3.5758899999999998</v>
      </c>
      <c r="T32">
        <v>3.6457670000000002</v>
      </c>
      <c r="U32">
        <v>3.7280289999999998</v>
      </c>
      <c r="V32">
        <v>3.8145539999999998</v>
      </c>
      <c r="W32">
        <v>3.904979</v>
      </c>
      <c r="X32">
        <v>3.9640520000000001</v>
      </c>
      <c r="Y32">
        <v>4.0402909999999999</v>
      </c>
      <c r="Z32">
        <v>4.1435589999999998</v>
      </c>
      <c r="AA32">
        <v>4.2504220000000004</v>
      </c>
      <c r="AB32">
        <v>4.3206980000000001</v>
      </c>
      <c r="AC32">
        <v>4.4241219999999997</v>
      </c>
      <c r="AD32">
        <v>4.5579090000000004</v>
      </c>
      <c r="AE32" s="4">
        <v>0.94607538609531727</v>
      </c>
    </row>
    <row r="33" spans="1:31" x14ac:dyDescent="0.25">
      <c r="A33" t="s">
        <v>77</v>
      </c>
      <c r="B33" t="s">
        <v>56</v>
      </c>
      <c r="C33" t="s">
        <v>53</v>
      </c>
      <c r="D33">
        <v>1.2812429999999999</v>
      </c>
      <c r="E33">
        <v>1.3102659999999999</v>
      </c>
      <c r="F33">
        <v>1.355637</v>
      </c>
      <c r="G33">
        <v>1.4049700000000001</v>
      </c>
      <c r="H33">
        <v>1.457714</v>
      </c>
      <c r="I33">
        <v>1.510254</v>
      </c>
      <c r="J33">
        <v>1.5632029999999999</v>
      </c>
      <c r="K33">
        <v>1.6129100000000001</v>
      </c>
      <c r="L33">
        <v>1.658428</v>
      </c>
      <c r="M33">
        <v>1.703468</v>
      </c>
      <c r="N33">
        <v>1.7484390000000001</v>
      </c>
      <c r="O33">
        <v>1.792011</v>
      </c>
      <c r="P33">
        <v>1.833313</v>
      </c>
      <c r="Q33">
        <v>1.873308</v>
      </c>
      <c r="R33">
        <v>1.9164570000000001</v>
      </c>
      <c r="S33">
        <v>1.9640409999999999</v>
      </c>
      <c r="T33">
        <v>2.0148459999999999</v>
      </c>
      <c r="U33">
        <v>2.068902</v>
      </c>
      <c r="V33">
        <v>2.1253190000000002</v>
      </c>
      <c r="W33">
        <v>2.1839080000000002</v>
      </c>
      <c r="X33">
        <v>2.2293980000000002</v>
      </c>
      <c r="Y33">
        <v>2.283331</v>
      </c>
      <c r="Z33">
        <v>2.3512149999999998</v>
      </c>
      <c r="AA33">
        <v>2.4210370000000001</v>
      </c>
      <c r="AB33">
        <v>2.4738880000000001</v>
      </c>
      <c r="AC33">
        <v>2.5326249999999999</v>
      </c>
      <c r="AD33">
        <v>2.600314</v>
      </c>
      <c r="AE33" s="4">
        <v>1.029524453987261</v>
      </c>
    </row>
    <row r="34" spans="1:31" x14ac:dyDescent="0.25">
      <c r="A34" t="s">
        <v>57</v>
      </c>
      <c r="B34" t="s">
        <v>58</v>
      </c>
      <c r="C34" t="s">
        <v>59</v>
      </c>
      <c r="D34">
        <v>37.782702999999998</v>
      </c>
      <c r="E34">
        <v>34.640369</v>
      </c>
      <c r="F34">
        <v>28.294122999999999</v>
      </c>
      <c r="G34">
        <v>26.287690999999999</v>
      </c>
      <c r="H34">
        <v>27.726521000000002</v>
      </c>
      <c r="I34">
        <v>28.514037999999999</v>
      </c>
      <c r="J34">
        <v>27.208504000000001</v>
      </c>
      <c r="K34">
        <v>27.92906</v>
      </c>
      <c r="L34">
        <v>22.748425999999998</v>
      </c>
      <c r="M34">
        <v>21.385023</v>
      </c>
      <c r="N34">
        <v>21.946577000000001</v>
      </c>
      <c r="O34">
        <v>16.333950000000002</v>
      </c>
      <c r="P34">
        <v>12.702450000000001</v>
      </c>
      <c r="Q34">
        <v>12.581272999999999</v>
      </c>
      <c r="R34">
        <v>13.017720000000001</v>
      </c>
      <c r="S34">
        <v>13.626298</v>
      </c>
      <c r="T34">
        <v>14.215674999999999</v>
      </c>
      <c r="U34">
        <v>14.709114</v>
      </c>
      <c r="V34">
        <v>15.051755999999999</v>
      </c>
      <c r="W34">
        <v>15.505001</v>
      </c>
      <c r="X34">
        <v>15.968949</v>
      </c>
      <c r="Y34">
        <v>16.528828000000001</v>
      </c>
      <c r="Z34">
        <v>17.153883</v>
      </c>
      <c r="AA34">
        <v>17.78125</v>
      </c>
      <c r="AB34">
        <v>18.275483999999999</v>
      </c>
      <c r="AC34">
        <v>18.304010000000002</v>
      </c>
      <c r="AD34">
        <v>15.928122999999999</v>
      </c>
      <c r="AE34" s="4" cm="1">
        <f t="array" ref="AE34:AE38">(AD34:AD38-D34:D38)/D34:D38</f>
        <v>-0.57842817651241096</v>
      </c>
    </row>
    <row r="35" spans="1:31" x14ac:dyDescent="0.25">
      <c r="A35" t="s">
        <v>57</v>
      </c>
      <c r="B35" t="s">
        <v>60</v>
      </c>
      <c r="C35" t="s">
        <v>59</v>
      </c>
      <c r="D35">
        <v>138.53660600000001</v>
      </c>
      <c r="E35">
        <v>127.014717</v>
      </c>
      <c r="F35">
        <v>103.74505600000001</v>
      </c>
      <c r="G35">
        <v>96.388251999999994</v>
      </c>
      <c r="H35">
        <v>101.663849</v>
      </c>
      <c r="I35">
        <v>104.55136899999999</v>
      </c>
      <c r="J35">
        <v>99.764420000000001</v>
      </c>
      <c r="K35">
        <v>102.406441</v>
      </c>
      <c r="L35">
        <v>83.410881000000003</v>
      </c>
      <c r="M35">
        <v>78.411750999999995</v>
      </c>
      <c r="N35">
        <v>80.470802000000006</v>
      </c>
      <c r="O35">
        <v>59.891151000000001</v>
      </c>
      <c r="P35">
        <v>46.575668</v>
      </c>
      <c r="Q35">
        <v>46.131382000000002</v>
      </c>
      <c r="R35">
        <v>47.731662999999998</v>
      </c>
      <c r="S35">
        <v>49.963123000000003</v>
      </c>
      <c r="T35">
        <v>52.124184</v>
      </c>
      <c r="U35">
        <v>53.933441000000002</v>
      </c>
      <c r="V35">
        <v>55.189796000000001</v>
      </c>
      <c r="W35">
        <v>56.851680999999999</v>
      </c>
      <c r="X35">
        <v>58.552810999999998</v>
      </c>
      <c r="Y35">
        <v>60.605671000000001</v>
      </c>
      <c r="Z35">
        <v>62.897582999999997</v>
      </c>
      <c r="AA35">
        <v>65.197906000000003</v>
      </c>
      <c r="AB35">
        <v>67.010086000000001</v>
      </c>
      <c r="AC35">
        <v>67.114684999999994</v>
      </c>
      <c r="AD35">
        <v>58.403091000000003</v>
      </c>
      <c r="AE35" s="4">
        <v>-0.57842845521998709</v>
      </c>
    </row>
    <row r="36" spans="1:31" x14ac:dyDescent="0.25">
      <c r="A36" t="s">
        <v>57</v>
      </c>
      <c r="B36" t="s">
        <v>61</v>
      </c>
      <c r="C36" t="s">
        <v>59</v>
      </c>
      <c r="D36">
        <v>1.465E-2</v>
      </c>
      <c r="E36">
        <v>1.3115999999999999E-2</v>
      </c>
      <c r="F36">
        <v>8.5089999999999992E-3</v>
      </c>
      <c r="G36">
        <v>7.7419999999999998E-3</v>
      </c>
      <c r="H36">
        <v>8.2839999999999997E-3</v>
      </c>
      <c r="I36">
        <v>8.0719999999999993E-3</v>
      </c>
      <c r="J36">
        <v>5.3730000000000002E-3</v>
      </c>
      <c r="K36">
        <v>6.1919999999999996E-3</v>
      </c>
      <c r="L36">
        <v>1.17E-4</v>
      </c>
      <c r="M36">
        <v>1.2999999999999999E-4</v>
      </c>
      <c r="N36">
        <v>1.35E-4</v>
      </c>
      <c r="O36">
        <v>1.44E-4</v>
      </c>
      <c r="P36">
        <v>1.2799999999999999E-4</v>
      </c>
      <c r="Q36">
        <v>1.5699999999999999E-4</v>
      </c>
      <c r="R36">
        <v>1.6000000000000001E-4</v>
      </c>
      <c r="S36">
        <v>8.9300000000000002E-4</v>
      </c>
      <c r="T36">
        <v>9.0700000000000004E-4</v>
      </c>
      <c r="U36">
        <v>1.1180000000000001E-3</v>
      </c>
      <c r="V36">
        <v>1.142E-3</v>
      </c>
      <c r="W36">
        <v>1.165E-3</v>
      </c>
      <c r="X36">
        <v>8.3900000000000001E-4</v>
      </c>
      <c r="Y36">
        <v>9.2699999999999998E-4</v>
      </c>
      <c r="Z36">
        <v>6.7400000000000001E-4</v>
      </c>
      <c r="AA36">
        <v>6.9200000000000002E-4</v>
      </c>
      <c r="AB36">
        <v>7.0299999999999996E-4</v>
      </c>
      <c r="AC36">
        <v>7.0299999999999996E-4</v>
      </c>
      <c r="AD36">
        <v>7.0500000000000001E-4</v>
      </c>
      <c r="AE36" s="4">
        <v>-0.95187713310580202</v>
      </c>
    </row>
    <row r="37" spans="1:31" x14ac:dyDescent="0.25">
      <c r="A37" t="s">
        <v>57</v>
      </c>
      <c r="B37" t="s">
        <v>62</v>
      </c>
      <c r="C37" t="s">
        <v>59</v>
      </c>
      <c r="D37">
        <v>5.0561000000000002E-2</v>
      </c>
      <c r="E37">
        <v>5.2174999999999999E-2</v>
      </c>
      <c r="F37">
        <v>4.0156999999999998E-2</v>
      </c>
      <c r="G37">
        <v>3.8059000000000003E-2</v>
      </c>
      <c r="H37">
        <v>3.9378000000000003E-2</v>
      </c>
      <c r="I37">
        <v>3.8255999999999998E-2</v>
      </c>
      <c r="J37">
        <v>4.0682000000000003E-2</v>
      </c>
      <c r="K37">
        <v>4.2687000000000003E-2</v>
      </c>
      <c r="L37">
        <v>3.4715000000000003E-2</v>
      </c>
      <c r="M37">
        <v>3.1777E-2</v>
      </c>
      <c r="N37">
        <v>3.3515000000000003E-2</v>
      </c>
      <c r="O37">
        <v>2.6702E-2</v>
      </c>
      <c r="P37">
        <v>2.4442999999999999E-2</v>
      </c>
      <c r="Q37">
        <v>2.4919E-2</v>
      </c>
      <c r="R37">
        <v>2.5465000000000002E-2</v>
      </c>
      <c r="S37">
        <v>2.7320000000000001E-2</v>
      </c>
      <c r="T37">
        <v>2.9123E-2</v>
      </c>
      <c r="U37">
        <v>2.8192999999999999E-2</v>
      </c>
      <c r="V37">
        <v>2.8839E-2</v>
      </c>
      <c r="W37">
        <v>2.8531999999999998E-2</v>
      </c>
      <c r="X37">
        <v>2.8098999999999999E-2</v>
      </c>
      <c r="Y37">
        <v>2.8230999999999999E-2</v>
      </c>
      <c r="Z37">
        <v>2.8316999999999998E-2</v>
      </c>
      <c r="AA37">
        <v>2.7039000000000001E-2</v>
      </c>
      <c r="AB37">
        <v>2.6574E-2</v>
      </c>
      <c r="AC37">
        <v>2.6096999999999999E-2</v>
      </c>
      <c r="AD37">
        <v>2.5399000000000001E-2</v>
      </c>
      <c r="AE37" s="4">
        <v>-0.49765629635489805</v>
      </c>
    </row>
    <row r="38" spans="1:31" x14ac:dyDescent="0.25">
      <c r="A38" t="s">
        <v>57</v>
      </c>
      <c r="B38" t="s">
        <v>63</v>
      </c>
      <c r="C38" t="s">
        <v>64</v>
      </c>
      <c r="D38">
        <v>0.17538200000000001</v>
      </c>
      <c r="E38">
        <v>0.15396199999999999</v>
      </c>
      <c r="F38">
        <v>0.113798</v>
      </c>
      <c r="G38">
        <v>0.107303</v>
      </c>
      <c r="H38">
        <v>0.13076199999999999</v>
      </c>
      <c r="I38">
        <v>0.13939699999999999</v>
      </c>
      <c r="J38">
        <v>9.6862000000000004E-2</v>
      </c>
      <c r="K38">
        <v>9.7452999999999998E-2</v>
      </c>
      <c r="L38">
        <v>1.3327E-2</v>
      </c>
      <c r="M38">
        <v>1.3618999999999999E-2</v>
      </c>
      <c r="N38">
        <v>1.3731E-2</v>
      </c>
      <c r="O38">
        <v>1.3823999999999999E-2</v>
      </c>
      <c r="P38">
        <v>1.383E-2</v>
      </c>
      <c r="Q38">
        <v>1.3658E-2</v>
      </c>
      <c r="R38">
        <v>1.3672E-2</v>
      </c>
      <c r="S38">
        <v>1.4581999999999999E-2</v>
      </c>
      <c r="T38">
        <v>1.4612999999999999E-2</v>
      </c>
      <c r="U38">
        <v>1.4637000000000001E-2</v>
      </c>
      <c r="V38">
        <v>1.4683E-2</v>
      </c>
      <c r="W38">
        <v>1.4704999999999999E-2</v>
      </c>
      <c r="X38">
        <v>6.3359999999999996E-3</v>
      </c>
      <c r="Y38">
        <v>6.7970000000000001E-3</v>
      </c>
      <c r="Z38">
        <v>1.9999999999999999E-6</v>
      </c>
      <c r="AA38">
        <v>3.0000000000000001E-6</v>
      </c>
      <c r="AB38">
        <v>3.0000000000000001E-6</v>
      </c>
      <c r="AC38">
        <v>3.0000000000000001E-6</v>
      </c>
      <c r="AD38">
        <v>3.0000000000000001E-6</v>
      </c>
      <c r="AE38" s="4">
        <v>-0.99998289448175981</v>
      </c>
    </row>
    <row r="39" spans="1:31" x14ac:dyDescent="0.25">
      <c r="A39" t="s">
        <v>65</v>
      </c>
      <c r="B39" t="s">
        <v>66</v>
      </c>
      <c r="C39" t="s">
        <v>71</v>
      </c>
      <c r="D39" cm="1">
        <f t="array" ref="D39:D42">907185*D34:D37*10^6/(D17*10^9)</f>
        <v>81.148427086429919</v>
      </c>
      <c r="E39" cm="1">
        <f t="array" ref="E39:E42">907185*E34:E37*10^6/(E17*10^9)</f>
        <v>72.692656624625485</v>
      </c>
      <c r="F39" cm="1">
        <f t="array" ref="F39:F42">907185*F34:F37*10^6/(F17*10^9)</f>
        <v>58.566574177876859</v>
      </c>
      <c r="G39" cm="1">
        <f t="array" ref="G39:G42">907185*G34:G37*10^6/(G17*10^9)</f>
        <v>53.822540536542803</v>
      </c>
      <c r="H39" cm="1">
        <f t="array" ref="H39:H42">907185*H34:H37*10^6/(H17*10^9)</f>
        <v>56.264293496178972</v>
      </c>
      <c r="I39" cm="1">
        <f t="array" ref="I39:I42">907185*I34:I37*10^6/(I17*10^9)</f>
        <v>57.392646546386331</v>
      </c>
      <c r="J39" cm="1">
        <f t="array" ref="J39:J42">907185*J34:J37*10^6/(J17*10^9)</f>
        <v>54.381379095513651</v>
      </c>
      <c r="K39" cm="1">
        <f t="array" ref="K39:K42">907185*K34:K37*10^6/(K17*10^9)</f>
        <v>55.260138882906837</v>
      </c>
      <c r="L39" cm="1">
        <f t="array" ref="L39:L42">907185*L34:L37*10^6/(L17*10^9)</f>
        <v>44.339256378670107</v>
      </c>
      <c r="M39" cm="1">
        <f t="array" ref="M39:M42">907185*M34:M37*10^6/(M17*10^9)</f>
        <v>41.077813594865546</v>
      </c>
      <c r="N39" cm="1">
        <f t="array" ref="N39:N42">907185*N34:N37*10^6/(N17*10^9)</f>
        <v>41.480254087414714</v>
      </c>
      <c r="O39" cm="1">
        <f t="array" ref="O39:O42">907185*O34:O37*10^6/(O17*10^9)</f>
        <v>30.182719332282698</v>
      </c>
      <c r="P39" cm="1">
        <f t="array" ref="P39:P42">907185*P34:P37*10^6/(P17*10^9)</f>
        <v>22.841114880241705</v>
      </c>
      <c r="Q39" cm="1">
        <f t="array" ref="Q39:Q42">907185*Q34:Q37*10^6/(Q17*10^9)</f>
        <v>22.088810552231827</v>
      </c>
      <c r="R39" cm="1">
        <f t="array" ref="R39:R42">907185*R34:R37*10^6/(R17*10^9)</f>
        <v>22.452116593143174</v>
      </c>
      <c r="S39" cm="1">
        <f t="array" ref="S39:S42">907185*S34:S37*10^6/(S17*10^9)</f>
        <v>23.085491112189871</v>
      </c>
      <c r="T39" cm="1">
        <f t="array" ref="T39:T42">907185*T34:T37*10^6/(T17*10^9)</f>
        <v>23.709877330679394</v>
      </c>
      <c r="U39" cm="1">
        <f t="array" ref="U39:U42">907185*U34:U37*10^6/(U17*10^9)</f>
        <v>24.213563908762719</v>
      </c>
      <c r="V39" cm="1">
        <f t="array" ref="V39:V42">907185*V34:V37*10^6/(V17*10^9)</f>
        <v>24.511735534039882</v>
      </c>
      <c r="W39" cm="1">
        <f t="array" ref="W39:W42">907185*W34:W37*10^6/(W17*10^9)</f>
        <v>24.938755943993712</v>
      </c>
      <c r="X39" cm="1">
        <f t="array" ref="X39:X42">907185*X34:X37*10^6/(X17*10^9)</f>
        <v>25.383721964795079</v>
      </c>
      <c r="Y39" cm="1">
        <f t="array" ref="Y39:Y42">907185*Y34:Y37*10^6/(Y17*10^9)</f>
        <v>25.981717114387738</v>
      </c>
      <c r="Z39" cm="1">
        <f t="array" ref="Z39:Z42">907185*Z34:Z37*10^6/(Z17*10^9)</f>
        <v>26.712831176773921</v>
      </c>
      <c r="AA39" cm="1">
        <f t="array" ref="AA39:AA42">907185*AA34:AA37*10^6/(AA17*10^9)</f>
        <v>27.416712679068048</v>
      </c>
      <c r="AB39" cm="1">
        <f t="array" ref="AB39:AB42">907185*AB34:AB37*10^6/(AB17*10^9)</f>
        <v>27.880550569659391</v>
      </c>
      <c r="AC39" cm="1">
        <f t="array" ref="AC39:AC42">907185*AC34:AC37*10^6/(AC17*10^9)</f>
        <v>27.58638824622053</v>
      </c>
      <c r="AD39" cm="1">
        <f t="array" ref="AD39:AD42">907185*AD34:AD37*10^6/(AD17*10^9)</f>
        <v>23.618819635602129</v>
      </c>
      <c r="AE39" s="4" cm="1">
        <f t="array" ref="AE39:AE43">(AD39:AD43-D39:D43)/D39:D43</f>
        <v>-0.70894297667105621</v>
      </c>
    </row>
    <row r="40" spans="1:31" x14ac:dyDescent="0.25">
      <c r="A40" t="s">
        <v>65</v>
      </c>
      <c r="B40" t="s">
        <v>67</v>
      </c>
      <c r="C40" t="s">
        <v>71</v>
      </c>
      <c r="D40">
        <v>297.54429350362972</v>
      </c>
      <c r="E40">
        <v>266.53980531082044</v>
      </c>
      <c r="F40">
        <v>214.74397767380842</v>
      </c>
      <c r="G40">
        <v>197.34942108519547</v>
      </c>
      <c r="H40">
        <v>206.30228502476817</v>
      </c>
      <c r="I40">
        <v>210.43949534463732</v>
      </c>
      <c r="J40">
        <v>199.39820080751383</v>
      </c>
      <c r="K40">
        <v>202.62028697579527</v>
      </c>
      <c r="L40">
        <v>162.57724545116852</v>
      </c>
      <c r="M40">
        <v>150.61864984784035</v>
      </c>
      <c r="N40">
        <v>152.09430215828371</v>
      </c>
      <c r="O40">
        <v>110.66997273288837</v>
      </c>
      <c r="P40">
        <v>83.750786927875907</v>
      </c>
      <c r="Q40">
        <v>80.992389046055777</v>
      </c>
      <c r="R40">
        <v>82.324467177095357</v>
      </c>
      <c r="S40">
        <v>84.646852135022243</v>
      </c>
      <c r="T40">
        <v>86.936287485593297</v>
      </c>
      <c r="U40">
        <v>88.78310552715709</v>
      </c>
      <c r="V40">
        <v>89.876402708734616</v>
      </c>
      <c r="W40">
        <v>91.442122284596067</v>
      </c>
      <c r="X40">
        <v>93.073644025113666</v>
      </c>
      <c r="Y40">
        <v>95.266246309154695</v>
      </c>
      <c r="Z40">
        <v>97.947066335133854</v>
      </c>
      <c r="AA40">
        <v>100.52793004310084</v>
      </c>
      <c r="AB40">
        <v>102.22865185951981</v>
      </c>
      <c r="AC40">
        <v>101.15006260555981</v>
      </c>
      <c r="AD40">
        <v>86.602299121538564</v>
      </c>
      <c r="AE40" s="4">
        <v>-0.70894316909330302</v>
      </c>
    </row>
    <row r="41" spans="1:31" x14ac:dyDescent="0.25">
      <c r="A41" t="s">
        <v>65</v>
      </c>
      <c r="B41" t="s">
        <v>68</v>
      </c>
      <c r="C41" t="s">
        <v>71</v>
      </c>
      <c r="D41">
        <v>3.1464780505942057E-2</v>
      </c>
      <c r="E41">
        <v>2.7523866281233544E-2</v>
      </c>
      <c r="F41">
        <v>1.761295021158826E-2</v>
      </c>
      <c r="G41">
        <v>1.5851301235772833E-2</v>
      </c>
      <c r="H41">
        <v>1.6810381919980025E-2</v>
      </c>
      <c r="I41">
        <v>1.6247205777113381E-2</v>
      </c>
      <c r="J41">
        <v>1.0738964181205804E-2</v>
      </c>
      <c r="K41">
        <v>1.2251424858658296E-2</v>
      </c>
      <c r="L41">
        <v>2.2804623916856503E-4</v>
      </c>
      <c r="M41">
        <v>2.4971288398111706E-4</v>
      </c>
      <c r="N41">
        <v>2.551575264698903E-4</v>
      </c>
      <c r="O41">
        <v>2.6609066293509578E-4</v>
      </c>
      <c r="P41">
        <v>2.3016525982554056E-4</v>
      </c>
      <c r="Q41">
        <v>2.7564327208386597E-4</v>
      </c>
      <c r="R41">
        <v>2.759575912604441E-4</v>
      </c>
      <c r="S41">
        <v>1.5129086097475306E-3</v>
      </c>
      <c r="T41">
        <v>1.5127567800281177E-3</v>
      </c>
      <c r="U41">
        <v>1.8404075493599899E-3</v>
      </c>
      <c r="V41">
        <v>1.8597432737996521E-3</v>
      </c>
      <c r="W41">
        <v>1.8738244953839522E-3</v>
      </c>
      <c r="X41">
        <v>1.3336471128101838E-3</v>
      </c>
      <c r="Y41">
        <v>1.4571542377376928E-3</v>
      </c>
      <c r="Z41">
        <v>1.049584412645558E-3</v>
      </c>
      <c r="AA41">
        <v>1.0669871451059454E-3</v>
      </c>
      <c r="AB41">
        <v>1.0724764964074578E-3</v>
      </c>
      <c r="AC41">
        <v>1.0595072302240346E-3</v>
      </c>
      <c r="AD41">
        <v>1.0454005059541229E-3</v>
      </c>
      <c r="AE41" s="4">
        <v>-0.96677553476793832</v>
      </c>
    </row>
    <row r="42" spans="1:31" x14ac:dyDescent="0.25">
      <c r="A42" t="s">
        <v>65</v>
      </c>
      <c r="B42" t="s">
        <v>69</v>
      </c>
      <c r="C42" t="s">
        <v>71</v>
      </c>
      <c r="D42">
        <v>0.1085932264273677</v>
      </c>
      <c r="E42">
        <v>0.10948899994078684</v>
      </c>
      <c r="F42">
        <v>8.3121781836496614E-2</v>
      </c>
      <c r="G42">
        <v>7.7923620993577677E-2</v>
      </c>
      <c r="H42">
        <v>7.9908162632179328E-2</v>
      </c>
      <c r="I42">
        <v>7.7001127875278672E-2</v>
      </c>
      <c r="J42">
        <v>8.1310727865217675E-2</v>
      </c>
      <c r="K42">
        <v>8.446004084973302E-2</v>
      </c>
      <c r="L42">
        <v>6.7663463185784062E-2</v>
      </c>
      <c r="M42">
        <v>6.1039433186676609E-2</v>
      </c>
      <c r="N42">
        <v>6.334521851583981E-2</v>
      </c>
      <c r="O42">
        <v>4.9341339456200888E-2</v>
      </c>
      <c r="P42">
        <v>4.3952573796216317E-2</v>
      </c>
      <c r="Q42">
        <v>4.3750029917565963E-2</v>
      </c>
      <c r="R42">
        <v>4.3920375384045043E-2</v>
      </c>
      <c r="S42">
        <v>4.6285177176150653E-2</v>
      </c>
      <c r="T42">
        <v>4.8573335947914957E-2</v>
      </c>
      <c r="U42">
        <v>4.6410205759486761E-2</v>
      </c>
      <c r="V42">
        <v>4.6964217402021155E-2</v>
      </c>
      <c r="W42">
        <v>4.5891811589952723E-2</v>
      </c>
      <c r="X42">
        <v>4.4665256523067166E-2</v>
      </c>
      <c r="Y42">
        <v>4.4376398366313706E-2</v>
      </c>
      <c r="Z42">
        <v>4.4096560553240738E-2</v>
      </c>
      <c r="AA42">
        <v>4.1691134994970604E-2</v>
      </c>
      <c r="AB42">
        <v>4.0540526906873098E-2</v>
      </c>
      <c r="AC42">
        <v>3.9331380067079133E-2</v>
      </c>
      <c r="AD42">
        <v>3.7662592128693287E-2</v>
      </c>
      <c r="AE42" s="4">
        <v>-0.65317733556904845</v>
      </c>
    </row>
    <row r="43" spans="1:31" x14ac:dyDescent="0.25">
      <c r="A43" t="s">
        <v>65</v>
      </c>
      <c r="B43" t="s">
        <v>70</v>
      </c>
      <c r="C43" t="s">
        <v>71</v>
      </c>
      <c r="D43">
        <f>907185*D38/(D17*10^9)</f>
        <v>3.7667959963775634E-7</v>
      </c>
      <c r="E43">
        <f>907185*E38/(E17*10^9)</f>
        <v>3.2308855599201578E-7</v>
      </c>
      <c r="F43">
        <f>907185*F38/(F17*10^9)</f>
        <v>2.355527686189118E-7</v>
      </c>
      <c r="G43">
        <f>907185*G38/(G17*10^9)</f>
        <v>2.1969674199200883E-7</v>
      </c>
      <c r="H43">
        <f>907185*H38/(H17*10^9)</f>
        <v>2.6534997110338342E-7</v>
      </c>
      <c r="I43">
        <f>907185*I38/(I17*10^9)</f>
        <v>2.8057628143115385E-7</v>
      </c>
      <c r="J43">
        <f>907185*J38/(J17*10^9)</f>
        <v>1.9359716145913951E-7</v>
      </c>
      <c r="K43">
        <f>907185*K38/(K17*10^9)</f>
        <v>1.9281946168456507E-7</v>
      </c>
      <c r="L43">
        <f>907185*L38/(L17*10^9)</f>
        <v>2.5975831020508262E-8</v>
      </c>
      <c r="M43">
        <f>907185*M38/(M17*10^9)</f>
        <v>2.616030589952949E-8</v>
      </c>
      <c r="N43">
        <f>907185*N38/(N17*10^9)</f>
        <v>2.5952355525615288E-8</v>
      </c>
      <c r="O43">
        <f>907185*O38/(O17*10^9)</f>
        <v>2.5544703641769193E-8</v>
      </c>
      <c r="P43">
        <f>907185*P38/(P17*10^9)</f>
        <v>2.4868637057712708E-8</v>
      </c>
      <c r="Q43">
        <f>907185*Q38/(Q17*10^9)</f>
        <v>2.3979208981665234E-8</v>
      </c>
      <c r="R43">
        <f>907185*R38/(R17*10^9)</f>
        <v>2.3580576173204942E-8</v>
      </c>
      <c r="S43">
        <f>907185*S38/(S17*10^9)</f>
        <v>2.4704628608441758E-8</v>
      </c>
      <c r="T43">
        <f>907185*T38/(T17*10^9)</f>
        <v>2.4372563204576495E-8</v>
      </c>
      <c r="U43">
        <f>907185*U38/(U17*10^9)</f>
        <v>2.4094852683347206E-8</v>
      </c>
      <c r="V43">
        <f>907185*V38/(V17*10^9)</f>
        <v>2.3911217591243686E-8</v>
      </c>
      <c r="W43">
        <f>907185*W38/(W17*10^9)</f>
        <v>2.3652007900962246E-8</v>
      </c>
      <c r="X43">
        <f>907185*X38/(X17*10^9)</f>
        <v>1.0071499531305511E-8</v>
      </c>
      <c r="Y43">
        <f>907185*Y38/(Y17*10^9)</f>
        <v>1.0684225840240667E-8</v>
      </c>
      <c r="Z43">
        <f>907185*Z38/(Z17*10^9)</f>
        <v>3.1144938060699044E-12</v>
      </c>
      <c r="AA43">
        <f>907185*AA38/(AA17*10^9)</f>
        <v>4.6256668140431153E-12</v>
      </c>
      <c r="AB43">
        <f>907185*AB38/(AB17*10^9)</f>
        <v>4.5767133559350965E-12</v>
      </c>
      <c r="AC43">
        <f>907185*AC38/(AC17*10^9)</f>
        <v>4.521367981041399E-12</v>
      </c>
      <c r="AD43">
        <f>907185*AD38/(AD17*10^9)</f>
        <v>4.4485127912941397E-12</v>
      </c>
      <c r="AE43" s="4">
        <v>-0.9999881901945431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E43"/>
  <sheetViews>
    <sheetView tabSelected="1" topLeftCell="H1" zoomScale="55" zoomScaleNormal="55" workbookViewId="0">
      <selection sqref="A1:A1048576"/>
    </sheetView>
  </sheetViews>
  <sheetFormatPr defaultRowHeight="15" x14ac:dyDescent="0.25"/>
  <cols>
    <col min="1" max="1" width="50.28515625" bestFit="1" customWidth="1"/>
    <col min="2" max="2" width="35.7109375" bestFit="1" customWidth="1"/>
    <col min="3" max="3" width="17.5703125" bestFit="1" customWidth="1"/>
    <col min="4" max="30" width="16" bestFit="1" customWidth="1"/>
    <col min="31" max="31" width="27.42578125" bestFit="1" customWidth="1"/>
  </cols>
  <sheetData>
    <row r="1" spans="1:31" s="3" customFormat="1" ht="15.75" thickBot="1" x14ac:dyDescent="0.3">
      <c r="A1" s="3" t="s">
        <v>72</v>
      </c>
      <c r="B1" s="1" t="s">
        <v>73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</row>
    <row r="2" spans="1:31" ht="15.75" thickTop="1" x14ac:dyDescent="0.25">
      <c r="A2" t="s">
        <v>29</v>
      </c>
      <c r="B2" t="s">
        <v>30</v>
      </c>
      <c r="C2" t="s">
        <v>31</v>
      </c>
      <c r="D2">
        <v>37.880488999999997</v>
      </c>
      <c r="E2">
        <v>35.860939000000002</v>
      </c>
      <c r="F2">
        <v>27.634761999999998</v>
      </c>
      <c r="G2">
        <v>23.016289</v>
      </c>
      <c r="H2">
        <v>21.445353999999998</v>
      </c>
      <c r="I2">
        <v>24.553408000000001</v>
      </c>
      <c r="J2">
        <v>20.143166999999998</v>
      </c>
      <c r="K2">
        <v>18.876996999999999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 s="4" cm="1">
        <f t="array" ref="AE2:AE17">(AD2:AD17-D2:D17)/D2:D17</f>
        <v>-1</v>
      </c>
    </row>
    <row r="3" spans="1:31" x14ac:dyDescent="0.25">
      <c r="A3" t="s">
        <v>29</v>
      </c>
      <c r="B3" t="s">
        <v>32</v>
      </c>
      <c r="C3" t="s">
        <v>31</v>
      </c>
      <c r="D3">
        <v>0.15416099999999999</v>
      </c>
      <c r="E3">
        <v>0.14579600000000001</v>
      </c>
      <c r="F3">
        <v>0.111315</v>
      </c>
      <c r="G3">
        <v>9.2752000000000001E-2</v>
      </c>
      <c r="H3">
        <v>8.6443000000000006E-2</v>
      </c>
      <c r="I3">
        <v>9.8926E-2</v>
      </c>
      <c r="J3">
        <v>8.1213999999999995E-2</v>
      </c>
      <c r="K3">
        <v>7.6129000000000002E-2</v>
      </c>
      <c r="L3">
        <v>1.1180000000000001E-3</v>
      </c>
      <c r="M3">
        <v>3.0499999999999999E-4</v>
      </c>
      <c r="N3">
        <v>3.0499999999999999E-4</v>
      </c>
      <c r="O3">
        <v>3.0499999999999999E-4</v>
      </c>
      <c r="P3">
        <v>3.0499999999999999E-4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 s="4">
        <v>-1</v>
      </c>
    </row>
    <row r="4" spans="1:31" x14ac:dyDescent="0.25">
      <c r="A4" t="s">
        <v>29</v>
      </c>
      <c r="B4" t="s">
        <v>33</v>
      </c>
      <c r="C4" t="s">
        <v>31</v>
      </c>
      <c r="D4">
        <v>57.515903000000002</v>
      </c>
      <c r="E4">
        <v>51.194102999999998</v>
      </c>
      <c r="F4">
        <v>49.689045</v>
      </c>
      <c r="G4">
        <v>52.193618999999998</v>
      </c>
      <c r="H4">
        <v>52.938381</v>
      </c>
      <c r="I4">
        <v>52.947372000000001</v>
      </c>
      <c r="J4">
        <v>55.894772000000003</v>
      </c>
      <c r="K4">
        <v>59.621361</v>
      </c>
      <c r="L4">
        <v>71.709564</v>
      </c>
      <c r="M4">
        <v>58.616173000000003</v>
      </c>
      <c r="N4">
        <v>53.969890999999997</v>
      </c>
      <c r="O4">
        <v>54.770695000000003</v>
      </c>
      <c r="P4">
        <v>50.892715000000003</v>
      </c>
      <c r="Q4">
        <v>47.264549000000002</v>
      </c>
      <c r="R4">
        <v>45.576656</v>
      </c>
      <c r="S4">
        <v>47.925925999999997</v>
      </c>
      <c r="T4">
        <v>48.668564000000003</v>
      </c>
      <c r="U4">
        <v>46.673706000000003</v>
      </c>
      <c r="V4">
        <v>53.015479999999997</v>
      </c>
      <c r="W4">
        <v>52.579636000000001</v>
      </c>
      <c r="X4">
        <v>57.132027000000001</v>
      </c>
      <c r="Y4">
        <v>54.353748000000003</v>
      </c>
      <c r="Z4">
        <v>53.122405999999998</v>
      </c>
      <c r="AA4">
        <v>54.020794000000002</v>
      </c>
      <c r="AB4">
        <v>56.762489000000002</v>
      </c>
      <c r="AC4">
        <v>57.828026000000001</v>
      </c>
      <c r="AD4">
        <v>60.668132999999997</v>
      </c>
      <c r="AE4" s="4">
        <v>5.4806233329936518E-2</v>
      </c>
    </row>
    <row r="5" spans="1:31" x14ac:dyDescent="0.25">
      <c r="A5" t="s">
        <v>29</v>
      </c>
      <c r="B5" t="s">
        <v>34</v>
      </c>
      <c r="C5" t="s">
        <v>31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 s="4" t="e">
        <v>#DIV/0!</v>
      </c>
    </row>
    <row r="6" spans="1:31" x14ac:dyDescent="0.25">
      <c r="A6" t="s">
        <v>29</v>
      </c>
      <c r="B6" t="s">
        <v>35</v>
      </c>
      <c r="C6" t="s">
        <v>31</v>
      </c>
      <c r="D6">
        <v>-3.4793999999999999E-2</v>
      </c>
      <c r="E6">
        <v>-0.13466400000000001</v>
      </c>
      <c r="F6">
        <v>-0.12214899999999999</v>
      </c>
      <c r="G6">
        <v>-0.116997</v>
      </c>
      <c r="H6">
        <v>-0.10684200000000001</v>
      </c>
      <c r="I6">
        <v>-0.13978099999999999</v>
      </c>
      <c r="J6">
        <v>-0.15967200000000001</v>
      </c>
      <c r="K6">
        <v>-0.16434599999999999</v>
      </c>
      <c r="L6">
        <v>-0.174681</v>
      </c>
      <c r="M6">
        <v>-0.16623199999999999</v>
      </c>
      <c r="N6">
        <v>-0.21570500000000001</v>
      </c>
      <c r="O6">
        <v>-0.227966</v>
      </c>
      <c r="P6">
        <v>-0.226856</v>
      </c>
      <c r="Q6">
        <v>-0.22711700000000001</v>
      </c>
      <c r="R6">
        <v>-0.22450200000000001</v>
      </c>
      <c r="S6">
        <v>-0.26395299999999999</v>
      </c>
      <c r="T6">
        <v>-0.68811699999999998</v>
      </c>
      <c r="U6">
        <v>-0.58443599999999996</v>
      </c>
      <c r="V6">
        <v>-0.71914900000000004</v>
      </c>
      <c r="W6">
        <v>-1.0016080000000001</v>
      </c>
      <c r="X6">
        <v>-1.09196</v>
      </c>
      <c r="Y6">
        <v>-1.0936349999999999</v>
      </c>
      <c r="Z6">
        <v>-1.284613</v>
      </c>
      <c r="AA6">
        <v>-1.419735</v>
      </c>
      <c r="AB6">
        <v>-1.3897459999999999</v>
      </c>
      <c r="AC6">
        <v>-1.4298489999999999</v>
      </c>
      <c r="AD6">
        <v>-1.4386289999999999</v>
      </c>
      <c r="AE6" s="4">
        <v>40.347042593550611</v>
      </c>
    </row>
    <row r="7" spans="1:31" x14ac:dyDescent="0.25">
      <c r="A7" t="s">
        <v>29</v>
      </c>
      <c r="B7" t="s">
        <v>36</v>
      </c>
      <c r="C7" t="s">
        <v>31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 s="4" t="e">
        <v>#DIV/0!</v>
      </c>
    </row>
    <row r="8" spans="1:31" x14ac:dyDescent="0.25">
      <c r="A8" t="s">
        <v>29</v>
      </c>
      <c r="B8" t="s">
        <v>37</v>
      </c>
      <c r="C8" t="s">
        <v>31</v>
      </c>
      <c r="D8">
        <v>8.0118329999999993</v>
      </c>
      <c r="E8">
        <v>8.6949830000000006</v>
      </c>
      <c r="F8">
        <v>9.0298540000000003</v>
      </c>
      <c r="G8">
        <v>9.3578069999999993</v>
      </c>
      <c r="H8">
        <v>9.3628619999999998</v>
      </c>
      <c r="I8">
        <v>9.3610100000000003</v>
      </c>
      <c r="J8">
        <v>9.3638680000000001</v>
      </c>
      <c r="K8">
        <v>9.3638180000000002</v>
      </c>
      <c r="L8">
        <v>9.3715109999999999</v>
      </c>
      <c r="M8">
        <v>9.3576700000000006</v>
      </c>
      <c r="N8">
        <v>9.3657789999999999</v>
      </c>
      <c r="O8">
        <v>9.3085900000000006</v>
      </c>
      <c r="P8">
        <v>9.1100829999999995</v>
      </c>
      <c r="Q8">
        <v>8.957713</v>
      </c>
      <c r="R8">
        <v>8.8183740000000004</v>
      </c>
      <c r="S8">
        <v>8.7163170000000001</v>
      </c>
      <c r="T8">
        <v>8.8148789999999995</v>
      </c>
      <c r="U8">
        <v>8.8309890000000006</v>
      </c>
      <c r="V8">
        <v>8.9601959999999998</v>
      </c>
      <c r="W8">
        <v>9.1158389999999994</v>
      </c>
      <c r="X8">
        <v>8.3134320000000006</v>
      </c>
      <c r="Y8">
        <v>9.0775749999999995</v>
      </c>
      <c r="Z8">
        <v>9.1031709999999997</v>
      </c>
      <c r="AA8">
        <v>9.1085379999999994</v>
      </c>
      <c r="AB8">
        <v>9.0968599999999995</v>
      </c>
      <c r="AC8">
        <v>8.1794039999999999</v>
      </c>
      <c r="AD8">
        <v>9.0231820000000003</v>
      </c>
      <c r="AE8" s="4">
        <v>0.12623191222283353</v>
      </c>
    </row>
    <row r="9" spans="1:31" x14ac:dyDescent="0.25">
      <c r="A9" t="s">
        <v>29</v>
      </c>
      <c r="B9" t="s">
        <v>38</v>
      </c>
      <c r="C9" t="s">
        <v>31</v>
      </c>
      <c r="D9">
        <v>3.9760309999999999</v>
      </c>
      <c r="E9">
        <v>3.763137</v>
      </c>
      <c r="F9">
        <v>4.233746</v>
      </c>
      <c r="G9">
        <v>4.385624</v>
      </c>
      <c r="H9">
        <v>4.6659470000000001</v>
      </c>
      <c r="I9">
        <v>4.7574509999999997</v>
      </c>
      <c r="J9">
        <v>5.0407089999999997</v>
      </c>
      <c r="K9">
        <v>5.3251710000000001</v>
      </c>
      <c r="L9">
        <v>5.8048520000000003</v>
      </c>
      <c r="M9">
        <v>6.0541580000000002</v>
      </c>
      <c r="N9">
        <v>6.1479460000000001</v>
      </c>
      <c r="O9">
        <v>6.2418870000000002</v>
      </c>
      <c r="P9">
        <v>6.2968780000000004</v>
      </c>
      <c r="Q9">
        <v>6.4940230000000003</v>
      </c>
      <c r="R9">
        <v>6.6209300000000004</v>
      </c>
      <c r="S9">
        <v>6.9158030000000004</v>
      </c>
      <c r="T9">
        <v>7.2121089999999999</v>
      </c>
      <c r="U9">
        <v>7.5095510000000001</v>
      </c>
      <c r="V9">
        <v>7.8076449999999999</v>
      </c>
      <c r="W9">
        <v>8.1059389999999993</v>
      </c>
      <c r="X9">
        <v>8.3970680000000009</v>
      </c>
      <c r="Y9">
        <v>8.4214439999999993</v>
      </c>
      <c r="Z9">
        <v>8.4214439999999993</v>
      </c>
      <c r="AA9">
        <v>8.6167090000000002</v>
      </c>
      <c r="AB9">
        <v>8.8123260000000005</v>
      </c>
      <c r="AC9">
        <v>9.0082769999999996</v>
      </c>
      <c r="AD9">
        <v>9.2046119999999991</v>
      </c>
      <c r="AE9" s="4">
        <v>1.3150252098135049</v>
      </c>
    </row>
    <row r="10" spans="1:31" x14ac:dyDescent="0.25">
      <c r="A10" t="s">
        <v>29</v>
      </c>
      <c r="B10" t="s">
        <v>39</v>
      </c>
      <c r="C10" t="s">
        <v>31</v>
      </c>
      <c r="D10">
        <v>0.13286899999999999</v>
      </c>
      <c r="E10">
        <v>0.14416300000000001</v>
      </c>
      <c r="F10">
        <v>0.15656500000000001</v>
      </c>
      <c r="G10">
        <v>0.167487</v>
      </c>
      <c r="H10">
        <v>0.17938399999999999</v>
      </c>
      <c r="I10">
        <v>0.18934699999999999</v>
      </c>
      <c r="J10">
        <v>0.19913500000000001</v>
      </c>
      <c r="K10">
        <v>0.209814</v>
      </c>
      <c r="L10">
        <v>0.22070899999999999</v>
      </c>
      <c r="M10">
        <v>0.23169799999999999</v>
      </c>
      <c r="N10">
        <v>0.240814</v>
      </c>
      <c r="O10">
        <v>0.25050600000000001</v>
      </c>
      <c r="P10">
        <v>0.26061400000000001</v>
      </c>
      <c r="Q10">
        <v>0.27147199999999999</v>
      </c>
      <c r="R10">
        <v>0.282773</v>
      </c>
      <c r="S10">
        <v>0.29060799999999998</v>
      </c>
      <c r="T10">
        <v>0.29863299999999998</v>
      </c>
      <c r="U10">
        <v>0.30679800000000002</v>
      </c>
      <c r="V10">
        <v>0.315085</v>
      </c>
      <c r="W10">
        <v>0.32344000000000001</v>
      </c>
      <c r="X10">
        <v>0.32776899999999998</v>
      </c>
      <c r="Y10">
        <v>0.33205499999999999</v>
      </c>
      <c r="Z10">
        <v>0.33637</v>
      </c>
      <c r="AA10">
        <v>0.34076000000000001</v>
      </c>
      <c r="AB10">
        <v>0.34515499999999999</v>
      </c>
      <c r="AC10">
        <v>0.34515499999999999</v>
      </c>
      <c r="AD10">
        <v>0.34515499999999999</v>
      </c>
      <c r="AE10" s="4">
        <v>1.5977090216679588</v>
      </c>
    </row>
    <row r="11" spans="1:31" x14ac:dyDescent="0.25">
      <c r="A11" t="s">
        <v>29</v>
      </c>
      <c r="B11" t="s">
        <v>40</v>
      </c>
      <c r="C11" t="s">
        <v>31</v>
      </c>
      <c r="D11">
        <v>4.0017999999999998E-2</v>
      </c>
      <c r="E11">
        <v>4.7722000000000001E-2</v>
      </c>
      <c r="F11">
        <v>4.6491999999999999E-2</v>
      </c>
      <c r="G11">
        <v>4.6131999999999999E-2</v>
      </c>
      <c r="H11">
        <v>4.6131999999999999E-2</v>
      </c>
      <c r="I11">
        <v>4.6131999999999999E-2</v>
      </c>
      <c r="J11">
        <v>4.6584E-2</v>
      </c>
      <c r="K11">
        <v>4.7814000000000002E-2</v>
      </c>
      <c r="L11">
        <v>5.2219000000000002E-2</v>
      </c>
      <c r="M11">
        <v>5.0989E-2</v>
      </c>
      <c r="N11">
        <v>4.9769000000000001E-2</v>
      </c>
      <c r="O11">
        <v>4.9769000000000001E-2</v>
      </c>
      <c r="P11">
        <v>4.9769000000000001E-2</v>
      </c>
      <c r="Q11">
        <v>4.9769000000000001E-2</v>
      </c>
      <c r="R11">
        <v>4.9769000000000001E-2</v>
      </c>
      <c r="S11">
        <v>4.9676999999999999E-2</v>
      </c>
      <c r="T11">
        <v>4.9676999999999999E-2</v>
      </c>
      <c r="U11">
        <v>4.9769000000000001E-2</v>
      </c>
      <c r="V11">
        <v>4.9769000000000001E-2</v>
      </c>
      <c r="W11">
        <v>4.9769000000000001E-2</v>
      </c>
      <c r="X11">
        <v>4.9769000000000001E-2</v>
      </c>
      <c r="Y11">
        <v>4.9769000000000001E-2</v>
      </c>
      <c r="Z11">
        <v>4.9769000000000001E-2</v>
      </c>
      <c r="AA11">
        <v>4.9676999999999999E-2</v>
      </c>
      <c r="AB11">
        <v>4.9676999999999999E-2</v>
      </c>
      <c r="AC11">
        <v>4.9769000000000001E-2</v>
      </c>
      <c r="AD11">
        <v>4.9769000000000001E-2</v>
      </c>
      <c r="AE11" s="4">
        <v>0.24366535059223357</v>
      </c>
    </row>
    <row r="12" spans="1:31" x14ac:dyDescent="0.25">
      <c r="A12" t="s">
        <v>29</v>
      </c>
      <c r="B12" t="s">
        <v>41</v>
      </c>
      <c r="C12" t="s">
        <v>31</v>
      </c>
      <c r="D12">
        <v>0.16594900000000001</v>
      </c>
      <c r="E12">
        <v>0.163825</v>
      </c>
      <c r="F12">
        <v>0.18274899999999999</v>
      </c>
      <c r="G12">
        <v>0.18293699999999999</v>
      </c>
      <c r="H12">
        <v>0.18268599999999999</v>
      </c>
      <c r="I12">
        <v>0.18273600000000001</v>
      </c>
      <c r="J12">
        <v>0.182342</v>
      </c>
      <c r="K12">
        <v>0.182805</v>
      </c>
      <c r="L12">
        <v>0.18227699999999999</v>
      </c>
      <c r="M12">
        <v>0.182863</v>
      </c>
      <c r="N12">
        <v>0.182537</v>
      </c>
      <c r="O12">
        <v>0.18296100000000001</v>
      </c>
      <c r="P12">
        <v>0.182866</v>
      </c>
      <c r="Q12">
        <v>0.18270600000000001</v>
      </c>
      <c r="R12">
        <v>0.182615</v>
      </c>
      <c r="S12">
        <v>0.18240100000000001</v>
      </c>
      <c r="T12">
        <v>0.182644</v>
      </c>
      <c r="U12">
        <v>0.18263599999999999</v>
      </c>
      <c r="V12">
        <v>0.18262500000000001</v>
      </c>
      <c r="W12">
        <v>0.18292700000000001</v>
      </c>
      <c r="X12">
        <v>0.18281900000000001</v>
      </c>
      <c r="Y12">
        <v>0.18315300000000001</v>
      </c>
      <c r="Z12">
        <v>0.18282000000000001</v>
      </c>
      <c r="AA12">
        <v>0.18282799999999999</v>
      </c>
      <c r="AB12">
        <v>0.18282300000000001</v>
      </c>
      <c r="AC12">
        <v>0.18283199999999999</v>
      </c>
      <c r="AD12">
        <v>0.18274499999999999</v>
      </c>
      <c r="AE12" s="4">
        <v>0.10121181808868976</v>
      </c>
    </row>
    <row r="13" spans="1:31" x14ac:dyDescent="0.25">
      <c r="A13" t="s">
        <v>29</v>
      </c>
      <c r="B13" t="s">
        <v>42</v>
      </c>
      <c r="C13" t="s">
        <v>31</v>
      </c>
      <c r="D13">
        <v>13.973649999999999</v>
      </c>
      <c r="E13">
        <v>16.476870999999999</v>
      </c>
      <c r="F13">
        <v>21.799236000000001</v>
      </c>
      <c r="G13">
        <v>22.271108999999999</v>
      </c>
      <c r="H13">
        <v>22.223583000000001</v>
      </c>
      <c r="I13">
        <v>22.232835999999999</v>
      </c>
      <c r="J13">
        <v>22.196473999999998</v>
      </c>
      <c r="K13">
        <v>22.220852000000001</v>
      </c>
      <c r="L13">
        <v>22.121421999999999</v>
      </c>
      <c r="M13">
        <v>22.235634000000001</v>
      </c>
      <c r="N13">
        <v>22.145392999999999</v>
      </c>
      <c r="O13">
        <v>22.220942000000001</v>
      </c>
      <c r="P13">
        <v>21.673168</v>
      </c>
      <c r="Q13">
        <v>21.341072</v>
      </c>
      <c r="R13">
        <v>18.210608000000001</v>
      </c>
      <c r="S13">
        <v>19.907066</v>
      </c>
      <c r="T13">
        <v>18.277954000000001</v>
      </c>
      <c r="U13">
        <v>19.97044</v>
      </c>
      <c r="V13">
        <v>21.851846999999999</v>
      </c>
      <c r="W13">
        <v>20.66987</v>
      </c>
      <c r="X13">
        <v>20.039268</v>
      </c>
      <c r="Y13">
        <v>21.537344000000001</v>
      </c>
      <c r="Z13">
        <v>21.569906</v>
      </c>
      <c r="AA13">
        <v>22.067022000000001</v>
      </c>
      <c r="AB13">
        <v>19.922623000000002</v>
      </c>
      <c r="AC13">
        <v>20.577494000000002</v>
      </c>
      <c r="AD13">
        <v>19.289615999999999</v>
      </c>
      <c r="AE13" s="4">
        <v>0.38042787675374723</v>
      </c>
    </row>
    <row r="14" spans="1:31" x14ac:dyDescent="0.25">
      <c r="A14" t="s">
        <v>29</v>
      </c>
      <c r="B14" t="s">
        <v>43</v>
      </c>
      <c r="C14" t="s">
        <v>31</v>
      </c>
      <c r="D14">
        <v>13.480615999999999</v>
      </c>
      <c r="E14">
        <v>16.553234</v>
      </c>
      <c r="F14">
        <v>18.530415000000001</v>
      </c>
      <c r="G14">
        <v>20.138076999999999</v>
      </c>
      <c r="H14">
        <v>20.098925000000001</v>
      </c>
      <c r="I14">
        <v>21.968447000000001</v>
      </c>
      <c r="J14">
        <v>28.211327000000001</v>
      </c>
      <c r="K14">
        <v>31.66188</v>
      </c>
      <c r="L14">
        <v>33.653412000000003</v>
      </c>
      <c r="M14">
        <v>47.704067000000002</v>
      </c>
      <c r="N14">
        <v>64.045753000000005</v>
      </c>
      <c r="O14">
        <v>69.856735</v>
      </c>
      <c r="P14">
        <v>78.534667999999996</v>
      </c>
      <c r="Q14">
        <v>83.595207000000002</v>
      </c>
      <c r="R14">
        <v>86.039185000000003</v>
      </c>
      <c r="S14">
        <v>88.515411</v>
      </c>
      <c r="T14">
        <v>95.596076999999994</v>
      </c>
      <c r="U14">
        <v>96.886512999999994</v>
      </c>
      <c r="V14">
        <v>97.53389</v>
      </c>
      <c r="W14">
        <v>99.622542999999993</v>
      </c>
      <c r="X14">
        <v>101.389252</v>
      </c>
      <c r="Y14">
        <v>103.63239299999999</v>
      </c>
      <c r="Z14">
        <v>105.836853</v>
      </c>
      <c r="AA14">
        <v>107.997787</v>
      </c>
      <c r="AB14">
        <v>110.179535</v>
      </c>
      <c r="AC14">
        <v>112.372353</v>
      </c>
      <c r="AD14">
        <v>114.801529</v>
      </c>
      <c r="AE14" s="4">
        <v>7.516044741575608</v>
      </c>
    </row>
    <row r="15" spans="1:31" x14ac:dyDescent="0.25">
      <c r="A15" t="s">
        <v>29</v>
      </c>
      <c r="B15" t="s">
        <v>44</v>
      </c>
      <c r="C15" t="s">
        <v>31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s="4" t="e">
        <v>#DIV/0!</v>
      </c>
    </row>
    <row r="16" spans="1:31" x14ac:dyDescent="0.25">
      <c r="A16" t="s">
        <v>29</v>
      </c>
      <c r="B16" s="6" t="s">
        <v>45</v>
      </c>
      <c r="C16" t="s">
        <v>31</v>
      </c>
      <c r="D16">
        <v>0</v>
      </c>
      <c r="E16">
        <v>0</v>
      </c>
      <c r="F16">
        <v>3.297E-3</v>
      </c>
      <c r="G16">
        <v>1.4116E-2</v>
      </c>
      <c r="H16">
        <v>2.3748999999999999E-2</v>
      </c>
      <c r="I16">
        <v>5.9211E-2</v>
      </c>
      <c r="J16">
        <v>9.5770999999999995E-2</v>
      </c>
      <c r="K16">
        <v>0.13551199999999999</v>
      </c>
      <c r="L16">
        <v>0.32590200000000003</v>
      </c>
      <c r="M16">
        <v>0.38018200000000002</v>
      </c>
      <c r="N16">
        <v>0.44343100000000002</v>
      </c>
      <c r="O16">
        <v>0.51089300000000004</v>
      </c>
      <c r="P16">
        <v>0.57428400000000002</v>
      </c>
      <c r="Q16">
        <v>0.63436999999999999</v>
      </c>
      <c r="R16">
        <v>0.69406400000000001</v>
      </c>
      <c r="S16">
        <v>0.81935400000000003</v>
      </c>
      <c r="T16">
        <v>0.87946999999999997</v>
      </c>
      <c r="U16">
        <v>0.93901400000000002</v>
      </c>
      <c r="V16">
        <v>0.99542600000000003</v>
      </c>
      <c r="W16">
        <v>1.0487850000000001</v>
      </c>
      <c r="X16">
        <v>1.0994539999999999</v>
      </c>
      <c r="Y16">
        <v>1.149948</v>
      </c>
      <c r="Z16">
        <v>1.2002079999999999</v>
      </c>
      <c r="AA16">
        <v>1.2529809999999999</v>
      </c>
      <c r="AB16">
        <v>1.3066720000000001</v>
      </c>
      <c r="AC16">
        <v>1.363675</v>
      </c>
      <c r="AD16">
        <v>1.4218789999999999</v>
      </c>
      <c r="AE16" s="4" t="e">
        <v>#DIV/0!</v>
      </c>
    </row>
    <row r="17" spans="1:31" x14ac:dyDescent="0.25">
      <c r="A17" t="s">
        <v>29</v>
      </c>
      <c r="B17" s="6" t="s">
        <v>46</v>
      </c>
      <c r="C17" t="s">
        <v>31</v>
      </c>
      <c r="D17">
        <v>135.296738</v>
      </c>
      <c r="E17">
        <v>132.91009500000001</v>
      </c>
      <c r="F17">
        <v>131.29531900000001</v>
      </c>
      <c r="G17">
        <v>131.74894699999999</v>
      </c>
      <c r="H17">
        <v>131.146591</v>
      </c>
      <c r="I17">
        <v>136.25708</v>
      </c>
      <c r="J17">
        <v>141.29568499999999</v>
      </c>
      <c r="K17">
        <v>147.557816</v>
      </c>
      <c r="L17">
        <v>143.26831100000001</v>
      </c>
      <c r="M17">
        <v>144.64750699999999</v>
      </c>
      <c r="N17">
        <v>156.37591599999999</v>
      </c>
      <c r="O17">
        <v>163.16532900000001</v>
      </c>
      <c r="P17">
        <v>167.34848</v>
      </c>
      <c r="Q17">
        <v>168.563751</v>
      </c>
      <c r="R17">
        <v>166.250473</v>
      </c>
      <c r="S17">
        <v>173.05860899999999</v>
      </c>
      <c r="T17">
        <v>179.29188500000001</v>
      </c>
      <c r="U17">
        <v>180.76496900000001</v>
      </c>
      <c r="V17">
        <v>189.99279799999999</v>
      </c>
      <c r="W17">
        <v>190.69712799999999</v>
      </c>
      <c r="X17">
        <v>195.838898</v>
      </c>
      <c r="Y17">
        <v>197.64378400000001</v>
      </c>
      <c r="Z17">
        <v>198.53834499999999</v>
      </c>
      <c r="AA17">
        <v>202.21734599999999</v>
      </c>
      <c r="AB17">
        <v>205.268417</v>
      </c>
      <c r="AC17">
        <v>208.47714199999999</v>
      </c>
      <c r="AD17">
        <v>213.547989</v>
      </c>
      <c r="AE17" s="4">
        <v>0.57836761001584525</v>
      </c>
    </row>
    <row r="18" spans="1:31" x14ac:dyDescent="0.25">
      <c r="A18" t="s">
        <v>75</v>
      </c>
      <c r="B18" t="s">
        <v>47</v>
      </c>
      <c r="C18" t="s">
        <v>48</v>
      </c>
      <c r="D18">
        <v>14.802915</v>
      </c>
      <c r="E18">
        <v>14.572672000000001</v>
      </c>
      <c r="F18">
        <v>14.608763</v>
      </c>
      <c r="G18">
        <v>14.726048</v>
      </c>
      <c r="H18">
        <v>14.716240000000001</v>
      </c>
      <c r="I18">
        <v>14.891348000000001</v>
      </c>
      <c r="J18">
        <v>14.927244</v>
      </c>
      <c r="K18">
        <v>14.844775</v>
      </c>
      <c r="L18">
        <v>15.070535</v>
      </c>
      <c r="M18">
        <v>15.346947</v>
      </c>
      <c r="N18">
        <v>15.201242000000001</v>
      </c>
      <c r="O18">
        <v>15.073041</v>
      </c>
      <c r="P18">
        <v>15.054344</v>
      </c>
      <c r="Q18">
        <v>15.034115999999999</v>
      </c>
      <c r="R18">
        <v>14.992881000000001</v>
      </c>
      <c r="S18">
        <v>14.931763</v>
      </c>
      <c r="T18">
        <v>15.009123000000001</v>
      </c>
      <c r="U18">
        <v>15.040082</v>
      </c>
      <c r="V18">
        <v>15.018492999999999</v>
      </c>
      <c r="W18">
        <v>15.069951</v>
      </c>
      <c r="X18">
        <v>15.220806</v>
      </c>
      <c r="Y18">
        <v>15.477271</v>
      </c>
      <c r="Z18">
        <v>15.651835</v>
      </c>
      <c r="AA18">
        <v>15.74226</v>
      </c>
      <c r="AB18">
        <v>15.832122</v>
      </c>
      <c r="AC18">
        <v>15.850004999999999</v>
      </c>
      <c r="AD18">
        <v>15.869431000000001</v>
      </c>
      <c r="AE18" s="4" cm="1">
        <f t="array" ref="AE18:AE22">(AD18:AD22-D18:D22)/D18:D22</f>
        <v>7.2047701415565782E-2</v>
      </c>
    </row>
    <row r="19" spans="1:31" x14ac:dyDescent="0.25">
      <c r="A19" t="s">
        <v>75</v>
      </c>
      <c r="B19" t="s">
        <v>49</v>
      </c>
      <c r="C19" t="s">
        <v>48</v>
      </c>
      <c r="D19">
        <v>11.212020000000001</v>
      </c>
      <c r="E19">
        <v>10.928259000000001</v>
      </c>
      <c r="F19">
        <v>10.997208000000001</v>
      </c>
      <c r="G19">
        <v>11.071585000000001</v>
      </c>
      <c r="H19">
        <v>11.063211000000001</v>
      </c>
      <c r="I19">
        <v>11.173681</v>
      </c>
      <c r="J19">
        <v>11.137737</v>
      </c>
      <c r="K19">
        <v>11.006701</v>
      </c>
      <c r="L19">
        <v>11.218992</v>
      </c>
      <c r="M19">
        <v>11.342369</v>
      </c>
      <c r="N19">
        <v>11.107265</v>
      </c>
      <c r="O19">
        <v>10.929589999999999</v>
      </c>
      <c r="P19">
        <v>10.860974000000001</v>
      </c>
      <c r="Q19">
        <v>10.789025000000001</v>
      </c>
      <c r="R19">
        <v>10.697782999999999</v>
      </c>
      <c r="S19">
        <v>10.600307000000001</v>
      </c>
      <c r="T19">
        <v>10.620645</v>
      </c>
      <c r="U19">
        <v>10.591805000000001</v>
      </c>
      <c r="V19">
        <v>10.522582</v>
      </c>
      <c r="W19">
        <v>10.523175999999999</v>
      </c>
      <c r="X19">
        <v>10.638311</v>
      </c>
      <c r="Y19">
        <v>10.820729</v>
      </c>
      <c r="Z19">
        <v>10.898184000000001</v>
      </c>
      <c r="AA19">
        <v>10.929918000000001</v>
      </c>
      <c r="AB19">
        <v>10.9335</v>
      </c>
      <c r="AC19">
        <v>10.872204</v>
      </c>
      <c r="AD19">
        <v>10.830914</v>
      </c>
      <c r="AE19" s="4">
        <v>-3.3990841971384356E-2</v>
      </c>
    </row>
    <row r="20" spans="1:31" x14ac:dyDescent="0.25">
      <c r="A20" t="s">
        <v>75</v>
      </c>
      <c r="B20" t="s">
        <v>50</v>
      </c>
      <c r="C20" t="s">
        <v>48</v>
      </c>
      <c r="D20">
        <v>9.6953329999999998</v>
      </c>
      <c r="E20">
        <v>9.4714480000000005</v>
      </c>
      <c r="F20">
        <v>9.5362310000000008</v>
      </c>
      <c r="G20">
        <v>9.5680110000000003</v>
      </c>
      <c r="H20">
        <v>9.5604060000000004</v>
      </c>
      <c r="I20">
        <v>9.6928380000000001</v>
      </c>
      <c r="J20">
        <v>9.6310920000000007</v>
      </c>
      <c r="K20">
        <v>9.5300360000000008</v>
      </c>
      <c r="L20">
        <v>9.8730530000000005</v>
      </c>
      <c r="M20">
        <v>9.9490160000000003</v>
      </c>
      <c r="N20">
        <v>9.7312499999999993</v>
      </c>
      <c r="O20">
        <v>9.5940069999999995</v>
      </c>
      <c r="P20">
        <v>9.5525500000000001</v>
      </c>
      <c r="Q20">
        <v>9.490634</v>
      </c>
      <c r="R20">
        <v>9.4116850000000003</v>
      </c>
      <c r="S20">
        <v>9.3382509999999996</v>
      </c>
      <c r="T20">
        <v>9.3803800000000006</v>
      </c>
      <c r="U20">
        <v>9.3604479999999999</v>
      </c>
      <c r="V20">
        <v>9.3016799999999993</v>
      </c>
      <c r="W20">
        <v>9.3080219999999994</v>
      </c>
      <c r="X20">
        <v>9.4475119999999997</v>
      </c>
      <c r="Y20">
        <v>9.634074</v>
      </c>
      <c r="Z20">
        <v>9.6934190000000005</v>
      </c>
      <c r="AA20">
        <v>9.7370009999999994</v>
      </c>
      <c r="AB20">
        <v>9.7356639999999999</v>
      </c>
      <c r="AC20">
        <v>9.6711159999999996</v>
      </c>
      <c r="AD20">
        <v>9.6358979999999992</v>
      </c>
      <c r="AE20" s="4">
        <v>-6.1302690686333905E-3</v>
      </c>
    </row>
    <row r="21" spans="1:31" x14ac:dyDescent="0.25">
      <c r="A21" t="s">
        <v>75</v>
      </c>
      <c r="B21" t="s">
        <v>51</v>
      </c>
      <c r="C21" t="s">
        <v>48</v>
      </c>
      <c r="D21">
        <v>12.021971000000001</v>
      </c>
      <c r="E21">
        <v>11.872510999999999</v>
      </c>
      <c r="F21">
        <v>11.828234999999999</v>
      </c>
      <c r="G21">
        <v>11.894961</v>
      </c>
      <c r="H21">
        <v>11.837954</v>
      </c>
      <c r="I21">
        <v>11.978524999999999</v>
      </c>
      <c r="J21">
        <v>11.965512</v>
      </c>
      <c r="K21">
        <v>11.815942</v>
      </c>
      <c r="L21">
        <v>11.945713</v>
      </c>
      <c r="M21">
        <v>12.154992</v>
      </c>
      <c r="N21">
        <v>11.947668999999999</v>
      </c>
      <c r="O21">
        <v>11.752352999999999</v>
      </c>
      <c r="P21">
        <v>11.675808999999999</v>
      </c>
      <c r="Q21">
        <v>11.604450999999999</v>
      </c>
      <c r="R21">
        <v>11.509596999999999</v>
      </c>
      <c r="S21">
        <v>11.400435</v>
      </c>
      <c r="T21">
        <v>11.389628</v>
      </c>
      <c r="U21">
        <v>11.363194</v>
      </c>
      <c r="V21">
        <v>11.285353000000001</v>
      </c>
      <c r="W21">
        <v>11.267913999999999</v>
      </c>
      <c r="X21">
        <v>11.353254</v>
      </c>
      <c r="Y21">
        <v>11.540086000000001</v>
      </c>
      <c r="Z21">
        <v>11.642110000000001</v>
      </c>
      <c r="AA21">
        <v>11.664630000000001</v>
      </c>
      <c r="AB21">
        <v>11.685836999999999</v>
      </c>
      <c r="AC21">
        <v>11.630630999999999</v>
      </c>
      <c r="AD21">
        <v>11.578148000000001</v>
      </c>
      <c r="AE21" s="4">
        <v>-3.6917656846784948E-2</v>
      </c>
    </row>
    <row r="22" spans="1:31" x14ac:dyDescent="0.25">
      <c r="A22" t="s">
        <v>75</v>
      </c>
      <c r="B22" t="s">
        <v>52</v>
      </c>
      <c r="C22" t="s">
        <v>48</v>
      </c>
      <c r="D22">
        <v>11.861715999999999</v>
      </c>
      <c r="E22">
        <v>11.549299</v>
      </c>
      <c r="F22">
        <v>11.614005000000001</v>
      </c>
      <c r="G22">
        <v>11.700668</v>
      </c>
      <c r="H22">
        <v>11.710049</v>
      </c>
      <c r="I22">
        <v>11.85787</v>
      </c>
      <c r="J22">
        <v>11.837503</v>
      </c>
      <c r="K22">
        <v>11.729339</v>
      </c>
      <c r="L22">
        <v>11.982051</v>
      </c>
      <c r="M22">
        <v>12.123075</v>
      </c>
      <c r="N22">
        <v>11.902265</v>
      </c>
      <c r="O22">
        <v>11.738054</v>
      </c>
      <c r="P22">
        <v>11.685072</v>
      </c>
      <c r="Q22">
        <v>11.627589</v>
      </c>
      <c r="R22">
        <v>11.550653000000001</v>
      </c>
      <c r="S22">
        <v>11.469531999999999</v>
      </c>
      <c r="T22">
        <v>11.508851</v>
      </c>
      <c r="U22">
        <v>11.496414</v>
      </c>
      <c r="V22">
        <v>11.442762</v>
      </c>
      <c r="W22">
        <v>11.458852</v>
      </c>
      <c r="X22">
        <v>11.592492</v>
      </c>
      <c r="Y22">
        <v>11.795780000000001</v>
      </c>
      <c r="Z22">
        <v>11.894499</v>
      </c>
      <c r="AA22">
        <v>11.947006999999999</v>
      </c>
      <c r="AB22">
        <v>11.972250000000001</v>
      </c>
      <c r="AC22">
        <v>11.927974000000001</v>
      </c>
      <c r="AD22">
        <v>11.902122</v>
      </c>
      <c r="AE22" s="4">
        <v>3.4064211282752708E-3</v>
      </c>
    </row>
    <row r="23" spans="1:31" x14ac:dyDescent="0.25">
      <c r="A23" t="s">
        <v>74</v>
      </c>
      <c r="B23" t="s">
        <v>47</v>
      </c>
      <c r="C23" t="s">
        <v>53</v>
      </c>
      <c r="D23">
        <v>14.802915</v>
      </c>
      <c r="E23">
        <v>14.871646</v>
      </c>
      <c r="F23">
        <v>15.160242</v>
      </c>
      <c r="G23">
        <v>15.536654</v>
      </c>
      <c r="H23">
        <v>15.819476999999999</v>
      </c>
      <c r="I23">
        <v>16.291668000000001</v>
      </c>
      <c r="J23">
        <v>16.636091</v>
      </c>
      <c r="K23">
        <v>16.884312000000001</v>
      </c>
      <c r="L23">
        <v>17.503295999999999</v>
      </c>
      <c r="M23">
        <v>18.212237999999999</v>
      </c>
      <c r="N23">
        <v>18.438756999999999</v>
      </c>
      <c r="O23">
        <v>18.67963</v>
      </c>
      <c r="P23">
        <v>19.042563999999999</v>
      </c>
      <c r="Q23">
        <v>19.412506</v>
      </c>
      <c r="R23">
        <v>19.759218000000001</v>
      </c>
      <c r="S23">
        <v>20.081704999999999</v>
      </c>
      <c r="T23">
        <v>20.610448999999999</v>
      </c>
      <c r="U23">
        <v>21.093997999999999</v>
      </c>
      <c r="V23">
        <v>21.523132</v>
      </c>
      <c r="W23">
        <v>22.077728</v>
      </c>
      <c r="X23">
        <v>22.795377999999999</v>
      </c>
      <c r="Y23">
        <v>23.702480000000001</v>
      </c>
      <c r="Z23">
        <v>24.511934</v>
      </c>
      <c r="AA23">
        <v>25.215703999999999</v>
      </c>
      <c r="AB23">
        <v>25.937892999999999</v>
      </c>
      <c r="AC23">
        <v>26.553585000000002</v>
      </c>
      <c r="AD23">
        <v>27.181764999999999</v>
      </c>
      <c r="AE23" s="4" cm="1">
        <f t="array" ref="AE23:AE27">(AD23:AD27-D23:D27)/D23:D27</f>
        <v>0.83624407760228292</v>
      </c>
    </row>
    <row r="24" spans="1:31" x14ac:dyDescent="0.25">
      <c r="A24" t="s">
        <v>74</v>
      </c>
      <c r="B24" t="s">
        <v>49</v>
      </c>
      <c r="C24" t="s">
        <v>53</v>
      </c>
      <c r="D24">
        <v>11.212020000000001</v>
      </c>
      <c r="E24">
        <v>11.152462999999999</v>
      </c>
      <c r="F24">
        <v>11.412350999999999</v>
      </c>
      <c r="G24">
        <v>11.681027</v>
      </c>
      <c r="H24">
        <v>11.892590999999999</v>
      </c>
      <c r="I24">
        <v>12.224408</v>
      </c>
      <c r="J24">
        <v>12.412767000000001</v>
      </c>
      <c r="K24">
        <v>12.518921000000001</v>
      </c>
      <c r="L24">
        <v>13.030018</v>
      </c>
      <c r="M24">
        <v>13.460001999999999</v>
      </c>
      <c r="N24">
        <v>13.472856999999999</v>
      </c>
      <c r="O24">
        <v>13.544759000000001</v>
      </c>
      <c r="P24">
        <v>13.73828</v>
      </c>
      <c r="Q24">
        <v>13.931115999999999</v>
      </c>
      <c r="R24">
        <v>14.098679000000001</v>
      </c>
      <c r="S24">
        <v>14.256335999999999</v>
      </c>
      <c r="T24">
        <v>14.584213</v>
      </c>
      <c r="U24">
        <v>14.855206000000001</v>
      </c>
      <c r="V24">
        <v>15.080004000000001</v>
      </c>
      <c r="W24">
        <v>15.416627</v>
      </c>
      <c r="X24">
        <v>15.932423999999999</v>
      </c>
      <c r="Y24">
        <v>16.571273999999999</v>
      </c>
      <c r="Z24">
        <v>17.067364000000001</v>
      </c>
      <c r="AA24">
        <v>17.507370000000002</v>
      </c>
      <c r="AB24">
        <v>17.912443</v>
      </c>
      <c r="AC24">
        <v>18.214251999999998</v>
      </c>
      <c r="AD24">
        <v>18.551603</v>
      </c>
      <c r="AE24" s="4">
        <v>0.65461736600541198</v>
      </c>
    </row>
    <row r="25" spans="1:31" x14ac:dyDescent="0.25">
      <c r="A25" t="s">
        <v>74</v>
      </c>
      <c r="B25" t="s">
        <v>50</v>
      </c>
      <c r="C25" t="s">
        <v>53</v>
      </c>
      <c r="D25">
        <v>9.6953329999999998</v>
      </c>
      <c r="E25">
        <v>9.6657650000000004</v>
      </c>
      <c r="F25">
        <v>9.8962219999999999</v>
      </c>
      <c r="G25">
        <v>10.094688</v>
      </c>
      <c r="H25">
        <v>10.277123</v>
      </c>
      <c r="I25">
        <v>10.604312</v>
      </c>
      <c r="J25">
        <v>10.733644</v>
      </c>
      <c r="K25">
        <v>10.839376</v>
      </c>
      <c r="L25">
        <v>11.466809</v>
      </c>
      <c r="M25">
        <v>11.806507</v>
      </c>
      <c r="N25">
        <v>11.803782</v>
      </c>
      <c r="O25">
        <v>11.889606000000001</v>
      </c>
      <c r="P25">
        <v>12.083227000000001</v>
      </c>
      <c r="Q25">
        <v>12.254594000000001</v>
      </c>
      <c r="R25">
        <v>12.403722999999999</v>
      </c>
      <c r="S25">
        <v>12.558999</v>
      </c>
      <c r="T25">
        <v>12.881088</v>
      </c>
      <c r="U25">
        <v>13.128204999999999</v>
      </c>
      <c r="V25">
        <v>13.330317000000001</v>
      </c>
      <c r="W25">
        <v>13.636407999999999</v>
      </c>
      <c r="X25">
        <v>14.149027</v>
      </c>
      <c r="Y25">
        <v>14.753985999999999</v>
      </c>
      <c r="Z25">
        <v>15.180612999999999</v>
      </c>
      <c r="AA25">
        <v>15.596576000000001</v>
      </c>
      <c r="AB25">
        <v>15.950018</v>
      </c>
      <c r="AC25">
        <v>16.202065000000001</v>
      </c>
      <c r="AD25">
        <v>16.504732000000001</v>
      </c>
      <c r="AE25" s="4">
        <v>0.70233781552423225</v>
      </c>
    </row>
    <row r="26" spans="1:31" x14ac:dyDescent="0.25">
      <c r="A26" t="s">
        <v>74</v>
      </c>
      <c r="B26" t="s">
        <v>51</v>
      </c>
      <c r="C26" t="s">
        <v>53</v>
      </c>
      <c r="D26">
        <v>12.021971000000001</v>
      </c>
      <c r="E26">
        <v>12.116088</v>
      </c>
      <c r="F26">
        <v>12.274749</v>
      </c>
      <c r="G26">
        <v>12.549727000000001</v>
      </c>
      <c r="H26">
        <v>12.725413</v>
      </c>
      <c r="I26">
        <v>13.104937</v>
      </c>
      <c r="J26">
        <v>13.335305</v>
      </c>
      <c r="K26">
        <v>13.439344</v>
      </c>
      <c r="L26">
        <v>13.874048999999999</v>
      </c>
      <c r="M26">
        <v>14.424341999999999</v>
      </c>
      <c r="N26">
        <v>14.492247000000001</v>
      </c>
      <c r="O26">
        <v>14.564387</v>
      </c>
      <c r="P26">
        <v>14.768983</v>
      </c>
      <c r="Q26">
        <v>14.984018000000001</v>
      </c>
      <c r="R26">
        <v>15.168574</v>
      </c>
      <c r="S26">
        <v>15.332428</v>
      </c>
      <c r="T26">
        <v>15.640179</v>
      </c>
      <c r="U26">
        <v>15.937094</v>
      </c>
      <c r="V26">
        <v>16.173138000000002</v>
      </c>
      <c r="W26">
        <v>16.507681000000002</v>
      </c>
      <c r="X26">
        <v>17.003157000000002</v>
      </c>
      <c r="Y26">
        <v>17.672926</v>
      </c>
      <c r="Z26">
        <v>18.232406999999998</v>
      </c>
      <c r="AA26">
        <v>18.684221000000001</v>
      </c>
      <c r="AB26">
        <v>19.145</v>
      </c>
      <c r="AC26">
        <v>19.484850000000002</v>
      </c>
      <c r="AD26">
        <v>19.831491</v>
      </c>
      <c r="AE26" s="4">
        <v>0.64960396261145525</v>
      </c>
    </row>
    <row r="27" spans="1:31" x14ac:dyDescent="0.25">
      <c r="A27" t="s">
        <v>74</v>
      </c>
      <c r="B27" t="s">
        <v>52</v>
      </c>
      <c r="C27" t="s">
        <v>53</v>
      </c>
      <c r="D27">
        <v>11.861715999999999</v>
      </c>
      <c r="E27">
        <v>11.786244999999999</v>
      </c>
      <c r="F27">
        <v>12.052432</v>
      </c>
      <c r="G27">
        <v>12.344739000000001</v>
      </c>
      <c r="H27">
        <v>12.587918999999999</v>
      </c>
      <c r="I27">
        <v>12.972936000000001</v>
      </c>
      <c r="J27">
        <v>13.192641</v>
      </c>
      <c r="K27">
        <v>13.340842</v>
      </c>
      <c r="L27">
        <v>13.916252999999999</v>
      </c>
      <c r="M27">
        <v>14.386467</v>
      </c>
      <c r="N27">
        <v>14.437172</v>
      </c>
      <c r="O27">
        <v>14.546666999999999</v>
      </c>
      <c r="P27">
        <v>14.7807</v>
      </c>
      <c r="Q27">
        <v>15.013895</v>
      </c>
      <c r="R27">
        <v>15.222682000000001</v>
      </c>
      <c r="S27">
        <v>15.425356000000001</v>
      </c>
      <c r="T27">
        <v>15.803894</v>
      </c>
      <c r="U27">
        <v>16.123937999999999</v>
      </c>
      <c r="V27">
        <v>16.398721999999999</v>
      </c>
      <c r="W27">
        <v>16.787409</v>
      </c>
      <c r="X27">
        <v>17.361447999999999</v>
      </c>
      <c r="Y27">
        <v>18.064505</v>
      </c>
      <c r="Z27">
        <v>18.627668</v>
      </c>
      <c r="AA27">
        <v>19.136527999999998</v>
      </c>
      <c r="AB27">
        <v>19.614235000000001</v>
      </c>
      <c r="AC27">
        <v>19.982987999999999</v>
      </c>
      <c r="AD27">
        <v>20.386407999999999</v>
      </c>
      <c r="AE27" s="4">
        <v>0.7186727451576147</v>
      </c>
    </row>
    <row r="28" spans="1:31" x14ac:dyDescent="0.25">
      <c r="A28" t="s">
        <v>76</v>
      </c>
      <c r="B28" t="s">
        <v>54</v>
      </c>
      <c r="C28" t="s">
        <v>48</v>
      </c>
      <c r="D28">
        <v>7.248132</v>
      </c>
      <c r="E28">
        <v>6.9400839999999997</v>
      </c>
      <c r="F28">
        <v>6.8978859999999997</v>
      </c>
      <c r="G28">
        <v>6.8974700000000002</v>
      </c>
      <c r="H28">
        <v>6.8177009999999996</v>
      </c>
      <c r="I28">
        <v>6.8648569999999998</v>
      </c>
      <c r="J28">
        <v>6.7693159999999999</v>
      </c>
      <c r="K28">
        <v>6.6127359999999999</v>
      </c>
      <c r="L28">
        <v>6.8142860000000001</v>
      </c>
      <c r="M28">
        <v>6.8914479999999996</v>
      </c>
      <c r="N28">
        <v>6.6074299999999999</v>
      </c>
      <c r="O28">
        <v>6.4090249999999997</v>
      </c>
      <c r="P28">
        <v>6.3312150000000003</v>
      </c>
      <c r="Q28">
        <v>6.2422180000000003</v>
      </c>
      <c r="R28">
        <v>6.1416149999999998</v>
      </c>
      <c r="S28">
        <v>6.0361060000000002</v>
      </c>
      <c r="T28">
        <v>6.0413690000000004</v>
      </c>
      <c r="U28">
        <v>5.9966239999999997</v>
      </c>
      <c r="V28">
        <v>5.9243730000000001</v>
      </c>
      <c r="W28">
        <v>5.9061969999999997</v>
      </c>
      <c r="X28">
        <v>5.9976630000000002</v>
      </c>
      <c r="Y28">
        <v>6.163894</v>
      </c>
      <c r="Z28">
        <v>6.2226920000000003</v>
      </c>
      <c r="AA28">
        <v>6.2348039999999996</v>
      </c>
      <c r="AB28">
        <v>6.220942</v>
      </c>
      <c r="AC28">
        <v>6.1413450000000003</v>
      </c>
      <c r="AD28">
        <v>6.0797689999999998</v>
      </c>
      <c r="AE28" s="4" cm="1">
        <f t="array" ref="AE28:AE30">(AD28:AD30-D28:D30)/D28:D30</f>
        <v>-0.16119504997977413</v>
      </c>
    </row>
    <row r="29" spans="1:31" x14ac:dyDescent="0.25">
      <c r="A29" t="s">
        <v>76</v>
      </c>
      <c r="B29" t="s">
        <v>55</v>
      </c>
      <c r="C29" t="s">
        <v>48</v>
      </c>
      <c r="D29">
        <v>1.3177270000000001</v>
      </c>
      <c r="E29">
        <v>1.320945</v>
      </c>
      <c r="F29">
        <v>1.363154</v>
      </c>
      <c r="G29">
        <v>1.3927719999999999</v>
      </c>
      <c r="H29">
        <v>1.425597</v>
      </c>
      <c r="I29">
        <v>1.46905</v>
      </c>
      <c r="J29">
        <v>1.497314</v>
      </c>
      <c r="K29">
        <v>1.508019</v>
      </c>
      <c r="L29">
        <v>1.528208</v>
      </c>
      <c r="M29">
        <v>1.569069</v>
      </c>
      <c r="N29">
        <v>1.614339</v>
      </c>
      <c r="O29">
        <v>1.631148</v>
      </c>
      <c r="P29">
        <v>1.6343490000000001</v>
      </c>
      <c r="Q29">
        <v>1.6425959999999999</v>
      </c>
      <c r="R29">
        <v>1.6404829999999999</v>
      </c>
      <c r="S29">
        <v>1.6358779999999999</v>
      </c>
      <c r="T29">
        <v>1.6419969999999999</v>
      </c>
      <c r="U29">
        <v>1.6461870000000001</v>
      </c>
      <c r="V29">
        <v>1.6351549999999999</v>
      </c>
      <c r="W29">
        <v>1.637116</v>
      </c>
      <c r="X29">
        <v>1.644622</v>
      </c>
      <c r="Y29">
        <v>1.646466</v>
      </c>
      <c r="Z29">
        <v>1.6508579999999999</v>
      </c>
      <c r="AA29">
        <v>1.6563950000000001</v>
      </c>
      <c r="AB29">
        <v>1.662755</v>
      </c>
      <c r="AC29">
        <v>1.667675</v>
      </c>
      <c r="AD29">
        <v>1.6744250000000001</v>
      </c>
      <c r="AE29" s="4">
        <v>0.27069188079169654</v>
      </c>
    </row>
    <row r="30" spans="1:31" x14ac:dyDescent="0.25">
      <c r="A30" t="s">
        <v>76</v>
      </c>
      <c r="B30" t="s">
        <v>56</v>
      </c>
      <c r="C30" t="s">
        <v>48</v>
      </c>
      <c r="D30">
        <v>3.2958560000000001</v>
      </c>
      <c r="E30">
        <v>3.2882709999999999</v>
      </c>
      <c r="F30">
        <v>3.3529650000000002</v>
      </c>
      <c r="G30">
        <v>3.410428</v>
      </c>
      <c r="H30">
        <v>3.4667490000000001</v>
      </c>
      <c r="I30">
        <v>3.5239630000000002</v>
      </c>
      <c r="J30">
        <v>3.5708739999999999</v>
      </c>
      <c r="K30">
        <v>3.6085829999999999</v>
      </c>
      <c r="L30">
        <v>3.6395569999999999</v>
      </c>
      <c r="M30">
        <v>3.6625589999999999</v>
      </c>
      <c r="N30">
        <v>3.6804960000000002</v>
      </c>
      <c r="O30">
        <v>3.6978810000000002</v>
      </c>
      <c r="P30">
        <v>3.7195079999999998</v>
      </c>
      <c r="Q30">
        <v>3.7427760000000001</v>
      </c>
      <c r="R30">
        <v>3.768554</v>
      </c>
      <c r="S30">
        <v>3.7975490000000001</v>
      </c>
      <c r="T30">
        <v>3.825485</v>
      </c>
      <c r="U30">
        <v>3.853602</v>
      </c>
      <c r="V30">
        <v>3.8832339999999999</v>
      </c>
      <c r="W30">
        <v>3.91554</v>
      </c>
      <c r="X30">
        <v>3.9502079999999999</v>
      </c>
      <c r="Y30">
        <v>3.98542</v>
      </c>
      <c r="Z30">
        <v>4.02095</v>
      </c>
      <c r="AA30">
        <v>4.0558079999999999</v>
      </c>
      <c r="AB30">
        <v>4.0885530000000001</v>
      </c>
      <c r="AC30">
        <v>4.1189539999999996</v>
      </c>
      <c r="AD30">
        <v>4.1479280000000003</v>
      </c>
      <c r="AE30" s="4">
        <v>0.25852828521634447</v>
      </c>
    </row>
    <row r="31" spans="1:31" x14ac:dyDescent="0.25">
      <c r="A31" t="s">
        <v>77</v>
      </c>
      <c r="B31" t="s">
        <v>54</v>
      </c>
      <c r="C31" t="s">
        <v>53</v>
      </c>
      <c r="D31">
        <v>7.248132</v>
      </c>
      <c r="E31">
        <v>7.0824670000000003</v>
      </c>
      <c r="F31">
        <v>7.1582800000000004</v>
      </c>
      <c r="G31">
        <v>7.277145</v>
      </c>
      <c r="H31">
        <v>7.3288060000000002</v>
      </c>
      <c r="I31">
        <v>7.5103989999999996</v>
      </c>
      <c r="J31">
        <v>7.5442559999999999</v>
      </c>
      <c r="K31">
        <v>7.5212659999999998</v>
      </c>
      <c r="L31">
        <v>7.9142809999999999</v>
      </c>
      <c r="M31">
        <v>8.1780880000000007</v>
      </c>
      <c r="N31">
        <v>8.0146599999999992</v>
      </c>
      <c r="O31">
        <v>7.942539</v>
      </c>
      <c r="P31">
        <v>8.0084909999999994</v>
      </c>
      <c r="Q31">
        <v>8.0601420000000008</v>
      </c>
      <c r="R31">
        <v>8.0940759999999994</v>
      </c>
      <c r="S31">
        <v>8.1179489999999994</v>
      </c>
      <c r="T31">
        <v>8.2959770000000006</v>
      </c>
      <c r="U31">
        <v>8.4103779999999997</v>
      </c>
      <c r="V31">
        <v>8.4902709999999999</v>
      </c>
      <c r="W31">
        <v>8.6526770000000006</v>
      </c>
      <c r="X31">
        <v>8.9823749999999993</v>
      </c>
      <c r="Y31">
        <v>9.4396199999999997</v>
      </c>
      <c r="Z31">
        <v>9.745196</v>
      </c>
      <c r="AA31">
        <v>9.9868109999999994</v>
      </c>
      <c r="AB31">
        <v>10.191820999999999</v>
      </c>
      <c r="AC31">
        <v>10.288622999999999</v>
      </c>
      <c r="AD31">
        <v>10.41366</v>
      </c>
      <c r="AE31" s="4" cm="1">
        <f t="array" ref="AE31:AE33">(AD31:AD33-D31:D33)/D31:D33</f>
        <v>0.43673707929160233</v>
      </c>
    </row>
    <row r="32" spans="1:31" x14ac:dyDescent="0.25">
      <c r="A32" t="s">
        <v>77</v>
      </c>
      <c r="B32" t="s">
        <v>55</v>
      </c>
      <c r="C32" t="s">
        <v>53</v>
      </c>
      <c r="D32">
        <v>1.3177270000000001</v>
      </c>
      <c r="E32">
        <v>1.3480460000000001</v>
      </c>
      <c r="F32">
        <v>1.4146129999999999</v>
      </c>
      <c r="G32">
        <v>1.469438</v>
      </c>
      <c r="H32">
        <v>1.5324709999999999</v>
      </c>
      <c r="I32">
        <v>1.6071930000000001</v>
      </c>
      <c r="J32">
        <v>1.6687240000000001</v>
      </c>
      <c r="K32">
        <v>1.7152069999999999</v>
      </c>
      <c r="L32">
        <v>1.774899</v>
      </c>
      <c r="M32">
        <v>1.862015</v>
      </c>
      <c r="N32">
        <v>1.958156</v>
      </c>
      <c r="O32">
        <v>2.021439</v>
      </c>
      <c r="P32">
        <v>2.067323</v>
      </c>
      <c r="Q32">
        <v>2.1209690000000001</v>
      </c>
      <c r="R32">
        <v>2.1620029999999999</v>
      </c>
      <c r="S32">
        <v>2.2000890000000002</v>
      </c>
      <c r="T32">
        <v>2.2547809999999999</v>
      </c>
      <c r="U32">
        <v>2.3088090000000001</v>
      </c>
      <c r="V32">
        <v>2.3433549999999999</v>
      </c>
      <c r="W32">
        <v>2.3984019999999999</v>
      </c>
      <c r="X32">
        <v>2.4630610000000002</v>
      </c>
      <c r="Y32">
        <v>2.521461</v>
      </c>
      <c r="Z32">
        <v>2.5853670000000002</v>
      </c>
      <c r="AA32">
        <v>2.653187</v>
      </c>
      <c r="AB32">
        <v>2.7241040000000001</v>
      </c>
      <c r="AC32">
        <v>2.7938640000000001</v>
      </c>
      <c r="AD32">
        <v>2.86802</v>
      </c>
      <c r="AE32" s="4">
        <v>1.1764902745409329</v>
      </c>
    </row>
    <row r="33" spans="1:31" x14ac:dyDescent="0.25">
      <c r="A33" t="s">
        <v>77</v>
      </c>
      <c r="B33" t="s">
        <v>56</v>
      </c>
      <c r="C33" t="s">
        <v>53</v>
      </c>
      <c r="D33">
        <v>3.2958560000000001</v>
      </c>
      <c r="E33">
        <v>3.355734</v>
      </c>
      <c r="F33">
        <v>3.4795389999999999</v>
      </c>
      <c r="G33">
        <v>3.598157</v>
      </c>
      <c r="H33">
        <v>3.7266430000000001</v>
      </c>
      <c r="I33">
        <v>3.855343</v>
      </c>
      <c r="J33">
        <v>3.9796619999999998</v>
      </c>
      <c r="K33">
        <v>4.1043690000000002</v>
      </c>
      <c r="L33">
        <v>4.2270719999999997</v>
      </c>
      <c r="M33">
        <v>4.3463620000000001</v>
      </c>
      <c r="N33">
        <v>4.4643560000000004</v>
      </c>
      <c r="O33">
        <v>4.5826890000000002</v>
      </c>
      <c r="P33">
        <v>4.704885</v>
      </c>
      <c r="Q33">
        <v>4.8327859999999996</v>
      </c>
      <c r="R33">
        <v>4.9666030000000001</v>
      </c>
      <c r="S33">
        <v>5.1073170000000001</v>
      </c>
      <c r="T33">
        <v>5.2531359999999996</v>
      </c>
      <c r="U33">
        <v>5.4047499999999999</v>
      </c>
      <c r="V33">
        <v>5.5650959999999996</v>
      </c>
      <c r="W33">
        <v>5.7363309999999998</v>
      </c>
      <c r="X33">
        <v>5.9160120000000003</v>
      </c>
      <c r="Y33">
        <v>6.1034240000000004</v>
      </c>
      <c r="Z33">
        <v>6.2971060000000003</v>
      </c>
      <c r="AA33">
        <v>6.4965289999999998</v>
      </c>
      <c r="AB33">
        <v>6.6983090000000001</v>
      </c>
      <c r="AC33">
        <v>6.9005029999999996</v>
      </c>
      <c r="AD33">
        <v>7.1047289999999998</v>
      </c>
      <c r="AE33" s="4">
        <v>1.1556551621187332</v>
      </c>
    </row>
    <row r="34" spans="1:31" x14ac:dyDescent="0.25">
      <c r="A34" t="s">
        <v>57</v>
      </c>
      <c r="B34" t="s">
        <v>58</v>
      </c>
      <c r="C34" t="s">
        <v>59</v>
      </c>
      <c r="D34">
        <v>19.555353</v>
      </c>
      <c r="E34">
        <v>17.770966999999999</v>
      </c>
      <c r="F34">
        <v>14.921158999999999</v>
      </c>
      <c r="G34">
        <v>13.793262</v>
      </c>
      <c r="H34">
        <v>13.306497999999999</v>
      </c>
      <c r="I34">
        <v>14.249931</v>
      </c>
      <c r="J34">
        <v>13.119319000000001</v>
      </c>
      <c r="K34">
        <v>13.200716999999999</v>
      </c>
      <c r="L34">
        <v>8.5112319999999997</v>
      </c>
      <c r="M34">
        <v>6.8249050000000002</v>
      </c>
      <c r="N34">
        <v>6.2124230000000003</v>
      </c>
      <c r="O34">
        <v>6.4088089999999998</v>
      </c>
      <c r="P34">
        <v>5.9787340000000002</v>
      </c>
      <c r="Q34">
        <v>5.543317</v>
      </c>
      <c r="R34">
        <v>5.3728259999999999</v>
      </c>
      <c r="S34">
        <v>5.6219190000000001</v>
      </c>
      <c r="T34">
        <v>5.721311</v>
      </c>
      <c r="U34">
        <v>5.4818740000000004</v>
      </c>
      <c r="V34">
        <v>6.3004170000000004</v>
      </c>
      <c r="W34">
        <v>6.1969669999999999</v>
      </c>
      <c r="X34">
        <v>6.8186869999999997</v>
      </c>
      <c r="Y34">
        <v>6.4058020000000004</v>
      </c>
      <c r="Z34">
        <v>6.3197950000000001</v>
      </c>
      <c r="AA34">
        <v>6.4082150000000002</v>
      </c>
      <c r="AB34">
        <v>6.7166319999999997</v>
      </c>
      <c r="AC34">
        <v>6.8189520000000003</v>
      </c>
      <c r="AD34">
        <v>7.1251059999999997</v>
      </c>
      <c r="AE34" s="4" cm="1">
        <f t="array" ref="AE34:AE38">(AD34:AD38-D34:D38)/D34:D38</f>
        <v>-0.63564421465570076</v>
      </c>
    </row>
    <row r="35" spans="1:31" x14ac:dyDescent="0.25">
      <c r="A35" t="s">
        <v>57</v>
      </c>
      <c r="B35" t="s">
        <v>60</v>
      </c>
      <c r="C35" t="s">
        <v>59</v>
      </c>
      <c r="D35">
        <v>71.702950000000001</v>
      </c>
      <c r="E35">
        <v>65.160255000000006</v>
      </c>
      <c r="F35">
        <v>54.710948999999999</v>
      </c>
      <c r="G35">
        <v>50.575287000000003</v>
      </c>
      <c r="H35">
        <v>48.790503999999999</v>
      </c>
      <c r="I35">
        <v>52.249732999999999</v>
      </c>
      <c r="J35">
        <v>48.10416</v>
      </c>
      <c r="K35">
        <v>48.402641000000003</v>
      </c>
      <c r="L35">
        <v>31.207847999999998</v>
      </c>
      <c r="M35">
        <v>25.024650999999999</v>
      </c>
      <c r="N35">
        <v>22.778888999999999</v>
      </c>
      <c r="O35">
        <v>23.498961999999999</v>
      </c>
      <c r="P35">
        <v>21.922025999999999</v>
      </c>
      <c r="Q35">
        <v>20.325481</v>
      </c>
      <c r="R35">
        <v>19.70035</v>
      </c>
      <c r="S35">
        <v>20.613699</v>
      </c>
      <c r="T35">
        <v>20.97813</v>
      </c>
      <c r="U35">
        <v>20.100197000000001</v>
      </c>
      <c r="V35">
        <v>23.101521999999999</v>
      </c>
      <c r="W35">
        <v>22.722216</v>
      </c>
      <c r="X35">
        <v>25.001857999999999</v>
      </c>
      <c r="Y35">
        <v>23.487946000000001</v>
      </c>
      <c r="Z35">
        <v>23.172571000000001</v>
      </c>
      <c r="AA35">
        <v>23.496784000000002</v>
      </c>
      <c r="AB35">
        <v>24.627652999999999</v>
      </c>
      <c r="AC35">
        <v>25.002818999999999</v>
      </c>
      <c r="AD35">
        <v>26.125395000000001</v>
      </c>
      <c r="AE35" s="4">
        <v>-0.63564407043224869</v>
      </c>
    </row>
    <row r="36" spans="1:31" x14ac:dyDescent="0.25">
      <c r="A36" t="s">
        <v>57</v>
      </c>
      <c r="B36" t="s">
        <v>61</v>
      </c>
      <c r="C36" t="s">
        <v>59</v>
      </c>
      <c r="D36">
        <v>9.469E-3</v>
      </c>
      <c r="E36">
        <v>8.0680000000000005E-3</v>
      </c>
      <c r="F36">
        <v>6.6100000000000004E-3</v>
      </c>
      <c r="G36">
        <v>5.2750000000000002E-3</v>
      </c>
      <c r="H36">
        <v>4.1609999999999998E-3</v>
      </c>
      <c r="I36">
        <v>4.2589999999999998E-3</v>
      </c>
      <c r="J36">
        <v>3.0829999999999998E-3</v>
      </c>
      <c r="K36">
        <v>3.2690000000000002E-3</v>
      </c>
      <c r="L36">
        <v>1.2999999999999999E-5</v>
      </c>
      <c r="M36">
        <v>1.5E-5</v>
      </c>
      <c r="N36">
        <v>1.5999999999999999E-5</v>
      </c>
      <c r="O36">
        <v>1.7E-5</v>
      </c>
      <c r="P36">
        <v>1.9000000000000001E-5</v>
      </c>
      <c r="Q36">
        <v>2.3E-5</v>
      </c>
      <c r="R36">
        <v>2.4000000000000001E-5</v>
      </c>
      <c r="S36">
        <v>1.35E-4</v>
      </c>
      <c r="T36">
        <v>1.3899999999999999E-4</v>
      </c>
      <c r="U36">
        <v>1.4300000000000001E-4</v>
      </c>
      <c r="V36">
        <v>1.47E-4</v>
      </c>
      <c r="W36">
        <v>1.5100000000000001E-4</v>
      </c>
      <c r="X36">
        <v>1.54E-4</v>
      </c>
      <c r="Y36">
        <v>1.5699999999999999E-4</v>
      </c>
      <c r="Z36">
        <v>1.5899999999999999E-4</v>
      </c>
      <c r="AA36">
        <v>1.6200000000000001E-4</v>
      </c>
      <c r="AB36">
        <v>1.63E-4</v>
      </c>
      <c r="AC36">
        <v>1.63E-4</v>
      </c>
      <c r="AD36">
        <v>1.65E-4</v>
      </c>
      <c r="AE36" s="4">
        <v>-0.98257471749920788</v>
      </c>
    </row>
    <row r="37" spans="1:31" x14ac:dyDescent="0.25">
      <c r="A37" t="s">
        <v>57</v>
      </c>
      <c r="B37" t="s">
        <v>62</v>
      </c>
      <c r="C37" t="s">
        <v>59</v>
      </c>
      <c r="D37">
        <v>6.5291000000000002E-2</v>
      </c>
      <c r="E37">
        <v>5.987E-2</v>
      </c>
      <c r="F37">
        <v>4.4177000000000001E-2</v>
      </c>
      <c r="G37">
        <v>3.9645E-2</v>
      </c>
      <c r="H37">
        <v>3.3676999999999999E-2</v>
      </c>
      <c r="I37">
        <v>3.7423999999999999E-2</v>
      </c>
      <c r="J37">
        <v>3.9344999999999998E-2</v>
      </c>
      <c r="K37">
        <v>4.0436E-2</v>
      </c>
      <c r="L37">
        <v>1.1219E-2</v>
      </c>
      <c r="M37">
        <v>6.1260000000000004E-3</v>
      </c>
      <c r="N37">
        <v>5.3940000000000004E-3</v>
      </c>
      <c r="O37">
        <v>6.1199999999999996E-3</v>
      </c>
      <c r="P37">
        <v>5.4330000000000003E-3</v>
      </c>
      <c r="Q37">
        <v>5.0460000000000001E-3</v>
      </c>
      <c r="R37">
        <v>4.9309999999999996E-3</v>
      </c>
      <c r="S37">
        <v>5.2360000000000002E-3</v>
      </c>
      <c r="T37">
        <v>5.4949999999999999E-3</v>
      </c>
      <c r="U37">
        <v>5.208E-3</v>
      </c>
      <c r="V37">
        <v>6.1980000000000004E-3</v>
      </c>
      <c r="W37">
        <v>5.7590000000000002E-3</v>
      </c>
      <c r="X37">
        <v>7.7590000000000003E-3</v>
      </c>
      <c r="Y37">
        <v>6.1760000000000001E-3</v>
      </c>
      <c r="Z37">
        <v>6.3330000000000001E-3</v>
      </c>
      <c r="AA37">
        <v>6.2950000000000002E-3</v>
      </c>
      <c r="AB37">
        <v>6.594E-3</v>
      </c>
      <c r="AC37">
        <v>6.4689999999999999E-3</v>
      </c>
      <c r="AD37">
        <v>6.6470000000000001E-3</v>
      </c>
      <c r="AE37" s="4">
        <v>-0.89819423810326082</v>
      </c>
    </row>
    <row r="38" spans="1:31" x14ac:dyDescent="0.25">
      <c r="A38" t="s">
        <v>57</v>
      </c>
      <c r="B38" t="s">
        <v>63</v>
      </c>
      <c r="C38" t="s">
        <v>64</v>
      </c>
      <c r="D38">
        <v>0.12488</v>
      </c>
      <c r="E38">
        <v>0.113498</v>
      </c>
      <c r="F38">
        <v>9.1203999999999993E-2</v>
      </c>
      <c r="G38">
        <v>7.7701999999999993E-2</v>
      </c>
      <c r="H38">
        <v>7.7533000000000005E-2</v>
      </c>
      <c r="I38">
        <v>8.9132000000000003E-2</v>
      </c>
      <c r="J38">
        <v>7.6543E-2</v>
      </c>
      <c r="K38">
        <v>7.0354E-2</v>
      </c>
      <c r="L38">
        <v>9.9999999999999995E-7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 s="4">
        <v>-1</v>
      </c>
    </row>
    <row r="39" spans="1:31" x14ac:dyDescent="0.25">
      <c r="A39" t="s">
        <v>65</v>
      </c>
      <c r="B39" t="s">
        <v>66</v>
      </c>
      <c r="C39" t="s">
        <v>71</v>
      </c>
      <c r="D39" cm="1">
        <f t="array" ref="D39:D42">907185*D34:D37*10^6/(D17*10^9)</f>
        <v>131.12158632608717</v>
      </c>
      <c r="E39" cm="1">
        <f t="array" ref="E39:E42">907185*E34:E37*10^6/(E17*10^9)</f>
        <v>121.29669080362179</v>
      </c>
      <c r="F39" cm="1">
        <f t="array" ref="F39:F42">907185*F34:F37*10^6/(F17*10^9)</f>
        <v>103.09774735697165</v>
      </c>
      <c r="G39" cm="1">
        <f t="array" ref="G39:G42">907185*G34:G37*10^6/(G17*10^9)</f>
        <v>94.976397704871232</v>
      </c>
      <c r="H39" cm="1">
        <f t="array" ref="H39:H42">907185*H34:H37*10^6/(H17*10^9)</f>
        <v>92.045514077678163</v>
      </c>
      <c r="I39" cm="1">
        <f t="array" ref="I39:I42">907185*I34:I37*10^6/(I17*10^9)</f>
        <v>94.874509671240574</v>
      </c>
      <c r="J39" cm="1">
        <f t="array" ref="J39:J42">907185*J34:J37*10^6/(J17*10^9)</f>
        <v>84.23222129546987</v>
      </c>
      <c r="K39" cm="1">
        <f t="array" ref="K39:K42">907185*K34:K37*10^6/(K17*10^9)</f>
        <v>81.15796761077705</v>
      </c>
      <c r="L39" cm="1">
        <f t="array" ref="L39:L42">907185*L34:L37*10^6/(L17*10^9)</f>
        <v>53.893718352832401</v>
      </c>
      <c r="M39" cm="1">
        <f t="array" ref="M39:M42">907185*M34:M37*10^6/(M17*10^9)</f>
        <v>42.803720374005479</v>
      </c>
      <c r="N39" cm="1">
        <f t="array" ref="N39:N42">907185*N34:N37*10^6/(N17*10^9)</f>
        <v>36.040185109163488</v>
      </c>
      <c r="O39" cm="1">
        <f t="array" ref="O39:O42">907185*O34:O37*10^6/(O17*10^9)</f>
        <v>35.632419143805976</v>
      </c>
      <c r="P39" cm="1">
        <f t="array" ref="P39:P42">907185*P34:P37*10^6/(P17*10^9)</f>
        <v>32.410320092480077</v>
      </c>
      <c r="Q39" cm="1">
        <f t="array" ref="Q39:Q42">907185*Q34:Q37*10^6/(Q17*10^9)</f>
        <v>29.833306406695947</v>
      </c>
      <c r="R39" cm="1">
        <f t="array" ref="R39:R42">907185*R34:R37*10^6/(R17*10^9)</f>
        <v>29.318094961510276</v>
      </c>
      <c r="S39" cm="1">
        <f t="array" ref="S39:S42">907185*S34:S37*10^6/(S17*10^9)</f>
        <v>29.470481806628875</v>
      </c>
      <c r="T39" cm="1">
        <f t="array" ref="T39:T42">907185*T34:T37*10^6/(T17*10^9)</f>
        <v>28.948814496177558</v>
      </c>
      <c r="U39" cm="1">
        <f t="array" ref="U39:U42">907185*U34:U37*10^6/(U17*10^9)</f>
        <v>27.511269977813011</v>
      </c>
      <c r="V39" cm="1">
        <f t="array" ref="V39:V42">907185*V34:V37*10^6/(V17*10^9)</f>
        <v>30.08347609126216</v>
      </c>
      <c r="W39" cm="1">
        <f t="array" ref="W39:W42">907185*W34:W37*10^6/(W17*10^9)</f>
        <v>29.480231647196071</v>
      </c>
      <c r="X39" cm="1">
        <f t="array" ref="X39:X42">907185*X34:X37*10^6/(X17*10^9)</f>
        <v>31.586220251785729</v>
      </c>
      <c r="Y39" cm="1">
        <f t="array" ref="Y39:Y42">907185*Y34:Y37*10^6/(Y17*10^9)</f>
        <v>29.402632198996958</v>
      </c>
      <c r="Z39" cm="1">
        <f t="array" ref="Z39:Z42">907185*Z34:Z37*10^6/(Z17*10^9)</f>
        <v>28.877158349813985</v>
      </c>
      <c r="AA39" cm="1">
        <f t="array" ref="AA39:AA42">907185*AA34:AA37*10^6/(AA17*10^9)</f>
        <v>28.748456251497831</v>
      </c>
      <c r="AB39" cm="1">
        <f t="array" ref="AB39:AB42">907185*AB34:AB37*10^6/(AB17*10^9)</f>
        <v>29.684195406057032</v>
      </c>
      <c r="AC39" cm="1">
        <f t="array" ref="AC39:AC42">907185*AC34:AC37*10^6/(AC17*10^9)</f>
        <v>29.67256223284182</v>
      </c>
      <c r="AD39" cm="1">
        <f t="array" ref="AD39:AD42">907185*AD34:AD37*10^6/(AD17*10^9)</f>
        <v>30.268556107124006</v>
      </c>
      <c r="AE39" s="4" cm="1">
        <f t="array" ref="AE39:AE43">(AD39:AD43-D39:D43)/D39:D43</f>
        <v>-0.76915657478510879</v>
      </c>
    </row>
    <row r="40" spans="1:31" x14ac:dyDescent="0.25">
      <c r="A40" t="s">
        <v>65</v>
      </c>
      <c r="B40" t="s">
        <v>67</v>
      </c>
      <c r="C40" t="s">
        <v>71</v>
      </c>
      <c r="D40">
        <v>480.77907610566336</v>
      </c>
      <c r="E40">
        <v>444.75482417024074</v>
      </c>
      <c r="F40">
        <v>378.02529935256109</v>
      </c>
      <c r="G40">
        <v>348.24674338456015</v>
      </c>
      <c r="H40">
        <v>337.50029668129156</v>
      </c>
      <c r="I40">
        <v>347.87310891738616</v>
      </c>
      <c r="J40">
        <v>308.85141601882606</v>
      </c>
      <c r="K40">
        <v>297.57928834881244</v>
      </c>
      <c r="L40">
        <v>197.61028374153165</v>
      </c>
      <c r="M40">
        <v>156.94697052355696</v>
      </c>
      <c r="N40">
        <v>132.14737247304117</v>
      </c>
      <c r="O40">
        <v>130.65217943433314</v>
      </c>
      <c r="P40">
        <v>118.83784756700508</v>
      </c>
      <c r="Q40">
        <v>109.38871122406975</v>
      </c>
      <c r="R40">
        <v>107.49961604470141</v>
      </c>
      <c r="S40">
        <v>108.05841232270046</v>
      </c>
      <c r="T40">
        <v>106.14560086782511</v>
      </c>
      <c r="U40">
        <v>100.87461810946898</v>
      </c>
      <c r="V40">
        <v>110.30604557742237</v>
      </c>
      <c r="W40">
        <v>108.09420014946421</v>
      </c>
      <c r="X40">
        <v>115.81616717292803</v>
      </c>
      <c r="Y40">
        <v>107.80967587632303</v>
      </c>
      <c r="Z40">
        <v>105.88286520991703</v>
      </c>
      <c r="AA40">
        <v>105.41098681534473</v>
      </c>
      <c r="AB40">
        <v>108.84206013438977</v>
      </c>
      <c r="AC40">
        <v>108.79937309633205</v>
      </c>
      <c r="AD40">
        <v>110.98473263110429</v>
      </c>
      <c r="AE40" s="4">
        <v>-0.76915648341003806</v>
      </c>
    </row>
    <row r="41" spans="1:31" x14ac:dyDescent="0.25">
      <c r="A41" t="s">
        <v>65</v>
      </c>
      <c r="B41" t="s">
        <v>68</v>
      </c>
      <c r="C41" t="s">
        <v>71</v>
      </c>
      <c r="D41">
        <v>6.349107075294011E-2</v>
      </c>
      <c r="E41">
        <v>5.5068567816462695E-2</v>
      </c>
      <c r="F41">
        <v>4.567179466619066E-2</v>
      </c>
      <c r="G41">
        <v>3.6322118574503674E-2</v>
      </c>
      <c r="H41">
        <v>2.8783033979129506E-2</v>
      </c>
      <c r="I41">
        <v>2.835596443869192E-2</v>
      </c>
      <c r="J41">
        <v>1.9794315410268899E-2</v>
      </c>
      <c r="K41">
        <v>2.009780196936501E-2</v>
      </c>
      <c r="L41">
        <v>8.2316912356145524E-5</v>
      </c>
      <c r="M41">
        <v>9.4075420186813169E-5</v>
      </c>
      <c r="N41">
        <v>9.2820943092029583E-5</v>
      </c>
      <c r="O41">
        <v>9.4518517472544678E-5</v>
      </c>
      <c r="P41">
        <v>1.0299773861107075E-4</v>
      </c>
      <c r="Q41">
        <v>1.2378257410752564E-4</v>
      </c>
      <c r="R41">
        <v>1.3096167251205355E-4</v>
      </c>
      <c r="S41">
        <v>7.0767918283683878E-4</v>
      </c>
      <c r="T41">
        <v>7.0331523928146545E-4</v>
      </c>
      <c r="U41">
        <v>7.1765815975107427E-4</v>
      </c>
      <c r="V41">
        <v>7.0190131628042015E-4</v>
      </c>
      <c r="W41">
        <v>7.183376930563946E-4</v>
      </c>
      <c r="X41">
        <v>7.133745717870614E-4</v>
      </c>
      <c r="Y41">
        <v>7.2063002497462804E-4</v>
      </c>
      <c r="Z41">
        <v>7.2652169534303309E-4</v>
      </c>
      <c r="AA41">
        <v>7.2676243115167788E-4</v>
      </c>
      <c r="AB41">
        <v>7.2037947756960598E-4</v>
      </c>
      <c r="AC41">
        <v>7.0929193282973937E-4</v>
      </c>
      <c r="AD41">
        <v>7.0094560806189567E-4</v>
      </c>
      <c r="AE41" s="4">
        <v>-0.98895993405451521</v>
      </c>
    </row>
    <row r="42" spans="1:31" x14ac:dyDescent="0.25">
      <c r="A42" t="s">
        <v>65</v>
      </c>
      <c r="B42" t="s">
        <v>69</v>
      </c>
      <c r="C42" t="s">
        <v>71</v>
      </c>
      <c r="D42">
        <v>0.43778598590455298</v>
      </c>
      <c r="E42">
        <v>0.40864590421066205</v>
      </c>
      <c r="F42">
        <v>0.30524097926903243</v>
      </c>
      <c r="G42">
        <v>0.27298396035757316</v>
      </c>
      <c r="H42">
        <v>0.23295511543262304</v>
      </c>
      <c r="I42">
        <v>0.2491649713908444</v>
      </c>
      <c r="J42">
        <v>0.25261347382972094</v>
      </c>
      <c r="K42">
        <v>0.24860040392573987</v>
      </c>
      <c r="L42">
        <v>7.1039495363353591E-2</v>
      </c>
      <c r="M42">
        <v>3.8420401604294503E-2</v>
      </c>
      <c r="N42">
        <v>3.1292260439900479E-2</v>
      </c>
      <c r="O42">
        <v>3.4026666290116074E-2</v>
      </c>
      <c r="P42">
        <v>2.9451932309155125E-2</v>
      </c>
      <c r="Q42">
        <v>2.7156820388981501E-2</v>
      </c>
      <c r="R42">
        <v>2.6907166964872328E-2</v>
      </c>
      <c r="S42">
        <v>2.744746815802732E-2</v>
      </c>
      <c r="T42">
        <v>2.7803721150011892E-2</v>
      </c>
      <c r="U42">
        <v>2.6136809062822345E-2</v>
      </c>
      <c r="V42">
        <v>2.9594451417047925E-2</v>
      </c>
      <c r="W42">
        <v>2.7396733604713758E-2</v>
      </c>
      <c r="X42">
        <v>3.5942034431790969E-2</v>
      </c>
      <c r="Y42">
        <v>2.8347840982441423E-2</v>
      </c>
      <c r="Z42">
        <v>2.8937496205078166E-2</v>
      </c>
      <c r="AA42">
        <v>2.824055249444328E-2</v>
      </c>
      <c r="AB42">
        <v>2.9142222546588839E-2</v>
      </c>
      <c r="AC42">
        <v>2.8149751616414614E-2</v>
      </c>
      <c r="AD42">
        <v>2.8237487616893455E-2</v>
      </c>
      <c r="AE42" s="4">
        <v>-0.93549933409003683</v>
      </c>
    </row>
    <row r="43" spans="1:31" x14ac:dyDescent="0.25">
      <c r="A43" t="s">
        <v>65</v>
      </c>
      <c r="B43" t="s">
        <v>70</v>
      </c>
      <c r="C43" t="s">
        <v>71</v>
      </c>
      <c r="D43">
        <f>907185*D38/(D17*10^9)</f>
        <v>8.3733920325558777E-7</v>
      </c>
      <c r="E43">
        <f>907185*E38/(E17*10^9)</f>
        <v>7.7468670178890468E-7</v>
      </c>
      <c r="F43">
        <f>907185*F38/(F17*10^9)</f>
        <v>6.3017403339413793E-7</v>
      </c>
      <c r="G43">
        <f>907185*G38/(G17*10^9)</f>
        <v>5.3503341373954207E-7</v>
      </c>
      <c r="H43">
        <f>907185*H38/(H17*10^9)</f>
        <v>5.3632179127706036E-7</v>
      </c>
      <c r="I43">
        <f>907185*I38/(I17*10^9)</f>
        <v>5.9343128019476122E-7</v>
      </c>
      <c r="J43">
        <f>907185*J38/(J17*10^9)</f>
        <v>4.9144219411229712E-7</v>
      </c>
      <c r="K43">
        <f>907185*K38/(K17*10^9)</f>
        <v>4.325361761250248E-7</v>
      </c>
      <c r="L43">
        <f>907185*L38/(L17*10^9)</f>
        <v>6.3320701812419633E-12</v>
      </c>
      <c r="M43">
        <f>907185*M38/(M17*10^9)</f>
        <v>0</v>
      </c>
      <c r="N43">
        <f>907185*N38/(N17*10^9)</f>
        <v>0</v>
      </c>
      <c r="O43">
        <f>907185*O38/(O17*10^9)</f>
        <v>0</v>
      </c>
      <c r="P43">
        <f>907185*P38/(P17*10^9)</f>
        <v>0</v>
      </c>
      <c r="Q43">
        <f>907185*Q38/(Q17*10^9)</f>
        <v>0</v>
      </c>
      <c r="R43">
        <f>907185*R38/(R17*10^9)</f>
        <v>0</v>
      </c>
      <c r="S43">
        <f>907185*S38/(S17*10^9)</f>
        <v>0</v>
      </c>
      <c r="T43">
        <f>907185*T38/(T17*10^9)</f>
        <v>0</v>
      </c>
      <c r="U43">
        <f>907185*U38/(U17*10^9)</f>
        <v>0</v>
      </c>
      <c r="V43">
        <f>907185*V38/(V17*10^9)</f>
        <v>0</v>
      </c>
      <c r="W43">
        <f>907185*W38/(W17*10^9)</f>
        <v>0</v>
      </c>
      <c r="X43">
        <f>907185*X38/(X17*10^9)</f>
        <v>0</v>
      </c>
      <c r="Y43">
        <f>907185*Y38/(Y17*10^9)</f>
        <v>0</v>
      </c>
      <c r="Z43">
        <f>907185*Z38/(Z17*10^9)</f>
        <v>0</v>
      </c>
      <c r="AA43">
        <f>907185*AA38/(AA17*10^9)</f>
        <v>0</v>
      </c>
      <c r="AB43">
        <f>907185*AB38/(AB17*10^9)</f>
        <v>0</v>
      </c>
      <c r="AC43">
        <f>907185*AC38/(AC17*10^9)</f>
        <v>0</v>
      </c>
      <c r="AD43">
        <f>907185*AD38/(AD17*10^9)</f>
        <v>0</v>
      </c>
      <c r="AE43" s="4">
        <v>-1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E43"/>
  <sheetViews>
    <sheetView tabSelected="1" topLeftCell="H1" zoomScale="55" zoomScaleNormal="55" workbookViewId="0">
      <selection sqref="A1:A1048576"/>
    </sheetView>
  </sheetViews>
  <sheetFormatPr defaultRowHeight="15" x14ac:dyDescent="0.25"/>
  <cols>
    <col min="1" max="1" width="50.28515625" bestFit="1" customWidth="1"/>
    <col min="2" max="2" width="35.7109375" bestFit="1" customWidth="1"/>
    <col min="3" max="3" width="17.5703125" bestFit="1" customWidth="1"/>
    <col min="4" max="30" width="16" bestFit="1" customWidth="1"/>
    <col min="31" max="31" width="27.42578125" bestFit="1" customWidth="1"/>
  </cols>
  <sheetData>
    <row r="1" spans="1:31" s="3" customFormat="1" ht="15.75" thickBot="1" x14ac:dyDescent="0.3">
      <c r="A1" s="3" t="s">
        <v>72</v>
      </c>
      <c r="B1" s="1" t="s">
        <v>73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</row>
    <row r="2" spans="1:31" ht="15.75" thickTop="1" x14ac:dyDescent="0.25">
      <c r="A2" t="s">
        <v>29</v>
      </c>
      <c r="B2" t="s">
        <v>30</v>
      </c>
      <c r="C2" t="s">
        <v>31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 s="4" t="e" cm="1">
        <f t="array" ref="AE2:AE17">(AD2:AD17-D2:D17)/D2:D17</f>
        <v>#DIV/0!</v>
      </c>
    </row>
    <row r="3" spans="1:31" x14ac:dyDescent="0.25">
      <c r="A3" t="s">
        <v>29</v>
      </c>
      <c r="B3" t="s">
        <v>32</v>
      </c>
      <c r="C3" t="s">
        <v>31</v>
      </c>
      <c r="D3">
        <v>1.0089999999999999E-3</v>
      </c>
      <c r="E3">
        <v>4.2240000000000003E-3</v>
      </c>
      <c r="F3">
        <v>1.122E-3</v>
      </c>
      <c r="G3">
        <v>1.122E-3</v>
      </c>
      <c r="H3">
        <v>5.4100000000000003E-4</v>
      </c>
      <c r="I3">
        <v>1.0399999999999999E-3</v>
      </c>
      <c r="J3">
        <v>1.122E-3</v>
      </c>
      <c r="K3">
        <v>1.122E-3</v>
      </c>
      <c r="L3">
        <v>1.122E-3</v>
      </c>
      <c r="M3">
        <v>5.4100000000000003E-4</v>
      </c>
      <c r="N3">
        <v>5.4100000000000003E-4</v>
      </c>
      <c r="O3">
        <v>5.4100000000000003E-4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 s="4">
        <v>-1</v>
      </c>
    </row>
    <row r="4" spans="1:31" x14ac:dyDescent="0.25">
      <c r="A4" t="s">
        <v>29</v>
      </c>
      <c r="B4" t="s">
        <v>33</v>
      </c>
      <c r="C4" t="s">
        <v>31</v>
      </c>
      <c r="D4">
        <v>59.134773000000003</v>
      </c>
      <c r="E4">
        <v>51.532505</v>
      </c>
      <c r="F4">
        <v>45.459578999999998</v>
      </c>
      <c r="G4">
        <v>39.273144000000002</v>
      </c>
      <c r="H4">
        <v>42.598824</v>
      </c>
      <c r="I4">
        <v>43.571872999999997</v>
      </c>
      <c r="J4">
        <v>47.872374999999998</v>
      </c>
      <c r="K4">
        <v>50.120407</v>
      </c>
      <c r="L4">
        <v>53.412094000000003</v>
      </c>
      <c r="M4">
        <v>49.345108000000003</v>
      </c>
      <c r="N4">
        <v>48.868518999999999</v>
      </c>
      <c r="O4">
        <v>47.532814000000002</v>
      </c>
      <c r="P4">
        <v>44.433593999999999</v>
      </c>
      <c r="Q4">
        <v>39.505592</v>
      </c>
      <c r="R4">
        <v>36.899807000000003</v>
      </c>
      <c r="S4">
        <v>33.355514999999997</v>
      </c>
      <c r="T4">
        <v>30.935825000000001</v>
      </c>
      <c r="U4">
        <v>30.467186000000002</v>
      </c>
      <c r="V4">
        <v>27.867546000000001</v>
      </c>
      <c r="W4">
        <v>28.482372000000002</v>
      </c>
      <c r="X4">
        <v>26.486000000000001</v>
      </c>
      <c r="Y4">
        <v>25.428474000000001</v>
      </c>
      <c r="Z4">
        <v>21.430225</v>
      </c>
      <c r="AA4">
        <v>23.267021</v>
      </c>
      <c r="AB4">
        <v>23.616990999999999</v>
      </c>
      <c r="AC4">
        <v>21.422398000000001</v>
      </c>
      <c r="AD4">
        <v>21.047976999999999</v>
      </c>
      <c r="AE4" s="4">
        <v>-0.64406767909635854</v>
      </c>
    </row>
    <row r="5" spans="1:31" x14ac:dyDescent="0.25">
      <c r="A5" t="s">
        <v>29</v>
      </c>
      <c r="B5" t="s">
        <v>34</v>
      </c>
      <c r="C5" t="s">
        <v>31</v>
      </c>
      <c r="D5">
        <v>17.044563</v>
      </c>
      <c r="E5">
        <v>17.308782999999998</v>
      </c>
      <c r="F5">
        <v>17.269386000000001</v>
      </c>
      <c r="G5">
        <v>17.229987999999999</v>
      </c>
      <c r="H5">
        <v>17.229987999999999</v>
      </c>
      <c r="I5">
        <v>17.229987999999999</v>
      </c>
      <c r="J5">
        <v>8.3055020000000006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 s="4">
        <v>-1</v>
      </c>
    </row>
    <row r="6" spans="1:31" x14ac:dyDescent="0.25">
      <c r="A6" t="s">
        <v>29</v>
      </c>
      <c r="B6" t="s">
        <v>35</v>
      </c>
      <c r="C6" t="s">
        <v>31</v>
      </c>
      <c r="D6">
        <v>-0.30295</v>
      </c>
      <c r="E6">
        <v>-0.50073699999999999</v>
      </c>
      <c r="F6">
        <v>-0.54480499999999998</v>
      </c>
      <c r="G6">
        <v>-0.58196000000000003</v>
      </c>
      <c r="H6">
        <v>-0.61479799999999996</v>
      </c>
      <c r="I6">
        <v>-0.59153100000000003</v>
      </c>
      <c r="J6">
        <v>-0.67400099999999996</v>
      </c>
      <c r="K6">
        <v>-0.69264300000000001</v>
      </c>
      <c r="L6">
        <v>-0.69789999999999996</v>
      </c>
      <c r="M6">
        <v>-0.73580999999999996</v>
      </c>
      <c r="N6">
        <v>-0.83527099999999999</v>
      </c>
      <c r="O6">
        <v>-0.82717600000000002</v>
      </c>
      <c r="P6">
        <v>-0.83975100000000003</v>
      </c>
      <c r="Q6">
        <v>-0.84111000000000002</v>
      </c>
      <c r="R6">
        <v>-0.84924100000000002</v>
      </c>
      <c r="S6">
        <v>-0.99134699999999998</v>
      </c>
      <c r="T6">
        <v>-1.1521330000000001</v>
      </c>
      <c r="U6">
        <v>-1.576511</v>
      </c>
      <c r="V6">
        <v>-2.0347629999999999</v>
      </c>
      <c r="W6">
        <v>-2.537525</v>
      </c>
      <c r="X6">
        <v>-2.52956</v>
      </c>
      <c r="Y6">
        <v>-2.4978340000000001</v>
      </c>
      <c r="Z6">
        <v>-2.529776</v>
      </c>
      <c r="AA6">
        <v>-2.590462</v>
      </c>
      <c r="AB6">
        <v>-2.592136</v>
      </c>
      <c r="AC6">
        <v>-3.0818469999999998</v>
      </c>
      <c r="AD6">
        <v>-3.1145200000000002</v>
      </c>
      <c r="AE6" s="4">
        <v>9.28064036969797</v>
      </c>
    </row>
    <row r="7" spans="1:31" x14ac:dyDescent="0.25">
      <c r="A7" t="s">
        <v>29</v>
      </c>
      <c r="B7" t="s">
        <v>36</v>
      </c>
      <c r="C7" t="s">
        <v>31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 s="4" t="e">
        <v>#DIV/0!</v>
      </c>
    </row>
    <row r="8" spans="1:31" x14ac:dyDescent="0.25">
      <c r="A8" t="s">
        <v>29</v>
      </c>
      <c r="B8" t="s">
        <v>37</v>
      </c>
      <c r="C8" t="s">
        <v>31</v>
      </c>
      <c r="D8">
        <v>20.506368999999999</v>
      </c>
      <c r="E8">
        <v>22.269444</v>
      </c>
      <c r="F8">
        <v>23.127009999999999</v>
      </c>
      <c r="G8">
        <v>23.966408000000001</v>
      </c>
      <c r="H8">
        <v>23.956776000000001</v>
      </c>
      <c r="I8">
        <v>23.955701999999999</v>
      </c>
      <c r="J8">
        <v>24.109741</v>
      </c>
      <c r="K8">
        <v>24.114061</v>
      </c>
      <c r="L8">
        <v>24.103770999999998</v>
      </c>
      <c r="M8">
        <v>24.139959000000001</v>
      </c>
      <c r="N8">
        <v>24.109734</v>
      </c>
      <c r="O8">
        <v>24.102160000000001</v>
      </c>
      <c r="P8">
        <v>22.147141000000001</v>
      </c>
      <c r="Q8">
        <v>22.994942000000002</v>
      </c>
      <c r="R8">
        <v>22.825292999999999</v>
      </c>
      <c r="S8">
        <v>22.711424000000001</v>
      </c>
      <c r="T8">
        <v>22.373594000000001</v>
      </c>
      <c r="U8">
        <v>22.689308</v>
      </c>
      <c r="V8">
        <v>22.668133000000001</v>
      </c>
      <c r="W8">
        <v>22.724606000000001</v>
      </c>
      <c r="X8">
        <v>22.717949000000001</v>
      </c>
      <c r="Y8">
        <v>22.575251000000002</v>
      </c>
      <c r="Z8">
        <v>22.751401999999999</v>
      </c>
      <c r="AA8">
        <v>22.500557000000001</v>
      </c>
      <c r="AB8">
        <v>22.492477000000001</v>
      </c>
      <c r="AC8">
        <v>22.587316999999999</v>
      </c>
      <c r="AD8">
        <v>22.643255</v>
      </c>
      <c r="AE8" s="4">
        <v>0.10420596644876529</v>
      </c>
    </row>
    <row r="9" spans="1:31" x14ac:dyDescent="0.25">
      <c r="A9" t="s">
        <v>29</v>
      </c>
      <c r="B9" t="s">
        <v>38</v>
      </c>
      <c r="C9" t="s">
        <v>31</v>
      </c>
      <c r="D9">
        <v>5.7094519999999997</v>
      </c>
      <c r="E9">
        <v>5.5245470000000001</v>
      </c>
      <c r="F9">
        <v>5.9176409999999997</v>
      </c>
      <c r="G9">
        <v>6.2153099999999997</v>
      </c>
      <c r="H9">
        <v>6.6883650000000001</v>
      </c>
      <c r="I9">
        <v>7.4537310000000003</v>
      </c>
      <c r="J9">
        <v>8.2286750000000008</v>
      </c>
      <c r="K9">
        <v>9.1062060000000002</v>
      </c>
      <c r="L9">
        <v>9.9803569999999997</v>
      </c>
      <c r="M9">
        <v>10.808971</v>
      </c>
      <c r="N9">
        <v>11.601863</v>
      </c>
      <c r="O9">
        <v>12.396963</v>
      </c>
      <c r="P9">
        <v>13.187182</v>
      </c>
      <c r="Q9">
        <v>13.96683</v>
      </c>
      <c r="R9">
        <v>14.730727999999999</v>
      </c>
      <c r="S9">
        <v>15.226868</v>
      </c>
      <c r="T9">
        <v>15.612754000000001</v>
      </c>
      <c r="U9">
        <v>15.998642</v>
      </c>
      <c r="V9">
        <v>16.384529000000001</v>
      </c>
      <c r="W9">
        <v>16.770417999999999</v>
      </c>
      <c r="X9">
        <v>17.156303000000001</v>
      </c>
      <c r="Y9">
        <v>17.542189</v>
      </c>
      <c r="Z9">
        <v>17.928072</v>
      </c>
      <c r="AA9">
        <v>18.313959000000001</v>
      </c>
      <c r="AB9">
        <v>18.636846999999999</v>
      </c>
      <c r="AC9">
        <v>18.731348000000001</v>
      </c>
      <c r="AD9">
        <v>18.951854999999998</v>
      </c>
      <c r="AE9" s="4">
        <v>2.3193824906488398</v>
      </c>
    </row>
    <row r="10" spans="1:31" x14ac:dyDescent="0.25">
      <c r="A10" t="s">
        <v>29</v>
      </c>
      <c r="B10" t="s">
        <v>39</v>
      </c>
      <c r="C10" t="s">
        <v>31</v>
      </c>
      <c r="D10">
        <v>0.43151800000000001</v>
      </c>
      <c r="E10">
        <v>0.47065099999999999</v>
      </c>
      <c r="F10">
        <v>0.49550899999999998</v>
      </c>
      <c r="G10">
        <v>0.51825600000000005</v>
      </c>
      <c r="H10">
        <v>0.54303599999999996</v>
      </c>
      <c r="I10">
        <v>0.56379100000000004</v>
      </c>
      <c r="J10">
        <v>0.584179</v>
      </c>
      <c r="K10">
        <v>0.60642499999999999</v>
      </c>
      <c r="L10">
        <v>0.62912100000000004</v>
      </c>
      <c r="M10">
        <v>0.65246999999999999</v>
      </c>
      <c r="N10">
        <v>0.67145600000000005</v>
      </c>
      <c r="O10">
        <v>0.69163699999999995</v>
      </c>
      <c r="P10">
        <v>0.71268699999999996</v>
      </c>
      <c r="Q10">
        <v>0.73529999999999995</v>
      </c>
      <c r="R10">
        <v>0.75883400000000001</v>
      </c>
      <c r="S10">
        <v>0.77515000000000001</v>
      </c>
      <c r="T10">
        <v>0.79186100000000004</v>
      </c>
      <c r="U10">
        <v>0.80886499999999995</v>
      </c>
      <c r="V10">
        <v>0.82612200000000002</v>
      </c>
      <c r="W10">
        <v>0.84352300000000002</v>
      </c>
      <c r="X10">
        <v>0.85253599999999996</v>
      </c>
      <c r="Y10">
        <v>0.86146299999999998</v>
      </c>
      <c r="Z10">
        <v>0.870448</v>
      </c>
      <c r="AA10">
        <v>0.87958999999999998</v>
      </c>
      <c r="AB10">
        <v>0.88874299999999995</v>
      </c>
      <c r="AC10">
        <v>0.88874299999999995</v>
      </c>
      <c r="AD10">
        <v>0.88874299999999995</v>
      </c>
      <c r="AE10" s="4">
        <v>1.0595734129283134</v>
      </c>
    </row>
    <row r="11" spans="1:31" x14ac:dyDescent="0.25">
      <c r="A11" t="s">
        <v>29</v>
      </c>
      <c r="B11" t="s">
        <v>40</v>
      </c>
      <c r="C11" t="s">
        <v>31</v>
      </c>
      <c r="D11">
        <v>1.8386929999999999</v>
      </c>
      <c r="E11">
        <v>1.877864</v>
      </c>
      <c r="F11">
        <v>1.8277749999999999</v>
      </c>
      <c r="G11">
        <v>1.82694</v>
      </c>
      <c r="H11">
        <v>1.8269409999999999</v>
      </c>
      <c r="I11">
        <v>1.8269409999999999</v>
      </c>
      <c r="J11">
        <v>1.828668</v>
      </c>
      <c r="K11">
        <v>1.8487929999999999</v>
      </c>
      <c r="L11">
        <v>1.892997</v>
      </c>
      <c r="M11">
        <v>1.888223</v>
      </c>
      <c r="N11">
        <v>1.887389</v>
      </c>
      <c r="O11">
        <v>1.887389</v>
      </c>
      <c r="P11">
        <v>1.8865609999999999</v>
      </c>
      <c r="Q11">
        <v>1.8865609999999999</v>
      </c>
      <c r="R11">
        <v>1.84893</v>
      </c>
      <c r="S11">
        <v>1.84893</v>
      </c>
      <c r="T11">
        <v>1.84893</v>
      </c>
      <c r="U11">
        <v>1.84893</v>
      </c>
      <c r="V11">
        <v>1.8865609999999999</v>
      </c>
      <c r="W11">
        <v>1.8865609999999999</v>
      </c>
      <c r="X11">
        <v>1.8865609999999999</v>
      </c>
      <c r="Y11">
        <v>1.8865609999999999</v>
      </c>
      <c r="Z11">
        <v>1.888223</v>
      </c>
      <c r="AA11">
        <v>1.8800809999999999</v>
      </c>
      <c r="AB11">
        <v>1.888223</v>
      </c>
      <c r="AC11">
        <v>1.871872</v>
      </c>
      <c r="AD11">
        <v>1.888223</v>
      </c>
      <c r="AE11" s="4">
        <v>2.6937612749926211E-2</v>
      </c>
    </row>
    <row r="12" spans="1:31" x14ac:dyDescent="0.25">
      <c r="A12" t="s">
        <v>29</v>
      </c>
      <c r="B12" t="s">
        <v>41</v>
      </c>
      <c r="C12" t="s">
        <v>31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s="4" t="e">
        <v>#DIV/0!</v>
      </c>
    </row>
    <row r="13" spans="1:31" x14ac:dyDescent="0.25">
      <c r="A13" t="s">
        <v>29</v>
      </c>
      <c r="B13" t="s">
        <v>42</v>
      </c>
      <c r="C13" t="s">
        <v>31</v>
      </c>
      <c r="D13">
        <v>13.301256</v>
      </c>
      <c r="E13">
        <v>15.241555</v>
      </c>
      <c r="F13">
        <v>18.899947999999998</v>
      </c>
      <c r="G13">
        <v>19.673862</v>
      </c>
      <c r="H13">
        <v>19.657112000000001</v>
      </c>
      <c r="I13">
        <v>19.714043</v>
      </c>
      <c r="J13">
        <v>19.608571999999999</v>
      </c>
      <c r="K13">
        <v>19.565888999999999</v>
      </c>
      <c r="L13">
        <v>19.633648000000001</v>
      </c>
      <c r="M13">
        <v>19.510002</v>
      </c>
      <c r="N13">
        <v>26.261156</v>
      </c>
      <c r="O13">
        <v>39.133037999999999</v>
      </c>
      <c r="P13">
        <v>45.126170999999999</v>
      </c>
      <c r="Q13">
        <v>48.993350999999997</v>
      </c>
      <c r="R13">
        <v>52.425983000000002</v>
      </c>
      <c r="S13">
        <v>56.406174</v>
      </c>
      <c r="T13">
        <v>57.611995999999998</v>
      </c>
      <c r="U13">
        <v>58.983685000000001</v>
      </c>
      <c r="V13">
        <v>64.751868999999999</v>
      </c>
      <c r="W13">
        <v>67.095650000000006</v>
      </c>
      <c r="X13">
        <v>67.759429999999995</v>
      </c>
      <c r="Y13">
        <v>70.971648999999999</v>
      </c>
      <c r="Z13">
        <v>74.162398999999994</v>
      </c>
      <c r="AA13">
        <v>81.495659000000003</v>
      </c>
      <c r="AB13">
        <v>82.843376000000006</v>
      </c>
      <c r="AC13">
        <v>87.795913999999996</v>
      </c>
      <c r="AD13">
        <v>88.349875999999995</v>
      </c>
      <c r="AE13" s="4">
        <v>5.6422205542093167</v>
      </c>
    </row>
    <row r="14" spans="1:31" x14ac:dyDescent="0.25">
      <c r="A14" t="s">
        <v>29</v>
      </c>
      <c r="B14" t="s">
        <v>43</v>
      </c>
      <c r="C14" t="s">
        <v>31</v>
      </c>
      <c r="D14">
        <v>4.146128</v>
      </c>
      <c r="E14">
        <v>4.2004089999999996</v>
      </c>
      <c r="F14">
        <v>4.6225100000000001</v>
      </c>
      <c r="G14">
        <v>4.775887</v>
      </c>
      <c r="H14">
        <v>4.7747469999999996</v>
      </c>
      <c r="I14">
        <v>4.7745959999999998</v>
      </c>
      <c r="J14">
        <v>4.7754580000000004</v>
      </c>
      <c r="K14">
        <v>4.7748179999999998</v>
      </c>
      <c r="L14">
        <v>7.9616040000000003</v>
      </c>
      <c r="M14">
        <v>8.7497399999999992</v>
      </c>
      <c r="N14">
        <v>8.7465100000000007</v>
      </c>
      <c r="O14">
        <v>8.7408169999999998</v>
      </c>
      <c r="P14">
        <v>8.7044969999999999</v>
      </c>
      <c r="Q14">
        <v>8.3227969999999996</v>
      </c>
      <c r="R14">
        <v>8.2240179999999992</v>
      </c>
      <c r="S14">
        <v>8.7974820000000005</v>
      </c>
      <c r="T14">
        <v>8.6878709999999995</v>
      </c>
      <c r="U14">
        <v>8.7543310000000005</v>
      </c>
      <c r="V14">
        <v>8.7498719999999999</v>
      </c>
      <c r="W14">
        <v>8.7623850000000001</v>
      </c>
      <c r="X14">
        <v>8.759544</v>
      </c>
      <c r="Y14">
        <v>8.7221270000000004</v>
      </c>
      <c r="Z14">
        <v>8.8138520000000007</v>
      </c>
      <c r="AA14">
        <v>8.697495</v>
      </c>
      <c r="AB14">
        <v>8.6856760000000008</v>
      </c>
      <c r="AC14">
        <v>7.8317870000000003</v>
      </c>
      <c r="AD14">
        <v>8.7032939999999996</v>
      </c>
      <c r="AE14" s="4">
        <v>1.0991377979647516</v>
      </c>
    </row>
    <row r="15" spans="1:31" x14ac:dyDescent="0.25">
      <c r="A15" t="s">
        <v>29</v>
      </c>
      <c r="B15" t="s">
        <v>44</v>
      </c>
      <c r="C15" t="s">
        <v>31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s="4" t="e">
        <v>#DIV/0!</v>
      </c>
    </row>
    <row r="16" spans="1:31" x14ac:dyDescent="0.25">
      <c r="A16" t="s">
        <v>29</v>
      </c>
      <c r="B16" s="6" t="s">
        <v>45</v>
      </c>
      <c r="C16" t="s">
        <v>31</v>
      </c>
      <c r="D16">
        <v>0</v>
      </c>
      <c r="E16">
        <v>0</v>
      </c>
      <c r="F16">
        <v>0</v>
      </c>
      <c r="G16">
        <v>6.0860000000000003E-3</v>
      </c>
      <c r="H16">
        <v>1.0912E-2</v>
      </c>
      <c r="I16">
        <v>2.2828000000000001E-2</v>
      </c>
      <c r="J16">
        <v>3.5579E-2</v>
      </c>
      <c r="K16">
        <v>4.8382000000000001E-2</v>
      </c>
      <c r="L16">
        <v>9.9140000000000006E-2</v>
      </c>
      <c r="M16">
        <v>0.11761199999999999</v>
      </c>
      <c r="N16">
        <v>0.13839899999999999</v>
      </c>
      <c r="O16">
        <v>0.15961400000000001</v>
      </c>
      <c r="P16">
        <v>0.17977499999999999</v>
      </c>
      <c r="Q16">
        <v>0.19919300000000001</v>
      </c>
      <c r="R16">
        <v>0.21873400000000001</v>
      </c>
      <c r="S16">
        <v>0.27845999999999999</v>
      </c>
      <c r="T16">
        <v>0.29768800000000001</v>
      </c>
      <c r="U16">
        <v>0.315772</v>
      </c>
      <c r="V16">
        <v>0.33290500000000001</v>
      </c>
      <c r="W16">
        <v>0.34854299999999999</v>
      </c>
      <c r="X16">
        <v>0.36368299999999998</v>
      </c>
      <c r="Y16">
        <v>0.37898500000000002</v>
      </c>
      <c r="Z16">
        <v>0.39377400000000001</v>
      </c>
      <c r="AA16">
        <v>0.40887000000000001</v>
      </c>
      <c r="AB16">
        <v>0.42382300000000001</v>
      </c>
      <c r="AC16">
        <v>0.43951600000000002</v>
      </c>
      <c r="AD16">
        <v>0.45482</v>
      </c>
      <c r="AE16" s="4" t="e">
        <v>#DIV/0!</v>
      </c>
    </row>
    <row r="17" spans="1:31" x14ac:dyDescent="0.25">
      <c r="A17" t="s">
        <v>29</v>
      </c>
      <c r="B17" s="6" t="s">
        <v>46</v>
      </c>
      <c r="C17" t="s">
        <v>31</v>
      </c>
      <c r="D17">
        <v>121.81081399999999</v>
      </c>
      <c r="E17">
        <v>117.92924499999999</v>
      </c>
      <c r="F17">
        <v>117.075676</v>
      </c>
      <c r="G17">
        <v>112.905045</v>
      </c>
      <c r="H17">
        <v>116.67243999999999</v>
      </c>
      <c r="I17">
        <v>118.52299499999999</v>
      </c>
      <c r="J17">
        <v>114.675865</v>
      </c>
      <c r="K17">
        <v>109.49346199999999</v>
      </c>
      <c r="L17">
        <v>117.015953</v>
      </c>
      <c r="M17">
        <v>114.476822</v>
      </c>
      <c r="N17">
        <v>121.45030199999999</v>
      </c>
      <c r="O17">
        <v>133.81778</v>
      </c>
      <c r="P17">
        <v>135.53787199999999</v>
      </c>
      <c r="Q17">
        <v>135.76345800000001</v>
      </c>
      <c r="R17">
        <v>137.08308400000001</v>
      </c>
      <c r="S17">
        <v>138.408661</v>
      </c>
      <c r="T17">
        <v>137.00839199999999</v>
      </c>
      <c r="U17">
        <v>138.29019199999999</v>
      </c>
      <c r="V17">
        <v>141.43277</v>
      </c>
      <c r="W17">
        <v>144.376541</v>
      </c>
      <c r="X17">
        <v>143.452438</v>
      </c>
      <c r="Y17">
        <v>145.868866</v>
      </c>
      <c r="Z17">
        <v>145.708618</v>
      </c>
      <c r="AA17">
        <v>154.852768</v>
      </c>
      <c r="AB17">
        <v>156.88403299999999</v>
      </c>
      <c r="AC17">
        <v>158.48704499999999</v>
      </c>
      <c r="AD17">
        <v>159.81352200000001</v>
      </c>
      <c r="AE17" s="4">
        <v>0.31198139764504007</v>
      </c>
    </row>
    <row r="18" spans="1:31" x14ac:dyDescent="0.25">
      <c r="A18" t="s">
        <v>75</v>
      </c>
      <c r="B18" t="s">
        <v>47</v>
      </c>
      <c r="C18" t="s">
        <v>48</v>
      </c>
      <c r="D18">
        <v>25.146118000000001</v>
      </c>
      <c r="E18">
        <v>24.778749000000001</v>
      </c>
      <c r="F18">
        <v>21.612715000000001</v>
      </c>
      <c r="G18">
        <v>20.176769</v>
      </c>
      <c r="H18">
        <v>19.848009000000001</v>
      </c>
      <c r="I18">
        <v>20.385922999999998</v>
      </c>
      <c r="J18">
        <v>20.834710999999999</v>
      </c>
      <c r="K18">
        <v>21.557585</v>
      </c>
      <c r="L18">
        <v>21.934559</v>
      </c>
      <c r="M18">
        <v>22.176182000000001</v>
      </c>
      <c r="N18">
        <v>22.197340000000001</v>
      </c>
      <c r="O18">
        <v>22.279160999999998</v>
      </c>
      <c r="P18">
        <v>22.261044999999999</v>
      </c>
      <c r="Q18">
        <v>22.388339999999999</v>
      </c>
      <c r="R18">
        <v>22.448945999999999</v>
      </c>
      <c r="S18">
        <v>22.164209</v>
      </c>
      <c r="T18">
        <v>22.094767000000001</v>
      </c>
      <c r="U18">
        <v>22.272358000000001</v>
      </c>
      <c r="V18">
        <v>22.556201999999999</v>
      </c>
      <c r="W18">
        <v>22.763475</v>
      </c>
      <c r="X18">
        <v>22.823578000000001</v>
      </c>
      <c r="Y18">
        <v>23.173089999999998</v>
      </c>
      <c r="Z18">
        <v>23.408480000000001</v>
      </c>
      <c r="AA18">
        <v>23.476338999999999</v>
      </c>
      <c r="AB18">
        <v>23.289370999999999</v>
      </c>
      <c r="AC18">
        <v>23.706112000000001</v>
      </c>
      <c r="AD18">
        <v>23.856847999999999</v>
      </c>
      <c r="AE18" s="4" cm="1">
        <f t="array" ref="AE18:AE22">(AD18:AD22-D18:D22)/D18:D22</f>
        <v>-5.1271134574330794E-2</v>
      </c>
    </row>
    <row r="19" spans="1:31" x14ac:dyDescent="0.25">
      <c r="A19" t="s">
        <v>75</v>
      </c>
      <c r="B19" t="s">
        <v>49</v>
      </c>
      <c r="C19" t="s">
        <v>48</v>
      </c>
      <c r="D19">
        <v>22.244050999999999</v>
      </c>
      <c r="E19">
        <v>21.399446000000001</v>
      </c>
      <c r="F19">
        <v>17.980839</v>
      </c>
      <c r="G19">
        <v>16.499300000000002</v>
      </c>
      <c r="H19">
        <v>16.144144000000001</v>
      </c>
      <c r="I19">
        <v>16.567582999999999</v>
      </c>
      <c r="J19">
        <v>16.934681000000001</v>
      </c>
      <c r="K19">
        <v>17.542694000000001</v>
      </c>
      <c r="L19">
        <v>17.752789</v>
      </c>
      <c r="M19">
        <v>17.808685000000001</v>
      </c>
      <c r="N19">
        <v>17.680676999999999</v>
      </c>
      <c r="O19">
        <v>17.645448999999999</v>
      </c>
      <c r="P19">
        <v>17.531721000000001</v>
      </c>
      <c r="Q19">
        <v>17.560473999999999</v>
      </c>
      <c r="R19">
        <v>17.489108999999999</v>
      </c>
      <c r="S19">
        <v>17.100269000000001</v>
      </c>
      <c r="T19">
        <v>16.921897999999999</v>
      </c>
      <c r="U19">
        <v>16.979520999999998</v>
      </c>
      <c r="V19">
        <v>17.149927000000002</v>
      </c>
      <c r="W19">
        <v>17.248342999999998</v>
      </c>
      <c r="X19">
        <v>17.183392000000001</v>
      </c>
      <c r="Y19">
        <v>17.442323999999999</v>
      </c>
      <c r="Z19">
        <v>17.550901</v>
      </c>
      <c r="AA19">
        <v>17.494118</v>
      </c>
      <c r="AB19">
        <v>17.183648999999999</v>
      </c>
      <c r="AC19">
        <v>17.447217999999999</v>
      </c>
      <c r="AD19">
        <v>17.502064000000001</v>
      </c>
      <c r="AE19" s="4">
        <v>-0.21318000934272263</v>
      </c>
    </row>
    <row r="20" spans="1:31" x14ac:dyDescent="0.25">
      <c r="A20" t="s">
        <v>75</v>
      </c>
      <c r="B20" t="s">
        <v>50</v>
      </c>
      <c r="C20" t="s">
        <v>48</v>
      </c>
      <c r="D20">
        <v>19.231680000000001</v>
      </c>
      <c r="E20">
        <v>18.400279999999999</v>
      </c>
      <c r="F20">
        <v>14.97406</v>
      </c>
      <c r="G20">
        <v>13.537266000000001</v>
      </c>
      <c r="H20">
        <v>13.231158000000001</v>
      </c>
      <c r="I20">
        <v>13.594554</v>
      </c>
      <c r="J20">
        <v>13.959284999999999</v>
      </c>
      <c r="K20">
        <v>14.505159000000001</v>
      </c>
      <c r="L20">
        <v>14.765731000000001</v>
      </c>
      <c r="M20">
        <v>14.852461999999999</v>
      </c>
      <c r="N20">
        <v>14.755044</v>
      </c>
      <c r="O20">
        <v>14.749085000000001</v>
      </c>
      <c r="P20">
        <v>14.639806</v>
      </c>
      <c r="Q20">
        <v>14.631038999999999</v>
      </c>
      <c r="R20">
        <v>14.549067000000001</v>
      </c>
      <c r="S20">
        <v>14.231159</v>
      </c>
      <c r="T20">
        <v>14.098325000000001</v>
      </c>
      <c r="U20">
        <v>14.175945</v>
      </c>
      <c r="V20">
        <v>14.347670000000001</v>
      </c>
      <c r="W20">
        <v>14.439209</v>
      </c>
      <c r="X20">
        <v>14.386815</v>
      </c>
      <c r="Y20">
        <v>14.609980999999999</v>
      </c>
      <c r="Z20">
        <v>14.688984</v>
      </c>
      <c r="AA20">
        <v>14.643644999999999</v>
      </c>
      <c r="AB20">
        <v>14.416864</v>
      </c>
      <c r="AC20">
        <v>14.621077</v>
      </c>
      <c r="AD20">
        <v>14.646086</v>
      </c>
      <c r="AE20" s="4">
        <v>-0.23843959550075711</v>
      </c>
    </row>
    <row r="21" spans="1:31" x14ac:dyDescent="0.25">
      <c r="A21" t="s">
        <v>75</v>
      </c>
      <c r="B21" t="s">
        <v>51</v>
      </c>
      <c r="C21" t="s">
        <v>48</v>
      </c>
      <c r="D21">
        <v>22.354255999999999</v>
      </c>
      <c r="E21">
        <v>21.547094000000001</v>
      </c>
      <c r="F21">
        <v>18.221081000000002</v>
      </c>
      <c r="G21">
        <v>16.599340000000002</v>
      </c>
      <c r="H21">
        <v>16.250195000000001</v>
      </c>
      <c r="I21">
        <v>16.705287999999999</v>
      </c>
      <c r="J21">
        <v>17.064174999999999</v>
      </c>
      <c r="K21">
        <v>17.662320999999999</v>
      </c>
      <c r="L21">
        <v>17.839117000000002</v>
      </c>
      <c r="M21">
        <v>17.929549999999999</v>
      </c>
      <c r="N21">
        <v>17.775738</v>
      </c>
      <c r="O21">
        <v>17.772144000000001</v>
      </c>
      <c r="P21">
        <v>17.691365999999999</v>
      </c>
      <c r="Q21">
        <v>17.738340000000001</v>
      </c>
      <c r="R21">
        <v>17.613121</v>
      </c>
      <c r="S21">
        <v>17.286625000000001</v>
      </c>
      <c r="T21">
        <v>17.143488000000001</v>
      </c>
      <c r="U21">
        <v>17.216646000000001</v>
      </c>
      <c r="V21">
        <v>17.38888</v>
      </c>
      <c r="W21">
        <v>17.485800000000001</v>
      </c>
      <c r="X21">
        <v>17.43676</v>
      </c>
      <c r="Y21">
        <v>17.647655</v>
      </c>
      <c r="Z21">
        <v>17.755645999999999</v>
      </c>
      <c r="AA21">
        <v>17.711442999999999</v>
      </c>
      <c r="AB21">
        <v>17.469189</v>
      </c>
      <c r="AC21">
        <v>17.69322</v>
      </c>
      <c r="AD21">
        <v>17.732496000000001</v>
      </c>
      <c r="AE21" s="4">
        <v>-0.20675078606955197</v>
      </c>
    </row>
    <row r="22" spans="1:31" x14ac:dyDescent="0.25">
      <c r="A22" t="s">
        <v>75</v>
      </c>
      <c r="B22" t="s">
        <v>52</v>
      </c>
      <c r="C22" t="s">
        <v>48</v>
      </c>
      <c r="D22">
        <v>22.425011000000001</v>
      </c>
      <c r="E22">
        <v>21.643485999999999</v>
      </c>
      <c r="F22">
        <v>18.327829000000001</v>
      </c>
      <c r="G22">
        <v>16.893673</v>
      </c>
      <c r="H22">
        <v>16.581436</v>
      </c>
      <c r="I22">
        <v>17.027842</v>
      </c>
      <c r="J22">
        <v>17.410485999999999</v>
      </c>
      <c r="K22">
        <v>18.021415999999999</v>
      </c>
      <c r="L22">
        <v>18.272789</v>
      </c>
      <c r="M22">
        <v>18.367647000000002</v>
      </c>
      <c r="N22">
        <v>18.261282000000001</v>
      </c>
      <c r="O22">
        <v>18.239115000000002</v>
      </c>
      <c r="P22">
        <v>18.134701</v>
      </c>
      <c r="Q22">
        <v>18.166298000000001</v>
      </c>
      <c r="R22">
        <v>18.112954999999999</v>
      </c>
      <c r="S22">
        <v>17.761616</v>
      </c>
      <c r="T22">
        <v>17.611418</v>
      </c>
      <c r="U22">
        <v>17.694489000000001</v>
      </c>
      <c r="V22">
        <v>17.885151</v>
      </c>
      <c r="W22">
        <v>18.001926000000001</v>
      </c>
      <c r="X22">
        <v>17.966614</v>
      </c>
      <c r="Y22">
        <v>18.2288</v>
      </c>
      <c r="Z22">
        <v>18.354894999999999</v>
      </c>
      <c r="AA22">
        <v>18.326635</v>
      </c>
      <c r="AB22">
        <v>18.064672000000002</v>
      </c>
      <c r="AC22">
        <v>18.338222999999999</v>
      </c>
      <c r="AD22">
        <v>18.395081000000001</v>
      </c>
      <c r="AE22" s="4">
        <v>-0.17970693526081213</v>
      </c>
    </row>
    <row r="23" spans="1:31" x14ac:dyDescent="0.25">
      <c r="A23" t="s">
        <v>74</v>
      </c>
      <c r="B23" t="s">
        <v>47</v>
      </c>
      <c r="C23" t="s">
        <v>53</v>
      </c>
      <c r="D23">
        <v>25.146118000000001</v>
      </c>
      <c r="E23">
        <v>25.287110999999999</v>
      </c>
      <c r="F23">
        <v>22.428591000000001</v>
      </c>
      <c r="G23">
        <v>21.287413000000001</v>
      </c>
      <c r="H23">
        <v>21.33596</v>
      </c>
      <c r="I23">
        <v>22.302932999999999</v>
      </c>
      <c r="J23">
        <v>23.219835</v>
      </c>
      <c r="K23">
        <v>24.519400000000001</v>
      </c>
      <c r="L23">
        <v>25.475345999999998</v>
      </c>
      <c r="M23">
        <v>26.316497999999999</v>
      </c>
      <c r="N23">
        <v>26.924862000000001</v>
      </c>
      <c r="O23">
        <v>27.609991000000001</v>
      </c>
      <c r="P23">
        <v>28.158476</v>
      </c>
      <c r="Q23">
        <v>28.908503</v>
      </c>
      <c r="R23">
        <v>29.585616999999999</v>
      </c>
      <c r="S23">
        <v>29.808609000000001</v>
      </c>
      <c r="T23">
        <v>30.340416000000001</v>
      </c>
      <c r="U23">
        <v>31.237401999999999</v>
      </c>
      <c r="V23">
        <v>32.325488999999997</v>
      </c>
      <c r="W23">
        <v>33.348869000000001</v>
      </c>
      <c r="X23">
        <v>34.181640999999999</v>
      </c>
      <c r="Y23">
        <v>35.488148000000002</v>
      </c>
      <c r="Z23">
        <v>36.659416</v>
      </c>
      <c r="AA23">
        <v>37.604030999999999</v>
      </c>
      <c r="AB23">
        <v>38.155166999999999</v>
      </c>
      <c r="AC23">
        <v>39.714958000000003</v>
      </c>
      <c r="AD23">
        <v>40.862918999999998</v>
      </c>
      <c r="AE23" s="4" cm="1">
        <f t="array" ref="AE23:AE27">(AD23:AD27-D23:D27)/D23:D27</f>
        <v>0.62501897907263437</v>
      </c>
    </row>
    <row r="24" spans="1:31" x14ac:dyDescent="0.25">
      <c r="A24" t="s">
        <v>74</v>
      </c>
      <c r="B24" t="s">
        <v>49</v>
      </c>
      <c r="C24" t="s">
        <v>53</v>
      </c>
      <c r="D24">
        <v>22.244050999999999</v>
      </c>
      <c r="E24">
        <v>21.838480000000001</v>
      </c>
      <c r="F24">
        <v>18.659613</v>
      </c>
      <c r="G24">
        <v>17.407515</v>
      </c>
      <c r="H24">
        <v>17.354427000000001</v>
      </c>
      <c r="I24">
        <v>18.125530000000001</v>
      </c>
      <c r="J24">
        <v>18.873336999999999</v>
      </c>
      <c r="K24">
        <v>19.9529</v>
      </c>
      <c r="L24">
        <v>20.618531999999998</v>
      </c>
      <c r="M24">
        <v>21.133585</v>
      </c>
      <c r="N24">
        <v>21.446255000000001</v>
      </c>
      <c r="O24">
        <v>21.867550000000001</v>
      </c>
      <c r="P24">
        <v>22.176252000000002</v>
      </c>
      <c r="Q24">
        <v>22.674616</v>
      </c>
      <c r="R24">
        <v>23.049015000000001</v>
      </c>
      <c r="S24">
        <v>22.998125000000002</v>
      </c>
      <c r="T24">
        <v>23.237062000000002</v>
      </c>
      <c r="U24">
        <v>23.814098000000001</v>
      </c>
      <c r="V24">
        <v>24.577708999999999</v>
      </c>
      <c r="W24">
        <v>25.269107999999999</v>
      </c>
      <c r="X24">
        <v>25.734635999999998</v>
      </c>
      <c r="Y24">
        <v>26.711836000000002</v>
      </c>
      <c r="Z24">
        <v>27.486013</v>
      </c>
      <c r="AA24">
        <v>28.021801</v>
      </c>
      <c r="AB24">
        <v>28.152111000000001</v>
      </c>
      <c r="AC24">
        <v>29.229403999999999</v>
      </c>
      <c r="AD24">
        <v>29.978199</v>
      </c>
      <c r="AE24" s="4">
        <v>0.34769512082129289</v>
      </c>
    </row>
    <row r="25" spans="1:31" x14ac:dyDescent="0.25">
      <c r="A25" t="s">
        <v>74</v>
      </c>
      <c r="B25" t="s">
        <v>50</v>
      </c>
      <c r="C25" t="s">
        <v>53</v>
      </c>
      <c r="D25">
        <v>19.231680000000001</v>
      </c>
      <c r="E25">
        <v>18.777781000000001</v>
      </c>
      <c r="F25">
        <v>15.53933</v>
      </c>
      <c r="G25">
        <v>14.282434</v>
      </c>
      <c r="H25">
        <v>14.223063</v>
      </c>
      <c r="I25">
        <v>14.87293</v>
      </c>
      <c r="J25">
        <v>15.557321999999999</v>
      </c>
      <c r="K25">
        <v>16.498035000000002</v>
      </c>
      <c r="L25">
        <v>17.149287999999999</v>
      </c>
      <c r="M25">
        <v>17.625433000000001</v>
      </c>
      <c r="N25">
        <v>17.897528000000001</v>
      </c>
      <c r="O25">
        <v>18.278161999999998</v>
      </c>
      <c r="P25">
        <v>18.518205999999999</v>
      </c>
      <c r="Q25">
        <v>18.892040000000001</v>
      </c>
      <c r="R25">
        <v>19.174313000000001</v>
      </c>
      <c r="S25">
        <v>19.139462999999999</v>
      </c>
      <c r="T25">
        <v>19.359745</v>
      </c>
      <c r="U25">
        <v>19.88203</v>
      </c>
      <c r="V25">
        <v>20.561769000000002</v>
      </c>
      <c r="W25">
        <v>21.153680999999999</v>
      </c>
      <c r="X25">
        <v>21.546355999999999</v>
      </c>
      <c r="Y25">
        <v>22.374279000000001</v>
      </c>
      <c r="Z25">
        <v>23.00404</v>
      </c>
      <c r="AA25">
        <v>23.455960999999999</v>
      </c>
      <c r="AB25">
        <v>23.619267000000001</v>
      </c>
      <c r="AC25">
        <v>24.494755000000001</v>
      </c>
      <c r="AD25">
        <v>25.086372000000001</v>
      </c>
      <c r="AE25" s="4">
        <v>0.30442956621574402</v>
      </c>
    </row>
    <row r="26" spans="1:31" x14ac:dyDescent="0.25">
      <c r="A26" t="s">
        <v>74</v>
      </c>
      <c r="B26" t="s">
        <v>51</v>
      </c>
      <c r="C26" t="s">
        <v>53</v>
      </c>
      <c r="D26">
        <v>22.354255999999999</v>
      </c>
      <c r="E26">
        <v>21.989155</v>
      </c>
      <c r="F26">
        <v>18.908923999999999</v>
      </c>
      <c r="G26">
        <v>17.513062000000001</v>
      </c>
      <c r="H26">
        <v>17.468427999999999</v>
      </c>
      <c r="I26">
        <v>18.276184000000001</v>
      </c>
      <c r="J26">
        <v>19.017654</v>
      </c>
      <c r="K26">
        <v>20.088963</v>
      </c>
      <c r="L26">
        <v>20.718796000000001</v>
      </c>
      <c r="M26">
        <v>21.277016</v>
      </c>
      <c r="N26">
        <v>21.56156</v>
      </c>
      <c r="O26">
        <v>22.024560999999999</v>
      </c>
      <c r="P26">
        <v>22.378191000000001</v>
      </c>
      <c r="Q26">
        <v>22.904284000000001</v>
      </c>
      <c r="R26">
        <v>23.21245</v>
      </c>
      <c r="S26">
        <v>23.248754999999999</v>
      </c>
      <c r="T26">
        <v>23.541347999999999</v>
      </c>
      <c r="U26">
        <v>24.146671000000001</v>
      </c>
      <c r="V26">
        <v>24.920155000000001</v>
      </c>
      <c r="W26">
        <v>25.616987000000002</v>
      </c>
      <c r="X26">
        <v>26.114091999999999</v>
      </c>
      <c r="Y26">
        <v>27.026288999999998</v>
      </c>
      <c r="Z26">
        <v>27.806657999999999</v>
      </c>
      <c r="AA26">
        <v>28.369910999999998</v>
      </c>
      <c r="AB26">
        <v>28.619913</v>
      </c>
      <c r="AC26">
        <v>29.641532999999999</v>
      </c>
      <c r="AD26">
        <v>30.372893999999999</v>
      </c>
      <c r="AE26" s="4">
        <v>0.3587074425559052</v>
      </c>
    </row>
    <row r="27" spans="1:31" x14ac:dyDescent="0.25">
      <c r="A27" t="s">
        <v>74</v>
      </c>
      <c r="B27" t="s">
        <v>52</v>
      </c>
      <c r="C27" t="s">
        <v>53</v>
      </c>
      <c r="D27">
        <v>22.425011000000001</v>
      </c>
      <c r="E27">
        <v>22.087523999999998</v>
      </c>
      <c r="F27">
        <v>19.019703</v>
      </c>
      <c r="G27">
        <v>17.823595000000001</v>
      </c>
      <c r="H27">
        <v>17.824501000000001</v>
      </c>
      <c r="I27">
        <v>18.629068</v>
      </c>
      <c r="J27">
        <v>19.40361</v>
      </c>
      <c r="K27">
        <v>20.497392999999999</v>
      </c>
      <c r="L27">
        <v>21.222473000000001</v>
      </c>
      <c r="M27">
        <v>21.796906</v>
      </c>
      <c r="N27">
        <v>22.150513</v>
      </c>
      <c r="O27">
        <v>22.603263999999999</v>
      </c>
      <c r="P27">
        <v>22.938974000000002</v>
      </c>
      <c r="Q27">
        <v>23.456873000000002</v>
      </c>
      <c r="R27">
        <v>23.871185000000001</v>
      </c>
      <c r="S27">
        <v>23.887568999999999</v>
      </c>
      <c r="T27">
        <v>24.183907000000001</v>
      </c>
      <c r="U27">
        <v>24.816852999999998</v>
      </c>
      <c r="V27">
        <v>25.631364999999999</v>
      </c>
      <c r="W27">
        <v>26.373121000000001</v>
      </c>
      <c r="X27">
        <v>26.907627000000002</v>
      </c>
      <c r="Y27">
        <v>27.916274999999999</v>
      </c>
      <c r="Z27">
        <v>28.745127</v>
      </c>
      <c r="AA27">
        <v>29.355315999999998</v>
      </c>
      <c r="AB27">
        <v>29.595499</v>
      </c>
      <c r="AC27">
        <v>30.722107000000001</v>
      </c>
      <c r="AD27">
        <v>31.507791999999998</v>
      </c>
      <c r="AE27" s="4">
        <v>0.40502905438931541</v>
      </c>
    </row>
    <row r="28" spans="1:31" x14ac:dyDescent="0.25">
      <c r="A28" t="s">
        <v>76</v>
      </c>
      <c r="B28" t="s">
        <v>54</v>
      </c>
      <c r="C28" t="s">
        <v>48</v>
      </c>
      <c r="D28">
        <v>14.148334</v>
      </c>
      <c r="E28">
        <v>13.212009999999999</v>
      </c>
      <c r="F28">
        <v>9.6663650000000008</v>
      </c>
      <c r="G28">
        <v>8.0680370000000003</v>
      </c>
      <c r="H28">
        <v>7.6166119999999999</v>
      </c>
      <c r="I28">
        <v>7.9215859999999996</v>
      </c>
      <c r="J28">
        <v>8.173235</v>
      </c>
      <c r="K28">
        <v>8.6539079999999995</v>
      </c>
      <c r="L28">
        <v>8.7975239999999992</v>
      </c>
      <c r="M28">
        <v>8.8048210000000005</v>
      </c>
      <c r="N28">
        <v>8.6153320000000004</v>
      </c>
      <c r="O28">
        <v>8.4958810000000007</v>
      </c>
      <c r="P28">
        <v>8.283982</v>
      </c>
      <c r="Q28">
        <v>8.0345659999999999</v>
      </c>
      <c r="R28">
        <v>7.9131260000000001</v>
      </c>
      <c r="S28">
        <v>7.5441789999999997</v>
      </c>
      <c r="T28">
        <v>7.3753250000000001</v>
      </c>
      <c r="U28">
        <v>7.4295580000000001</v>
      </c>
      <c r="V28">
        <v>7.5778790000000003</v>
      </c>
      <c r="W28">
        <v>7.6380520000000001</v>
      </c>
      <c r="X28">
        <v>7.5615750000000004</v>
      </c>
      <c r="Y28">
        <v>7.7879699999999996</v>
      </c>
      <c r="Z28">
        <v>7.8561069999999997</v>
      </c>
      <c r="AA28">
        <v>7.7777520000000004</v>
      </c>
      <c r="AB28">
        <v>7.4566480000000004</v>
      </c>
      <c r="AC28">
        <v>7.6867210000000004</v>
      </c>
      <c r="AD28">
        <v>7.6882000000000001</v>
      </c>
      <c r="AE28" s="4" cm="1">
        <f t="array" ref="AE28:AE30">(AD28:AD30-D28:D30)/D28:D30</f>
        <v>-0.45660033188359844</v>
      </c>
    </row>
    <row r="29" spans="1:31" x14ac:dyDescent="0.25">
      <c r="A29" t="s">
        <v>76</v>
      </c>
      <c r="B29" t="s">
        <v>55</v>
      </c>
      <c r="C29" t="s">
        <v>48</v>
      </c>
      <c r="D29">
        <v>1.960615</v>
      </c>
      <c r="E29">
        <v>2.018767</v>
      </c>
      <c r="F29">
        <v>2.094446</v>
      </c>
      <c r="G29">
        <v>2.1458919999999999</v>
      </c>
      <c r="H29">
        <v>2.186175</v>
      </c>
      <c r="I29">
        <v>2.2308159999999999</v>
      </c>
      <c r="J29">
        <v>2.2698079999999998</v>
      </c>
      <c r="K29">
        <v>2.3104369999999999</v>
      </c>
      <c r="L29">
        <v>2.3446199999999999</v>
      </c>
      <c r="M29">
        <v>2.3732220000000002</v>
      </c>
      <c r="N29">
        <v>2.41133</v>
      </c>
      <c r="O29">
        <v>2.4630290000000001</v>
      </c>
      <c r="P29">
        <v>2.5181369999999998</v>
      </c>
      <c r="Q29">
        <v>2.7173219999999998</v>
      </c>
      <c r="R29">
        <v>2.7712439999999998</v>
      </c>
      <c r="S29">
        <v>2.783331</v>
      </c>
      <c r="T29">
        <v>2.795404</v>
      </c>
      <c r="U29">
        <v>2.811264</v>
      </c>
      <c r="V29">
        <v>2.8351250000000001</v>
      </c>
      <c r="W29">
        <v>2.865558</v>
      </c>
      <c r="X29">
        <v>2.8799109999999999</v>
      </c>
      <c r="Y29">
        <v>2.8890340000000001</v>
      </c>
      <c r="Z29">
        <v>2.9122970000000001</v>
      </c>
      <c r="AA29">
        <v>2.9305810000000001</v>
      </c>
      <c r="AB29">
        <v>2.9625620000000001</v>
      </c>
      <c r="AC29">
        <v>2.9768430000000001</v>
      </c>
      <c r="AD29">
        <v>3.0024130000000002</v>
      </c>
      <c r="AE29" s="4">
        <v>0.531362863183236</v>
      </c>
    </row>
    <row r="30" spans="1:31" x14ac:dyDescent="0.25">
      <c r="A30" t="s">
        <v>76</v>
      </c>
      <c r="B30" t="s">
        <v>56</v>
      </c>
      <c r="C30" t="s">
        <v>48</v>
      </c>
      <c r="D30">
        <v>6.3160619999999996</v>
      </c>
      <c r="E30">
        <v>6.4127080000000003</v>
      </c>
      <c r="F30">
        <v>6.5670190000000002</v>
      </c>
      <c r="G30">
        <v>6.6797430000000002</v>
      </c>
      <c r="H30">
        <v>6.7786479999999996</v>
      </c>
      <c r="I30">
        <v>6.8754390000000001</v>
      </c>
      <c r="J30">
        <v>6.9674440000000004</v>
      </c>
      <c r="K30">
        <v>7.0570740000000001</v>
      </c>
      <c r="L30">
        <v>7.1306459999999996</v>
      </c>
      <c r="M30">
        <v>7.1896050000000002</v>
      </c>
      <c r="N30">
        <v>7.2346219999999999</v>
      </c>
      <c r="O30">
        <v>7.2802049999999996</v>
      </c>
      <c r="P30">
        <v>7.3325820000000004</v>
      </c>
      <c r="Q30">
        <v>7.4144119999999996</v>
      </c>
      <c r="R30">
        <v>7.4285839999999999</v>
      </c>
      <c r="S30">
        <v>7.4341049999999997</v>
      </c>
      <c r="T30">
        <v>7.4406889999999999</v>
      </c>
      <c r="U30">
        <v>7.4536670000000003</v>
      </c>
      <c r="V30">
        <v>7.4721469999999997</v>
      </c>
      <c r="W30">
        <v>7.498316</v>
      </c>
      <c r="X30">
        <v>7.5251260000000002</v>
      </c>
      <c r="Y30">
        <v>7.5517960000000004</v>
      </c>
      <c r="Z30">
        <v>7.5864919999999998</v>
      </c>
      <c r="AA30">
        <v>7.618303</v>
      </c>
      <c r="AB30">
        <v>7.6454620000000002</v>
      </c>
      <c r="AC30">
        <v>7.674658</v>
      </c>
      <c r="AD30">
        <v>7.704466</v>
      </c>
      <c r="AE30" s="4">
        <v>0.21982114805079503</v>
      </c>
    </row>
    <row r="31" spans="1:31" x14ac:dyDescent="0.25">
      <c r="A31" t="s">
        <v>77</v>
      </c>
      <c r="B31" t="s">
        <v>54</v>
      </c>
      <c r="C31" t="s">
        <v>53</v>
      </c>
      <c r="D31">
        <v>14.148334</v>
      </c>
      <c r="E31">
        <v>13.483067999999999</v>
      </c>
      <c r="F31">
        <v>10.031268000000001</v>
      </c>
      <c r="G31">
        <v>8.5121470000000006</v>
      </c>
      <c r="H31">
        <v>8.1876099999999994</v>
      </c>
      <c r="I31">
        <v>8.666499</v>
      </c>
      <c r="J31">
        <v>9.1088930000000001</v>
      </c>
      <c r="K31">
        <v>9.8428749999999994</v>
      </c>
      <c r="L31">
        <v>10.217665</v>
      </c>
      <c r="M31">
        <v>10.448689999999999</v>
      </c>
      <c r="N31">
        <v>10.450199</v>
      </c>
      <c r="O31">
        <v>10.528726000000001</v>
      </c>
      <c r="P31">
        <v>10.478588</v>
      </c>
      <c r="Q31">
        <v>10.374475</v>
      </c>
      <c r="R31">
        <v>10.428762000000001</v>
      </c>
      <c r="S31">
        <v>10.146153999999999</v>
      </c>
      <c r="T31">
        <v>10.127757000000001</v>
      </c>
      <c r="U31">
        <v>10.420095999999999</v>
      </c>
      <c r="V31">
        <v>10.859923999999999</v>
      </c>
      <c r="W31">
        <v>11.189873</v>
      </c>
      <c r="X31">
        <v>11.324562</v>
      </c>
      <c r="Y31">
        <v>11.926792000000001</v>
      </c>
      <c r="Z31">
        <v>12.303246</v>
      </c>
      <c r="AA31">
        <v>12.458280999999999</v>
      </c>
      <c r="AB31">
        <v>12.216286999999999</v>
      </c>
      <c r="AC31">
        <v>12.877599</v>
      </c>
      <c r="AD31">
        <v>13.168642</v>
      </c>
      <c r="AE31" s="4" cm="1">
        <f t="array" ref="AE31:AE33">(AD31:AD33-D31:D33)/D31:D33</f>
        <v>-6.9244336470993692E-2</v>
      </c>
    </row>
    <row r="32" spans="1:31" x14ac:dyDescent="0.25">
      <c r="A32" t="s">
        <v>77</v>
      </c>
      <c r="B32" t="s">
        <v>55</v>
      </c>
      <c r="C32" t="s">
        <v>53</v>
      </c>
      <c r="D32">
        <v>1.960615</v>
      </c>
      <c r="E32">
        <v>2.060184</v>
      </c>
      <c r="F32">
        <v>2.1735120000000001</v>
      </c>
      <c r="G32">
        <v>2.264014</v>
      </c>
      <c r="H32">
        <v>2.3500670000000001</v>
      </c>
      <c r="I32">
        <v>2.4405929999999998</v>
      </c>
      <c r="J32">
        <v>2.529652</v>
      </c>
      <c r="K32">
        <v>2.6278700000000002</v>
      </c>
      <c r="L32">
        <v>2.7231010000000002</v>
      </c>
      <c r="M32">
        <v>2.8163049999999998</v>
      </c>
      <c r="N32">
        <v>2.9248880000000002</v>
      </c>
      <c r="O32">
        <v>3.052368</v>
      </c>
      <c r="P32">
        <v>3.1852450000000001</v>
      </c>
      <c r="Q32">
        <v>3.5086879999999998</v>
      </c>
      <c r="R32">
        <v>3.6522410000000001</v>
      </c>
      <c r="S32">
        <v>3.7432979999999998</v>
      </c>
      <c r="T32">
        <v>3.8386339999999999</v>
      </c>
      <c r="U32">
        <v>3.9428510000000001</v>
      </c>
      <c r="V32">
        <v>4.0630430000000004</v>
      </c>
      <c r="W32">
        <v>4.1980899999999997</v>
      </c>
      <c r="X32">
        <v>4.3130870000000003</v>
      </c>
      <c r="Y32">
        <v>4.4243759999999996</v>
      </c>
      <c r="Z32">
        <v>4.560873</v>
      </c>
      <c r="AA32">
        <v>4.6941579999999998</v>
      </c>
      <c r="AB32">
        <v>4.8535890000000004</v>
      </c>
      <c r="AC32">
        <v>4.9871189999999999</v>
      </c>
      <c r="AD32">
        <v>5.1426470000000002</v>
      </c>
      <c r="AE32" s="4">
        <v>1.622976464017668</v>
      </c>
    </row>
    <row r="33" spans="1:31" x14ac:dyDescent="0.25">
      <c r="A33" t="s">
        <v>77</v>
      </c>
      <c r="B33" t="s">
        <v>56</v>
      </c>
      <c r="C33" t="s">
        <v>53</v>
      </c>
      <c r="D33">
        <v>6.3160619999999996</v>
      </c>
      <c r="E33">
        <v>6.5442720000000003</v>
      </c>
      <c r="F33">
        <v>6.8149230000000003</v>
      </c>
      <c r="G33">
        <v>7.0474329999999998</v>
      </c>
      <c r="H33">
        <v>7.2868259999999996</v>
      </c>
      <c r="I33">
        <v>7.5219760000000004</v>
      </c>
      <c r="J33">
        <v>7.765066</v>
      </c>
      <c r="K33">
        <v>8.0266500000000001</v>
      </c>
      <c r="L33">
        <v>8.2817100000000003</v>
      </c>
      <c r="M33">
        <v>8.5319120000000002</v>
      </c>
      <c r="N33">
        <v>8.7754290000000008</v>
      </c>
      <c r="O33">
        <v>9.0221699999999991</v>
      </c>
      <c r="P33">
        <v>9.2751409999999996</v>
      </c>
      <c r="Q33">
        <v>9.5737120000000004</v>
      </c>
      <c r="R33">
        <v>9.7901799999999994</v>
      </c>
      <c r="S33">
        <v>9.9981159999999996</v>
      </c>
      <c r="T33">
        <v>10.217515000000001</v>
      </c>
      <c r="U33">
        <v>10.453908999999999</v>
      </c>
      <c r="V33">
        <v>10.708399999999999</v>
      </c>
      <c r="W33">
        <v>10.985158</v>
      </c>
      <c r="X33">
        <v>11.269975000000001</v>
      </c>
      <c r="Y33">
        <v>11.565106</v>
      </c>
      <c r="Z33">
        <v>11.881008</v>
      </c>
      <c r="AA33">
        <v>12.202877000000001</v>
      </c>
      <c r="AB33">
        <v>12.525622</v>
      </c>
      <c r="AC33">
        <v>12.857389</v>
      </c>
      <c r="AD33">
        <v>13.196502000000001</v>
      </c>
      <c r="AE33" s="4">
        <v>1.0893559942888467</v>
      </c>
    </row>
    <row r="34" spans="1:31" x14ac:dyDescent="0.25">
      <c r="A34" t="s">
        <v>57</v>
      </c>
      <c r="B34" t="s">
        <v>58</v>
      </c>
      <c r="C34" t="s">
        <v>59</v>
      </c>
      <c r="D34">
        <v>7.1977419999999999</v>
      </c>
      <c r="E34">
        <v>6.2350409999999998</v>
      </c>
      <c r="F34">
        <v>5.5106460000000004</v>
      </c>
      <c r="G34">
        <v>4.7993899999999998</v>
      </c>
      <c r="H34">
        <v>4.6218700000000004</v>
      </c>
      <c r="I34">
        <v>4.7564320000000002</v>
      </c>
      <c r="J34">
        <v>5.2667130000000002</v>
      </c>
      <c r="K34">
        <v>5.5572520000000001</v>
      </c>
      <c r="L34">
        <v>6.0184249999999997</v>
      </c>
      <c r="M34">
        <v>5.5305629999999999</v>
      </c>
      <c r="N34">
        <v>5.4930279999999998</v>
      </c>
      <c r="O34">
        <v>5.3712210000000002</v>
      </c>
      <c r="P34">
        <v>5.0011359999999998</v>
      </c>
      <c r="Q34">
        <v>4.3997219999999997</v>
      </c>
      <c r="R34">
        <v>4.0789580000000001</v>
      </c>
      <c r="S34">
        <v>3.6573069999999999</v>
      </c>
      <c r="T34">
        <v>3.7374350000000001</v>
      </c>
      <c r="U34">
        <v>3.6225700000000001</v>
      </c>
      <c r="V34">
        <v>3.322206</v>
      </c>
      <c r="W34">
        <v>3.4112089999999999</v>
      </c>
      <c r="X34">
        <v>3.3077239999999999</v>
      </c>
      <c r="Y34">
        <v>3.188485</v>
      </c>
      <c r="Z34">
        <v>2.7187260000000002</v>
      </c>
      <c r="AA34">
        <v>3.0442079999999998</v>
      </c>
      <c r="AB34">
        <v>3.0903100000000001</v>
      </c>
      <c r="AC34">
        <v>2.8267739999999999</v>
      </c>
      <c r="AD34">
        <v>2.7879170000000002</v>
      </c>
      <c r="AE34" s="4" cm="1">
        <f t="array" ref="AE34:AE38">(AD34:AD38-D34:D38)/D34:D38</f>
        <v>-0.61266783388457102</v>
      </c>
    </row>
    <row r="35" spans="1:31" x14ac:dyDescent="0.25">
      <c r="A35" t="s">
        <v>57</v>
      </c>
      <c r="B35" t="s">
        <v>60</v>
      </c>
      <c r="C35" t="s">
        <v>59</v>
      </c>
      <c r="D35">
        <v>26.391703</v>
      </c>
      <c r="E35">
        <v>22.861813999999999</v>
      </c>
      <c r="F35">
        <v>20.205705999999999</v>
      </c>
      <c r="G35">
        <v>17.597760999999998</v>
      </c>
      <c r="H35">
        <v>16.946856</v>
      </c>
      <c r="I35">
        <v>17.440238999999998</v>
      </c>
      <c r="J35">
        <v>19.311288999999999</v>
      </c>
      <c r="K35">
        <v>20.376574000000002</v>
      </c>
      <c r="L35">
        <v>22.067549</v>
      </c>
      <c r="M35">
        <v>20.278729999999999</v>
      </c>
      <c r="N35">
        <v>20.141107999999999</v>
      </c>
      <c r="O35">
        <v>19.694475000000001</v>
      </c>
      <c r="P35">
        <v>18.337510999999999</v>
      </c>
      <c r="Q35">
        <v>16.132317</v>
      </c>
      <c r="R35">
        <v>14.95618</v>
      </c>
      <c r="S35">
        <v>13.410131</v>
      </c>
      <c r="T35">
        <v>13.703917000000001</v>
      </c>
      <c r="U35">
        <v>13.282755999999999</v>
      </c>
      <c r="V35">
        <v>12.181414999999999</v>
      </c>
      <c r="W35">
        <v>12.507776</v>
      </c>
      <c r="X35">
        <v>12.128316999999999</v>
      </c>
      <c r="Y35">
        <v>11.691119</v>
      </c>
      <c r="Z35">
        <v>9.9686570000000003</v>
      </c>
      <c r="AA35">
        <v>11.162091999999999</v>
      </c>
      <c r="AB35">
        <v>11.331130999999999</v>
      </c>
      <c r="AC35">
        <v>10.364834</v>
      </c>
      <c r="AD35">
        <v>10.222355</v>
      </c>
      <c r="AE35" s="4">
        <v>-0.61266785246863376</v>
      </c>
    </row>
    <row r="36" spans="1:31" x14ac:dyDescent="0.25">
      <c r="A36" t="s">
        <v>57</v>
      </c>
      <c r="B36" t="s">
        <v>61</v>
      </c>
      <c r="C36" t="s">
        <v>59</v>
      </c>
      <c r="D36">
        <v>2.0100000000000001E-4</v>
      </c>
      <c r="E36">
        <v>1.9699999999999999E-4</v>
      </c>
      <c r="F36">
        <v>2.0000000000000001E-4</v>
      </c>
      <c r="G36">
        <v>1.9699999999999999E-4</v>
      </c>
      <c r="H36">
        <v>1.9699999999999999E-4</v>
      </c>
      <c r="I36">
        <v>1.8900000000000001E-4</v>
      </c>
      <c r="J36">
        <v>1.5300000000000001E-4</v>
      </c>
      <c r="K36">
        <v>1.8000000000000001E-4</v>
      </c>
      <c r="L36">
        <v>4.1E-5</v>
      </c>
      <c r="M36">
        <v>4.6E-5</v>
      </c>
      <c r="N36">
        <v>4.6999999999999997E-5</v>
      </c>
      <c r="O36">
        <v>5.0000000000000002E-5</v>
      </c>
      <c r="P36">
        <v>5.5000000000000002E-5</v>
      </c>
      <c r="Q36">
        <v>6.7999999999999999E-5</v>
      </c>
      <c r="R36">
        <v>6.8999999999999997E-5</v>
      </c>
      <c r="S36">
        <v>3.8900000000000002E-4</v>
      </c>
      <c r="T36">
        <v>3.97E-4</v>
      </c>
      <c r="U36">
        <v>4.0400000000000001E-4</v>
      </c>
      <c r="V36">
        <v>4.1300000000000001E-4</v>
      </c>
      <c r="W36">
        <v>4.2099999999999999E-4</v>
      </c>
      <c r="X36">
        <v>4.2900000000000002E-4</v>
      </c>
      <c r="Y36">
        <v>4.35E-4</v>
      </c>
      <c r="Z36">
        <v>4.4099999999999999E-4</v>
      </c>
      <c r="AA36">
        <v>4.46E-4</v>
      </c>
      <c r="AB36">
        <v>4.4900000000000002E-4</v>
      </c>
      <c r="AC36">
        <v>4.4900000000000002E-4</v>
      </c>
      <c r="AD36">
        <v>4.5199999999999998E-4</v>
      </c>
      <c r="AE36" s="4">
        <v>1.2487562189054724</v>
      </c>
    </row>
    <row r="37" spans="1:31" x14ac:dyDescent="0.25">
      <c r="A37" t="s">
        <v>57</v>
      </c>
      <c r="B37" t="s">
        <v>62</v>
      </c>
      <c r="C37" t="s">
        <v>59</v>
      </c>
      <c r="D37">
        <v>1.0340999999999999E-2</v>
      </c>
      <c r="E37">
        <v>9.7529999999999995E-3</v>
      </c>
      <c r="F37">
        <v>8.0590000000000002E-3</v>
      </c>
      <c r="G37">
        <v>7.7450000000000001E-3</v>
      </c>
      <c r="H37">
        <v>7.6750000000000004E-3</v>
      </c>
      <c r="I37">
        <v>7.9310000000000005E-3</v>
      </c>
      <c r="J37">
        <v>9.9729999999999992E-3</v>
      </c>
      <c r="K37">
        <v>1.0340999999999999E-2</v>
      </c>
      <c r="L37">
        <v>1.0024999999999999E-2</v>
      </c>
      <c r="M37">
        <v>9.1160000000000008E-3</v>
      </c>
      <c r="N37">
        <v>9.3539999999999995E-3</v>
      </c>
      <c r="O37">
        <v>9.6179999999999998E-3</v>
      </c>
      <c r="P37">
        <v>9.0679999999999997E-3</v>
      </c>
      <c r="Q37">
        <v>8.5369999999999994E-3</v>
      </c>
      <c r="R37">
        <v>8.0479999999999996E-3</v>
      </c>
      <c r="S37">
        <v>7.9209999999999992E-3</v>
      </c>
      <c r="T37">
        <v>8.0940000000000005E-3</v>
      </c>
      <c r="U37">
        <v>7.7819999999999999E-3</v>
      </c>
      <c r="V37">
        <v>7.6449999999999999E-3</v>
      </c>
      <c r="W37">
        <v>7.5940000000000001E-3</v>
      </c>
      <c r="X37">
        <v>7.5059999999999997E-3</v>
      </c>
      <c r="Y37">
        <v>7.4539999999999997E-3</v>
      </c>
      <c r="Z37">
        <v>7.1219999999999999E-3</v>
      </c>
      <c r="AA37">
        <v>7.4450000000000002E-3</v>
      </c>
      <c r="AB37">
        <v>7.4510000000000002E-3</v>
      </c>
      <c r="AC37">
        <v>7.2230000000000003E-3</v>
      </c>
      <c r="AD37">
        <v>7.2230000000000003E-3</v>
      </c>
      <c r="AE37" s="4">
        <v>-0.30151822841117876</v>
      </c>
    </row>
    <row r="38" spans="1:31" x14ac:dyDescent="0.25">
      <c r="A38" t="s">
        <v>57</v>
      </c>
      <c r="B38" t="s">
        <v>63</v>
      </c>
      <c r="C38" t="s">
        <v>64</v>
      </c>
      <c r="D38">
        <v>9.9999999999999995E-7</v>
      </c>
      <c r="E38">
        <v>3.9999999999999998E-6</v>
      </c>
      <c r="F38">
        <v>9.9999999999999995E-7</v>
      </c>
      <c r="G38">
        <v>9.9999999999999995E-7</v>
      </c>
      <c r="H38">
        <v>0</v>
      </c>
      <c r="I38">
        <v>9.9999999999999995E-7</v>
      </c>
      <c r="J38">
        <v>9.9999999999999995E-7</v>
      </c>
      <c r="K38">
        <v>9.9999999999999995E-7</v>
      </c>
      <c r="L38">
        <v>9.9999999999999995E-7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 s="4">
        <v>-1</v>
      </c>
    </row>
    <row r="39" spans="1:31" x14ac:dyDescent="0.25">
      <c r="A39" t="s">
        <v>65</v>
      </c>
      <c r="B39" t="s">
        <v>66</v>
      </c>
      <c r="C39" t="s">
        <v>71</v>
      </c>
      <c r="D39" cm="1">
        <f t="array" ref="D39:D42">907185*D34:D37*10^6/(D17*10^9)</f>
        <v>53.605122253513549</v>
      </c>
      <c r="E39" cm="1">
        <f t="array" ref="E39:E42">907185*E34:E37*10^6/(E17*10^9)</f>
        <v>47.963808040872301</v>
      </c>
      <c r="F39" cm="1">
        <f t="array" ref="F39:F42">907185*F34:F37*10^6/(F17*10^9)</f>
        <v>42.700376050017425</v>
      </c>
      <c r="G39" cm="1">
        <f t="array" ref="G39:G42">907185*G34:G37*10^6/(G17*10^9)</f>
        <v>38.562799537877162</v>
      </c>
      <c r="H39" cm="1">
        <f t="array" ref="H39:H42">907185*H34:H37*10^6/(H17*10^9)</f>
        <v>35.93728849718066</v>
      </c>
      <c r="I39" cm="1">
        <f t="array" ref="I39:I42">907185*I34:I37*10^6/(I17*10^9)</f>
        <v>36.406131687104264</v>
      </c>
      <c r="J39" cm="1">
        <f t="array" ref="J39:J42">907185*J34:J37*10^6/(J17*10^9)</f>
        <v>41.664242366124732</v>
      </c>
      <c r="K39" cm="1">
        <f t="array" ref="K39:K42">907185*K34:K37*10^6/(K17*10^9)</f>
        <v>46.043440069691101</v>
      </c>
      <c r="L39" cm="1">
        <f t="array" ref="L39:L42">907185*L34:L37*10^6/(L17*10^9)</f>
        <v>46.658807997102755</v>
      </c>
      <c r="M39" cm="1">
        <f t="array" ref="M39:M42">907185*M34:M37*10^6/(M17*10^9)</f>
        <v>43.82759503190087</v>
      </c>
      <c r="N39" cm="1">
        <f t="array" ref="N39:N42">907185*N34:N37*10^6/(N17*10^9)</f>
        <v>41.03071399674247</v>
      </c>
      <c r="O39" cm="1">
        <f t="array" ref="O39:O42">907185*O34:O37*10^6/(O17*10^9)</f>
        <v>36.412882674372568</v>
      </c>
      <c r="P39" cm="1">
        <f t="array" ref="P39:P42">907185*P34:P37*10^6/(P17*10^9)</f>
        <v>33.473711038933828</v>
      </c>
      <c r="Q39" cm="1">
        <f t="array" ref="Q39:Q42">907185*Q34:Q37*10^6/(Q17*10^9)</f>
        <v>29.399382288642055</v>
      </c>
      <c r="R39" cm="1">
        <f t="array" ref="R39:R42">907185*R34:R37*10^6/(R17*10^9)</f>
        <v>26.993626093428126</v>
      </c>
      <c r="S39" cm="1">
        <f t="array" ref="S39:S42">907185*S34:S37*10^6/(S17*10^9)</f>
        <v>23.97143377317262</v>
      </c>
      <c r="T39" cm="1">
        <f t="array" ref="T39:T42">907185*T34:T37*10^6/(T17*10^9)</f>
        <v>24.746987545660708</v>
      </c>
      <c r="U39" cm="1">
        <f t="array" ref="U39:U42">907185*U34:U37*10^6/(U17*10^9)</f>
        <v>23.764094314439884</v>
      </c>
      <c r="V39" cm="1">
        <f t="array" ref="V39:V42">907185*V34:V37*10^6/(V17*10^9)</f>
        <v>21.309456430146987</v>
      </c>
      <c r="W39" cm="1">
        <f t="array" ref="W39:W42">907185*W34:W37*10^6/(W17*10^9)</f>
        <v>21.434213724963808</v>
      </c>
      <c r="X39" cm="1">
        <f t="array" ref="X39:X42">907185*X34:X37*10^6/(X17*10^9)</f>
        <v>20.917857087517746</v>
      </c>
      <c r="Y39" cm="1">
        <f t="array" ref="Y39:Y42">907185*Y34:Y37*10^6/(Y17*10^9)</f>
        <v>19.829767955589645</v>
      </c>
      <c r="Z39" cm="1">
        <f t="array" ref="Z39:Z42">907185*Z34:Z37*10^6/(Z17*10^9)</f>
        <v>16.926846744988001</v>
      </c>
      <c r="AA39" cm="1">
        <f t="array" ref="AA39:AA42">907185*AA34:AA37*10^6/(AA17*10^9)</f>
        <v>17.834100546914339</v>
      </c>
      <c r="AB39" cm="1">
        <f t="array" ref="AB39:AB42">907185*AB34:AB37*10^6/(AB17*10^9)</f>
        <v>17.869778228801653</v>
      </c>
      <c r="AC39" cm="1">
        <f t="array" ref="AC39:AC42">907185*AC34:AC37*10^6/(AC17*10^9)</f>
        <v>16.180546310204722</v>
      </c>
      <c r="AD39" cm="1">
        <f t="array" ref="AD39:AD42">907185*AD34:AD37*10^6/(AD17*10^9)</f>
        <v>15.825672646429755</v>
      </c>
      <c r="AE39" s="4" cm="1">
        <f t="array" ref="AE39:AE43">(AD39:AD43-D39:D43)/D39:D43</f>
        <v>-0.70477312650112534</v>
      </c>
    </row>
    <row r="40" spans="1:31" x14ac:dyDescent="0.25">
      <c r="A40" t="s">
        <v>65</v>
      </c>
      <c r="B40" t="s">
        <v>67</v>
      </c>
      <c r="C40" t="s">
        <v>71</v>
      </c>
      <c r="D40">
        <v>196.55198335720013</v>
      </c>
      <c r="E40">
        <v>175.86727307200178</v>
      </c>
      <c r="F40">
        <v>156.56807651155478</v>
      </c>
      <c r="G40">
        <v>141.39691289069498</v>
      </c>
      <c r="H40">
        <v>131.77005263933796</v>
      </c>
      <c r="I40">
        <v>133.48906022173165</v>
      </c>
      <c r="J40">
        <v>152.76895196269066</v>
      </c>
      <c r="K40">
        <v>168.82580883404714</v>
      </c>
      <c r="L40">
        <v>171.08222363120865</v>
      </c>
      <c r="M40">
        <v>160.70117385901921</v>
      </c>
      <c r="N40">
        <v>150.445991159248</v>
      </c>
      <c r="O40">
        <v>133.51388958085391</v>
      </c>
      <c r="P40">
        <v>122.73702302582262</v>
      </c>
      <c r="Q40">
        <v>107.79775510465414</v>
      </c>
      <c r="R40">
        <v>98.976633421086433</v>
      </c>
      <c r="S40">
        <v>87.895292125071563</v>
      </c>
      <c r="T40">
        <v>90.738879291751715</v>
      </c>
      <c r="U40">
        <v>87.135008112939772</v>
      </c>
      <c r="V40">
        <v>78.1346286774628</v>
      </c>
      <c r="W40">
        <v>78.592177731699508</v>
      </c>
      <c r="X40">
        <v>76.698781917146647</v>
      </c>
      <c r="Y40">
        <v>72.709194777828742</v>
      </c>
      <c r="Z40">
        <v>62.065073601514769</v>
      </c>
      <c r="AA40">
        <v>65.3916785718677</v>
      </c>
      <c r="AB40">
        <v>65.522487404661504</v>
      </c>
      <c r="AC40">
        <v>59.328646907953896</v>
      </c>
      <c r="AD40">
        <v>58.027424742413224</v>
      </c>
      <c r="AE40" s="4">
        <v>-0.70477314066600827</v>
      </c>
    </row>
    <row r="41" spans="1:31" x14ac:dyDescent="0.25">
      <c r="A41" t="s">
        <v>65</v>
      </c>
      <c r="B41" t="s">
        <v>68</v>
      </c>
      <c r="C41" t="s">
        <v>71</v>
      </c>
      <c r="D41">
        <v>1.4969457884092294E-3</v>
      </c>
      <c r="E41">
        <v>1.5154463593826958E-3</v>
      </c>
      <c r="F41">
        <v>1.5497412118295178E-3</v>
      </c>
      <c r="G41">
        <v>1.5828827223796776E-3</v>
      </c>
      <c r="H41">
        <v>1.5317708706529152E-3</v>
      </c>
      <c r="I41">
        <v>1.4466219403247446E-3</v>
      </c>
      <c r="J41">
        <v>1.2103619623885114E-3</v>
      </c>
      <c r="K41">
        <v>1.4913520589932578E-3</v>
      </c>
      <c r="L41">
        <v>3.1785909567390357E-4</v>
      </c>
      <c r="M41">
        <v>3.6453239416447112E-4</v>
      </c>
      <c r="N41">
        <v>3.510711319598036E-4</v>
      </c>
      <c r="O41">
        <v>3.3896280449429068E-4</v>
      </c>
      <c r="P41">
        <v>3.6812718293230987E-4</v>
      </c>
      <c r="Q41">
        <v>4.5438279864674626E-4</v>
      </c>
      <c r="R41">
        <v>4.5662647187015424E-4</v>
      </c>
      <c r="S41">
        <v>2.5496595549031431E-3</v>
      </c>
      <c r="T41">
        <v>2.6286889419153249E-3</v>
      </c>
      <c r="U41">
        <v>2.6502439160688996E-3</v>
      </c>
      <c r="V41">
        <v>2.6490848266635804E-3</v>
      </c>
      <c r="W41">
        <v>2.6453389335598498E-3</v>
      </c>
      <c r="X41">
        <v>2.7129714240199947E-3</v>
      </c>
      <c r="Y41">
        <v>2.7053440930979748E-3</v>
      </c>
      <c r="Z41">
        <v>2.7456755165984762E-3</v>
      </c>
      <c r="AA41">
        <v>2.6128335658811086E-3</v>
      </c>
      <c r="AB41">
        <v>2.5963513125647399E-3</v>
      </c>
      <c r="AC41">
        <v>2.5700906026735497E-3</v>
      </c>
      <c r="AD41">
        <v>2.5657880188636353E-3</v>
      </c>
      <c r="AE41" s="4">
        <v>0.71401532288636893</v>
      </c>
    </row>
    <row r="42" spans="1:31" x14ac:dyDescent="0.25">
      <c r="A42" t="s">
        <v>65</v>
      </c>
      <c r="B42" t="s">
        <v>69</v>
      </c>
      <c r="C42" t="s">
        <v>71</v>
      </c>
      <c r="D42">
        <v>7.7014509442486778E-2</v>
      </c>
      <c r="E42">
        <v>7.5026133721113872E-2</v>
      </c>
      <c r="F42">
        <v>6.2446822130670425E-2</v>
      </c>
      <c r="G42">
        <v>6.2230592308784784E-2</v>
      </c>
      <c r="H42">
        <v>5.9676860062239205E-2</v>
      </c>
      <c r="I42">
        <v>6.0704542903256872E-2</v>
      </c>
      <c r="J42">
        <v>7.8895031705232835E-2</v>
      </c>
      <c r="K42">
        <v>8.5678175789162647E-2</v>
      </c>
      <c r="L42">
        <v>7.7720425222704462E-2</v>
      </c>
      <c r="M42">
        <v>7.2240810982680842E-2</v>
      </c>
      <c r="N42">
        <v>6.9870624858553249E-2</v>
      </c>
      <c r="O42">
        <v>6.5202885072521755E-2</v>
      </c>
      <c r="P42">
        <v>6.0694132633276103E-2</v>
      </c>
      <c r="Q42">
        <v>5.7045087530106946E-2</v>
      </c>
      <c r="R42">
        <v>5.3259852834942049E-2</v>
      </c>
      <c r="S42">
        <v>5.191736075678096E-2</v>
      </c>
      <c r="T42">
        <v>5.3593471777991529E-2</v>
      </c>
      <c r="U42">
        <v>5.1049995432792518E-2</v>
      </c>
      <c r="V42">
        <v>4.9036933413663608E-2</v>
      </c>
      <c r="W42">
        <v>4.7716636250483377E-2</v>
      </c>
      <c r="X42">
        <v>4.7467514006279909E-2</v>
      </c>
      <c r="Y42">
        <v>4.6357781310235172E-2</v>
      </c>
      <c r="Z42">
        <v>4.434172568982845E-2</v>
      </c>
      <c r="AA42">
        <v>4.3615573762297875E-2</v>
      </c>
      <c r="AB42">
        <v>4.3085553741469662E-2</v>
      </c>
      <c r="AC42">
        <v>4.1344686911160472E-2</v>
      </c>
      <c r="AD42">
        <v>4.1001519602327521E-2</v>
      </c>
      <c r="AE42" s="4">
        <v>-0.46761305240869178</v>
      </c>
    </row>
    <row r="43" spans="1:31" x14ac:dyDescent="0.25">
      <c r="A43" t="s">
        <v>65</v>
      </c>
      <c r="B43" t="s">
        <v>70</v>
      </c>
      <c r="C43" t="s">
        <v>71</v>
      </c>
      <c r="D43">
        <f>907185*D38/(D17*10^9)</f>
        <v>7.4474914846230309E-12</v>
      </c>
      <c r="E43">
        <f>907185*E38/(E17*10^9)</f>
        <v>3.0770484454470983E-11</v>
      </c>
      <c r="F43">
        <f>907185*F38/(F17*10^9)</f>
        <v>7.7487060591475886E-12</v>
      </c>
      <c r="G43">
        <f>907185*G38/(G17*10^9)</f>
        <v>8.0349376770541996E-12</v>
      </c>
      <c r="H43">
        <f>907185*H38/(H17*10^9)</f>
        <v>0</v>
      </c>
      <c r="I43">
        <f>907185*I38/(I17*10^9)</f>
        <v>7.6540843403425627E-12</v>
      </c>
      <c r="J43">
        <f>907185*J38/(J17*10^9)</f>
        <v>7.9108624992713156E-12</v>
      </c>
      <c r="K43">
        <f>907185*K38/(K17*10^9)</f>
        <v>8.2852892166292069E-12</v>
      </c>
      <c r="L43">
        <f>907185*L38/(L17*10^9)</f>
        <v>7.7526608700952078E-12</v>
      </c>
      <c r="M43">
        <f>907185*M38/(M17*10^9)</f>
        <v>0</v>
      </c>
      <c r="N43">
        <f>907185*N38/(N17*10^9)</f>
        <v>0</v>
      </c>
      <c r="O43">
        <f>907185*O38/(O17*10^9)</f>
        <v>0</v>
      </c>
      <c r="P43">
        <f>907185*P38/(P17*10^9)</f>
        <v>0</v>
      </c>
      <c r="Q43">
        <f>907185*Q38/(Q17*10^9)</f>
        <v>0</v>
      </c>
      <c r="R43">
        <f>907185*R38/(R17*10^9)</f>
        <v>0</v>
      </c>
      <c r="S43">
        <f>907185*S38/(S17*10^9)</f>
        <v>0</v>
      </c>
      <c r="T43">
        <f>907185*T38/(T17*10^9)</f>
        <v>0</v>
      </c>
      <c r="U43">
        <f>907185*U38/(U17*10^9)</f>
        <v>0</v>
      </c>
      <c r="V43">
        <f>907185*V38/(V17*10^9)</f>
        <v>0</v>
      </c>
      <c r="W43">
        <f>907185*W38/(W17*10^9)</f>
        <v>0</v>
      </c>
      <c r="X43">
        <f>907185*X38/(X17*10^9)</f>
        <v>0</v>
      </c>
      <c r="Y43">
        <f>907185*Y38/(Y17*10^9)</f>
        <v>0</v>
      </c>
      <c r="Z43">
        <f>907185*Z38/(Z17*10^9)</f>
        <v>0</v>
      </c>
      <c r="AA43">
        <f>907185*AA38/(AA17*10^9)</f>
        <v>0</v>
      </c>
      <c r="AB43">
        <f>907185*AB38/(AB17*10^9)</f>
        <v>0</v>
      </c>
      <c r="AC43">
        <f>907185*AC38/(AC17*10^9)</f>
        <v>0</v>
      </c>
      <c r="AD43">
        <f>907185*AD38/(AD17*10^9)</f>
        <v>0</v>
      </c>
      <c r="AE43" s="4">
        <v>-1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E43"/>
  <sheetViews>
    <sheetView tabSelected="1" topLeftCell="H1" zoomScale="55" zoomScaleNormal="55" workbookViewId="0">
      <selection sqref="A1:A1048576"/>
    </sheetView>
  </sheetViews>
  <sheetFormatPr defaultRowHeight="15" x14ac:dyDescent="0.25"/>
  <cols>
    <col min="1" max="1" width="50.28515625" bestFit="1" customWidth="1"/>
    <col min="2" max="2" width="35.7109375" bestFit="1" customWidth="1"/>
    <col min="3" max="3" width="17.5703125" bestFit="1" customWidth="1"/>
    <col min="4" max="30" width="16" bestFit="1" customWidth="1"/>
    <col min="31" max="31" width="27.42578125" bestFit="1" customWidth="1"/>
  </cols>
  <sheetData>
    <row r="1" spans="1:31" s="3" customFormat="1" ht="15.75" thickBot="1" x14ac:dyDescent="0.3">
      <c r="A1" s="3" t="s">
        <v>72</v>
      </c>
      <c r="B1" s="1" t="s">
        <v>73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</row>
    <row r="2" spans="1:31" ht="15.75" thickTop="1" x14ac:dyDescent="0.25">
      <c r="A2" t="s">
        <v>29</v>
      </c>
      <c r="B2" t="s">
        <v>30</v>
      </c>
      <c r="C2" t="s">
        <v>31</v>
      </c>
      <c r="D2">
        <v>1.9514959999999999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 s="4" cm="1">
        <f t="array" ref="AE2:AE17">(AD2:AD17-D2:D17)/D2:D17</f>
        <v>-1</v>
      </c>
    </row>
    <row r="3" spans="1:31" x14ac:dyDescent="0.25">
      <c r="A3" t="s">
        <v>29</v>
      </c>
      <c r="B3" t="s">
        <v>32</v>
      </c>
      <c r="C3" t="s">
        <v>31</v>
      </c>
      <c r="D3">
        <v>1.1096E-2</v>
      </c>
      <c r="E3">
        <v>3.2590000000000002E-3</v>
      </c>
      <c r="F3">
        <v>2.4859999999999999E-3</v>
      </c>
      <c r="G3">
        <v>2.4859999999999999E-3</v>
      </c>
      <c r="H3">
        <v>2.4859999999999999E-3</v>
      </c>
      <c r="I3">
        <v>2.4859999999999999E-3</v>
      </c>
      <c r="J3">
        <v>2.4859999999999999E-3</v>
      </c>
      <c r="K3">
        <v>2.4859999999999999E-3</v>
      </c>
      <c r="L3">
        <v>3.2590000000000002E-3</v>
      </c>
      <c r="M3">
        <v>2.4859999999999999E-3</v>
      </c>
      <c r="N3">
        <v>2.4859999999999999E-3</v>
      </c>
      <c r="O3">
        <v>2.4859999999999999E-3</v>
      </c>
      <c r="P3">
        <v>1.5839999999999999E-3</v>
      </c>
      <c r="Q3">
        <v>1.5839999999999999E-3</v>
      </c>
      <c r="R3">
        <v>1.5839999999999999E-3</v>
      </c>
      <c r="S3">
        <v>1.5839999999999999E-3</v>
      </c>
      <c r="T3">
        <v>1.5839999999999999E-3</v>
      </c>
      <c r="U3">
        <v>1.5839999999999999E-3</v>
      </c>
      <c r="V3">
        <v>1.5839999999999999E-3</v>
      </c>
      <c r="W3">
        <v>1.5839999999999999E-3</v>
      </c>
      <c r="X3">
        <v>1.5839999999999999E-3</v>
      </c>
      <c r="Y3">
        <v>1.5839999999999999E-3</v>
      </c>
      <c r="Z3">
        <v>1.5839999999999999E-3</v>
      </c>
      <c r="AA3">
        <v>1.5839999999999999E-3</v>
      </c>
      <c r="AB3">
        <v>1.5839999999999999E-3</v>
      </c>
      <c r="AC3">
        <v>1.5839999999999999E-3</v>
      </c>
      <c r="AD3">
        <v>1.5839999999999999E-3</v>
      </c>
      <c r="AE3" s="4">
        <v>-0.85724585436193224</v>
      </c>
    </row>
    <row r="4" spans="1:31" x14ac:dyDescent="0.25">
      <c r="A4" t="s">
        <v>29</v>
      </c>
      <c r="B4" t="s">
        <v>33</v>
      </c>
      <c r="C4" t="s">
        <v>31</v>
      </c>
      <c r="D4">
        <v>54.283039000000002</v>
      </c>
      <c r="E4">
        <v>41.093482999999999</v>
      </c>
      <c r="F4">
        <v>30.703292999999999</v>
      </c>
      <c r="G4">
        <v>31.805147000000002</v>
      </c>
      <c r="H4">
        <v>31.125693999999999</v>
      </c>
      <c r="I4">
        <v>30.453555999999999</v>
      </c>
      <c r="J4">
        <v>32.114567000000001</v>
      </c>
      <c r="K4">
        <v>33.606037000000001</v>
      </c>
      <c r="L4">
        <v>35.911251</v>
      </c>
      <c r="M4">
        <v>32.455227000000001</v>
      </c>
      <c r="N4">
        <v>32.705337999999998</v>
      </c>
      <c r="O4">
        <v>32.172519999999999</v>
      </c>
      <c r="P4">
        <v>30.818152999999999</v>
      </c>
      <c r="Q4">
        <v>29.062321000000001</v>
      </c>
      <c r="R4">
        <v>28.698198000000001</v>
      </c>
      <c r="S4">
        <v>27.555515</v>
      </c>
      <c r="T4">
        <v>27.577265000000001</v>
      </c>
      <c r="U4">
        <v>24.265436000000001</v>
      </c>
      <c r="V4">
        <v>19.923179999999999</v>
      </c>
      <c r="W4">
        <v>21.082342000000001</v>
      </c>
      <c r="X4">
        <v>22.3262</v>
      </c>
      <c r="Y4">
        <v>21.870166999999999</v>
      </c>
      <c r="Z4">
        <v>20.567388999999999</v>
      </c>
      <c r="AA4">
        <v>20.856687999999998</v>
      </c>
      <c r="AB4">
        <v>19.065639000000001</v>
      </c>
      <c r="AC4">
        <v>17.685258999999999</v>
      </c>
      <c r="AD4">
        <v>16.851459999999999</v>
      </c>
      <c r="AE4" s="4">
        <v>-0.68956306959895886</v>
      </c>
    </row>
    <row r="5" spans="1:31" x14ac:dyDescent="0.25">
      <c r="A5" t="s">
        <v>29</v>
      </c>
      <c r="B5" t="s">
        <v>34</v>
      </c>
      <c r="C5" t="s">
        <v>31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 s="4" t="e">
        <v>#DIV/0!</v>
      </c>
    </row>
    <row r="6" spans="1:31" x14ac:dyDescent="0.25">
      <c r="A6" t="s">
        <v>29</v>
      </c>
      <c r="B6" t="s">
        <v>35</v>
      </c>
      <c r="C6" t="s">
        <v>31</v>
      </c>
      <c r="D6">
        <v>-1.050163</v>
      </c>
      <c r="E6">
        <v>-1.6766319999999999</v>
      </c>
      <c r="F6">
        <v>-1.771223</v>
      </c>
      <c r="G6">
        <v>-1.8036019999999999</v>
      </c>
      <c r="H6">
        <v>-1.8294790000000001</v>
      </c>
      <c r="I6">
        <v>-1.873462</v>
      </c>
      <c r="J6">
        <v>-1.8733359999999999</v>
      </c>
      <c r="K6">
        <v>-1.8663350000000001</v>
      </c>
      <c r="L6">
        <v>-1.86425</v>
      </c>
      <c r="M6">
        <v>-1.8581190000000001</v>
      </c>
      <c r="N6">
        <v>-1.779487</v>
      </c>
      <c r="O6">
        <v>-1.8305990000000001</v>
      </c>
      <c r="P6">
        <v>-1.8661490000000001</v>
      </c>
      <c r="Q6">
        <v>-1.759018</v>
      </c>
      <c r="R6">
        <v>-1.7691600000000001</v>
      </c>
      <c r="S6">
        <v>-1.774276</v>
      </c>
      <c r="T6">
        <v>-1.8686590000000001</v>
      </c>
      <c r="U6">
        <v>-2.1820279999999999</v>
      </c>
      <c r="V6">
        <v>-2.7828560000000002</v>
      </c>
      <c r="W6">
        <v>-2.8054190000000001</v>
      </c>
      <c r="X6">
        <v>-2.704453</v>
      </c>
      <c r="Y6">
        <v>-2.9029199999999999</v>
      </c>
      <c r="Z6">
        <v>-3.0423100000000001</v>
      </c>
      <c r="AA6">
        <v>-3.090929</v>
      </c>
      <c r="AB6">
        <v>-3.0817709999999998</v>
      </c>
      <c r="AC6">
        <v>-3.2116120000000001</v>
      </c>
      <c r="AD6">
        <v>-3.8309250000000001</v>
      </c>
      <c r="AE6" s="4">
        <v>2.6479337017205902</v>
      </c>
    </row>
    <row r="7" spans="1:31" x14ac:dyDescent="0.25">
      <c r="A7" t="s">
        <v>29</v>
      </c>
      <c r="B7" t="s">
        <v>36</v>
      </c>
      <c r="C7" t="s">
        <v>31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 s="4" t="e">
        <v>#DIV/0!</v>
      </c>
    </row>
    <row r="8" spans="1:31" x14ac:dyDescent="0.25">
      <c r="A8" t="s">
        <v>29</v>
      </c>
      <c r="B8" t="s">
        <v>37</v>
      </c>
      <c r="C8" t="s">
        <v>31</v>
      </c>
      <c r="D8">
        <v>5.0544500000000001</v>
      </c>
      <c r="E8">
        <v>5.4937500000000004</v>
      </c>
      <c r="F8">
        <v>5.7076640000000003</v>
      </c>
      <c r="G8">
        <v>5.9131099999999996</v>
      </c>
      <c r="H8">
        <v>5.9206310000000002</v>
      </c>
      <c r="I8">
        <v>5.9166460000000001</v>
      </c>
      <c r="J8">
        <v>5.9194060000000004</v>
      </c>
      <c r="K8">
        <v>5.9178090000000001</v>
      </c>
      <c r="L8">
        <v>5.9136540000000002</v>
      </c>
      <c r="M8">
        <v>5.892468</v>
      </c>
      <c r="N8">
        <v>5.6696270000000002</v>
      </c>
      <c r="O8">
        <v>5.6273799999999996</v>
      </c>
      <c r="P8">
        <v>5.5776500000000002</v>
      </c>
      <c r="Q8">
        <v>5.505509</v>
      </c>
      <c r="R8">
        <v>5.4724380000000004</v>
      </c>
      <c r="S8">
        <v>5.439425</v>
      </c>
      <c r="T8">
        <v>5.439381</v>
      </c>
      <c r="U8">
        <v>5.4370909999999997</v>
      </c>
      <c r="V8">
        <v>5.4424809999999999</v>
      </c>
      <c r="W8">
        <v>5.4420409999999997</v>
      </c>
      <c r="X8">
        <v>5.4492139999999996</v>
      </c>
      <c r="Y8">
        <v>5.4391319999999999</v>
      </c>
      <c r="Z8">
        <v>5.4322889999999999</v>
      </c>
      <c r="AA8">
        <v>5.4127970000000003</v>
      </c>
      <c r="AB8">
        <v>5.4131239999999998</v>
      </c>
      <c r="AC8">
        <v>5.4122700000000004</v>
      </c>
      <c r="AD8">
        <v>5.4245510000000001</v>
      </c>
      <c r="AE8" s="4">
        <v>7.3222803668054878E-2</v>
      </c>
    </row>
    <row r="9" spans="1:31" x14ac:dyDescent="0.25">
      <c r="A9" t="s">
        <v>29</v>
      </c>
      <c r="B9" t="s">
        <v>38</v>
      </c>
      <c r="C9" t="s">
        <v>31</v>
      </c>
      <c r="D9">
        <v>1.824908</v>
      </c>
      <c r="E9">
        <v>1.7971619999999999</v>
      </c>
      <c r="F9">
        <v>1.9680249999999999</v>
      </c>
      <c r="G9">
        <v>2.0552489999999999</v>
      </c>
      <c r="H9">
        <v>2.4161060000000001</v>
      </c>
      <c r="I9">
        <v>2.7912819999999998</v>
      </c>
      <c r="J9">
        <v>3.1750389999999999</v>
      </c>
      <c r="K9">
        <v>3.5620059999999998</v>
      </c>
      <c r="L9">
        <v>3.9542959999999998</v>
      </c>
      <c r="M9">
        <v>4.3505330000000004</v>
      </c>
      <c r="N9">
        <v>4.749784</v>
      </c>
      <c r="O9">
        <v>5.1513809999999998</v>
      </c>
      <c r="P9">
        <v>5.5548460000000004</v>
      </c>
      <c r="Q9">
        <v>5.9598240000000002</v>
      </c>
      <c r="R9">
        <v>6.3578989999999997</v>
      </c>
      <c r="S9">
        <v>6.5613900000000003</v>
      </c>
      <c r="T9">
        <v>6.7649689999999998</v>
      </c>
      <c r="U9">
        <v>6.9687429999999999</v>
      </c>
      <c r="V9">
        <v>7.1727239999999997</v>
      </c>
      <c r="W9">
        <v>7.3768960000000003</v>
      </c>
      <c r="X9">
        <v>7.5812460000000002</v>
      </c>
      <c r="Y9">
        <v>7.7857589999999997</v>
      </c>
      <c r="Z9">
        <v>7.9863379999999999</v>
      </c>
      <c r="AA9">
        <v>8.1832189999999994</v>
      </c>
      <c r="AB9">
        <v>8.3328480000000003</v>
      </c>
      <c r="AC9">
        <v>8.3328480000000003</v>
      </c>
      <c r="AD9">
        <v>8.3328480000000003</v>
      </c>
      <c r="AE9" s="4">
        <v>3.5661742948137665</v>
      </c>
    </row>
    <row r="10" spans="1:31" x14ac:dyDescent="0.25">
      <c r="A10" t="s">
        <v>29</v>
      </c>
      <c r="B10" t="s">
        <v>39</v>
      </c>
      <c r="C10" t="s">
        <v>31</v>
      </c>
      <c r="D10">
        <v>0.73892100000000005</v>
      </c>
      <c r="E10">
        <v>0.61931199999999997</v>
      </c>
      <c r="F10">
        <v>0.72179899999999997</v>
      </c>
      <c r="G10">
        <v>0.76001799999999997</v>
      </c>
      <c r="H10">
        <v>0.80164599999999997</v>
      </c>
      <c r="I10">
        <v>0.836507</v>
      </c>
      <c r="J10">
        <v>0.870753</v>
      </c>
      <c r="K10">
        <v>0.90812099999999996</v>
      </c>
      <c r="L10">
        <v>0.94624399999999997</v>
      </c>
      <c r="M10">
        <v>0.98469300000000004</v>
      </c>
      <c r="N10">
        <v>1.0165930000000001</v>
      </c>
      <c r="O10">
        <v>1.050503</v>
      </c>
      <c r="P10">
        <v>1.085871</v>
      </c>
      <c r="Q10">
        <v>1.123866</v>
      </c>
      <c r="R10">
        <v>1.1634089999999999</v>
      </c>
      <c r="S10">
        <v>1.190823</v>
      </c>
      <c r="T10">
        <v>1.218901</v>
      </c>
      <c r="U10">
        <v>1.2474719999999999</v>
      </c>
      <c r="V10">
        <v>1.276467</v>
      </c>
      <c r="W10">
        <v>1.3057049999999999</v>
      </c>
      <c r="X10">
        <v>1.3208500000000001</v>
      </c>
      <c r="Y10">
        <v>1.3358490000000001</v>
      </c>
      <c r="Z10">
        <v>1.3509450000000001</v>
      </c>
      <c r="AA10">
        <v>1.366306</v>
      </c>
      <c r="AB10">
        <v>1.3816850000000001</v>
      </c>
      <c r="AC10">
        <v>1.3816850000000001</v>
      </c>
      <c r="AD10">
        <v>1.3816850000000001</v>
      </c>
      <c r="AE10" s="4">
        <v>0.86986836211178187</v>
      </c>
    </row>
    <row r="11" spans="1:31" x14ac:dyDescent="0.25">
      <c r="A11" t="s">
        <v>29</v>
      </c>
      <c r="B11" t="s">
        <v>40</v>
      </c>
      <c r="C11" t="s">
        <v>31</v>
      </c>
      <c r="D11">
        <v>0.15282499999999999</v>
      </c>
      <c r="E11">
        <v>0.171706</v>
      </c>
      <c r="F11">
        <v>0.171706</v>
      </c>
      <c r="G11">
        <v>0.171706</v>
      </c>
      <c r="H11">
        <v>0.171706</v>
      </c>
      <c r="I11">
        <v>0.171706</v>
      </c>
      <c r="J11">
        <v>0.171706</v>
      </c>
      <c r="K11">
        <v>0.171706</v>
      </c>
      <c r="L11">
        <v>0.17316699999999999</v>
      </c>
      <c r="M11">
        <v>0.17316699999999999</v>
      </c>
      <c r="N11">
        <v>0.171706</v>
      </c>
      <c r="O11">
        <v>0.171706</v>
      </c>
      <c r="P11">
        <v>0.171706</v>
      </c>
      <c r="Q11">
        <v>0.171706</v>
      </c>
      <c r="R11">
        <v>0.171706</v>
      </c>
      <c r="S11">
        <v>0.171706</v>
      </c>
      <c r="T11">
        <v>0.171518</v>
      </c>
      <c r="U11">
        <v>0.171706</v>
      </c>
      <c r="V11">
        <v>0.171706</v>
      </c>
      <c r="W11">
        <v>0.171706</v>
      </c>
      <c r="X11">
        <v>0.171706</v>
      </c>
      <c r="Y11">
        <v>0.171706</v>
      </c>
      <c r="Z11">
        <v>0.171706</v>
      </c>
      <c r="AA11">
        <v>0.171518</v>
      </c>
      <c r="AB11">
        <v>0.171518</v>
      </c>
      <c r="AC11">
        <v>0.171706</v>
      </c>
      <c r="AD11">
        <v>0.171706</v>
      </c>
      <c r="AE11" s="4">
        <v>0.12354654016031415</v>
      </c>
    </row>
    <row r="12" spans="1:31" x14ac:dyDescent="0.25">
      <c r="A12" t="s">
        <v>29</v>
      </c>
      <c r="B12" t="s">
        <v>41</v>
      </c>
      <c r="C12" t="s">
        <v>31</v>
      </c>
      <c r="D12">
        <v>1.85225</v>
      </c>
      <c r="E12">
        <v>1.7174419999999999</v>
      </c>
      <c r="F12">
        <v>1.9151320000000001</v>
      </c>
      <c r="G12">
        <v>1.9164840000000001</v>
      </c>
      <c r="H12">
        <v>1.9092830000000001</v>
      </c>
      <c r="I12">
        <v>1.914696</v>
      </c>
      <c r="J12">
        <v>1.9106879999999999</v>
      </c>
      <c r="K12">
        <v>1.913894</v>
      </c>
      <c r="L12">
        <v>1.916053</v>
      </c>
      <c r="M12">
        <v>1.9184159999999999</v>
      </c>
      <c r="N12">
        <v>1.8817999999999999</v>
      </c>
      <c r="O12">
        <v>1.3008360000000001</v>
      </c>
      <c r="P12">
        <v>1.8326979999999999</v>
      </c>
      <c r="Q12">
        <v>1.2716769999999999</v>
      </c>
      <c r="R12">
        <v>1.081391</v>
      </c>
      <c r="S12">
        <v>1.7498590000000001</v>
      </c>
      <c r="T12">
        <v>1.7111749999999999</v>
      </c>
      <c r="U12">
        <v>1.719225</v>
      </c>
      <c r="V12">
        <v>1.7641910000000001</v>
      </c>
      <c r="W12">
        <v>1.7280720000000001</v>
      </c>
      <c r="X12">
        <v>1.714872</v>
      </c>
      <c r="Y12">
        <v>1.7095670000000001</v>
      </c>
      <c r="Z12">
        <v>1.6882550000000001</v>
      </c>
      <c r="AA12">
        <v>1.6798729999999999</v>
      </c>
      <c r="AB12">
        <v>1.6845490000000001</v>
      </c>
      <c r="AC12">
        <v>1.6986239999999999</v>
      </c>
      <c r="AD12">
        <v>1.705087</v>
      </c>
      <c r="AE12" s="4">
        <v>-7.9450938048319583E-2</v>
      </c>
    </row>
    <row r="13" spans="1:31" x14ac:dyDescent="0.25">
      <c r="A13" t="s">
        <v>29</v>
      </c>
      <c r="B13" t="s">
        <v>42</v>
      </c>
      <c r="C13" t="s">
        <v>31</v>
      </c>
      <c r="D13">
        <v>34.503922000000003</v>
      </c>
      <c r="E13">
        <v>38.466614</v>
      </c>
      <c r="F13">
        <v>46.907744999999998</v>
      </c>
      <c r="G13">
        <v>48.517204</v>
      </c>
      <c r="H13">
        <v>48.371979000000003</v>
      </c>
      <c r="I13">
        <v>48.458542000000001</v>
      </c>
      <c r="J13">
        <v>48.405372999999997</v>
      </c>
      <c r="K13">
        <v>48.459553</v>
      </c>
      <c r="L13">
        <v>48.481926000000001</v>
      </c>
      <c r="M13">
        <v>65.604408000000006</v>
      </c>
      <c r="N13">
        <v>75.234665000000007</v>
      </c>
      <c r="O13">
        <v>74.839118999999997</v>
      </c>
      <c r="P13">
        <v>74.631691000000004</v>
      </c>
      <c r="Q13">
        <v>72.585883999999993</v>
      </c>
      <c r="R13">
        <v>70.968811000000002</v>
      </c>
      <c r="S13">
        <v>70.692490000000006</v>
      </c>
      <c r="T13">
        <v>74.950667999999993</v>
      </c>
      <c r="U13">
        <v>78.422820999999999</v>
      </c>
      <c r="V13">
        <v>81.298034999999999</v>
      </c>
      <c r="W13">
        <v>88.357444999999998</v>
      </c>
      <c r="X13">
        <v>89.372864000000007</v>
      </c>
      <c r="Y13">
        <v>89.758697999999995</v>
      </c>
      <c r="Z13">
        <v>94.796501000000006</v>
      </c>
      <c r="AA13">
        <v>95.675788999999995</v>
      </c>
      <c r="AB13">
        <v>96.007874000000001</v>
      </c>
      <c r="AC13">
        <v>97.020149000000004</v>
      </c>
      <c r="AD13">
        <v>102.17556</v>
      </c>
      <c r="AE13" s="4">
        <v>1.9612737937443747</v>
      </c>
    </row>
    <row r="14" spans="1:31" x14ac:dyDescent="0.25">
      <c r="A14" t="s">
        <v>29</v>
      </c>
      <c r="B14" t="s">
        <v>43</v>
      </c>
      <c r="C14" t="s">
        <v>31</v>
      </c>
      <c r="D14">
        <v>11.128292</v>
      </c>
      <c r="E14">
        <v>10.861587999999999</v>
      </c>
      <c r="F14">
        <v>11.257408</v>
      </c>
      <c r="G14">
        <v>11.631055999999999</v>
      </c>
      <c r="H14">
        <v>11.63411</v>
      </c>
      <c r="I14">
        <v>11.631027</v>
      </c>
      <c r="J14">
        <v>11.63147</v>
      </c>
      <c r="K14">
        <v>11.629439</v>
      </c>
      <c r="L14">
        <v>11.565329</v>
      </c>
      <c r="M14">
        <v>11.397659000000001</v>
      </c>
      <c r="N14">
        <v>10.687924000000001</v>
      </c>
      <c r="O14">
        <v>9.7972940000000008</v>
      </c>
      <c r="P14">
        <v>10.357339</v>
      </c>
      <c r="Q14">
        <v>8.8225130000000007</v>
      </c>
      <c r="R14">
        <v>9.6772659999999995</v>
      </c>
      <c r="S14">
        <v>9.4529549999999993</v>
      </c>
      <c r="T14">
        <v>9.4002440000000007</v>
      </c>
      <c r="U14">
        <v>9.3927399999999999</v>
      </c>
      <c r="V14">
        <v>9.5139770000000006</v>
      </c>
      <c r="W14">
        <v>9.4443579999999994</v>
      </c>
      <c r="X14">
        <v>9.446688</v>
      </c>
      <c r="Y14">
        <v>9.3930600000000002</v>
      </c>
      <c r="Z14">
        <v>11.790717000000001</v>
      </c>
      <c r="AA14">
        <v>12.306101</v>
      </c>
      <c r="AB14">
        <v>12.312037</v>
      </c>
      <c r="AC14">
        <v>12.323835000000001</v>
      </c>
      <c r="AD14">
        <v>12.360830999999999</v>
      </c>
      <c r="AE14" s="4">
        <v>0.11075724828212624</v>
      </c>
    </row>
    <row r="15" spans="1:31" x14ac:dyDescent="0.25">
      <c r="A15" t="s">
        <v>29</v>
      </c>
      <c r="B15" t="s">
        <v>44</v>
      </c>
      <c r="C15" t="s">
        <v>31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s="4" t="e">
        <v>#DIV/0!</v>
      </c>
    </row>
    <row r="16" spans="1:31" x14ac:dyDescent="0.25">
      <c r="A16" t="s">
        <v>29</v>
      </c>
      <c r="B16" s="6" t="s">
        <v>45</v>
      </c>
      <c r="C16" t="s">
        <v>31</v>
      </c>
      <c r="D16">
        <v>0</v>
      </c>
      <c r="E16">
        <v>0</v>
      </c>
      <c r="F16">
        <v>0</v>
      </c>
      <c r="G16">
        <v>7.9889999999999996E-3</v>
      </c>
      <c r="H16">
        <v>1.4673E-2</v>
      </c>
      <c r="I16">
        <v>3.1751000000000001E-2</v>
      </c>
      <c r="J16">
        <v>4.7655999999999997E-2</v>
      </c>
      <c r="K16">
        <v>6.3661999999999996E-2</v>
      </c>
      <c r="L16">
        <v>0.19171199999999999</v>
      </c>
      <c r="M16">
        <v>0.213669</v>
      </c>
      <c r="N16">
        <v>0.23755699999999999</v>
      </c>
      <c r="O16">
        <v>0.26184600000000002</v>
      </c>
      <c r="P16">
        <v>0.28582400000000002</v>
      </c>
      <c r="Q16">
        <v>0.30947599999999997</v>
      </c>
      <c r="R16">
        <v>0.333092</v>
      </c>
      <c r="S16">
        <v>0.40622200000000003</v>
      </c>
      <c r="T16">
        <v>0.42928500000000003</v>
      </c>
      <c r="U16">
        <v>0.45128499999999999</v>
      </c>
      <c r="V16">
        <v>0.47239300000000001</v>
      </c>
      <c r="W16">
        <v>0.491981</v>
      </c>
      <c r="X16">
        <v>0.51112999999999997</v>
      </c>
      <c r="Y16">
        <v>0.53032599999999996</v>
      </c>
      <c r="Z16">
        <v>0.54917700000000003</v>
      </c>
      <c r="AA16">
        <v>0.56843600000000005</v>
      </c>
      <c r="AB16">
        <v>0.58742499999999997</v>
      </c>
      <c r="AC16">
        <v>0.60684000000000005</v>
      </c>
      <c r="AD16">
        <v>0.62571399999999999</v>
      </c>
      <c r="AE16" s="4" t="e">
        <v>#DIV/0!</v>
      </c>
    </row>
    <row r="17" spans="1:31" x14ac:dyDescent="0.25">
      <c r="A17" t="s">
        <v>29</v>
      </c>
      <c r="B17" s="6" t="s">
        <v>46</v>
      </c>
      <c r="C17" t="s">
        <v>31</v>
      </c>
      <c r="D17">
        <v>110.451035</v>
      </c>
      <c r="E17">
        <v>98.547684000000004</v>
      </c>
      <c r="F17">
        <v>97.584029999999998</v>
      </c>
      <c r="G17">
        <v>100.976845</v>
      </c>
      <c r="H17">
        <v>100.538826</v>
      </c>
      <c r="I17">
        <v>100.33474</v>
      </c>
      <c r="J17">
        <v>102.375809</v>
      </c>
      <c r="K17">
        <v>104.36837</v>
      </c>
      <c r="L17">
        <v>107.19264200000001</v>
      </c>
      <c r="M17">
        <v>121.13460499999999</v>
      </c>
      <c r="N17">
        <v>130.577988</v>
      </c>
      <c r="O17">
        <v>128.544479</v>
      </c>
      <c r="P17">
        <v>128.45121800000001</v>
      </c>
      <c r="Q17">
        <v>123.05534400000001</v>
      </c>
      <c r="R17">
        <v>122.156639</v>
      </c>
      <c r="S17">
        <v>121.44768500000001</v>
      </c>
      <c r="T17">
        <v>125.796333</v>
      </c>
      <c r="U17">
        <v>125.89608</v>
      </c>
      <c r="V17">
        <v>124.253891</v>
      </c>
      <c r="W17">
        <v>132.59671</v>
      </c>
      <c r="X17">
        <v>135.19191000000001</v>
      </c>
      <c r="Y17">
        <v>135.09292600000001</v>
      </c>
      <c r="Z17">
        <v>141.292587</v>
      </c>
      <c r="AA17">
        <v>143.13137800000001</v>
      </c>
      <c r="AB17">
        <v>141.87651099999999</v>
      </c>
      <c r="AC17">
        <v>141.42318700000001</v>
      </c>
      <c r="AD17">
        <v>145.20008899999999</v>
      </c>
      <c r="AE17" s="4">
        <v>0.31461048780575018</v>
      </c>
    </row>
    <row r="18" spans="1:31" x14ac:dyDescent="0.25">
      <c r="A18" t="s">
        <v>75</v>
      </c>
      <c r="B18" t="s">
        <v>47</v>
      </c>
      <c r="C18" t="s">
        <v>48</v>
      </c>
      <c r="D18">
        <v>29.764185000000001</v>
      </c>
      <c r="E18">
        <v>29.665832999999999</v>
      </c>
      <c r="F18">
        <v>26.877935000000001</v>
      </c>
      <c r="G18">
        <v>25.229648999999998</v>
      </c>
      <c r="H18">
        <v>25.164964999999999</v>
      </c>
      <c r="I18">
        <v>25.352046999999999</v>
      </c>
      <c r="J18">
        <v>25.588712999999998</v>
      </c>
      <c r="K18">
        <v>25.940083999999999</v>
      </c>
      <c r="L18">
        <v>26.24099</v>
      </c>
      <c r="M18">
        <v>26.517337999999999</v>
      </c>
      <c r="N18">
        <v>26.637594</v>
      </c>
      <c r="O18">
        <v>26.754313</v>
      </c>
      <c r="P18">
        <v>26.783846</v>
      </c>
      <c r="Q18">
        <v>26.710553999999998</v>
      </c>
      <c r="R18">
        <v>26.773712</v>
      </c>
      <c r="S18">
        <v>26.668810000000001</v>
      </c>
      <c r="T18">
        <v>26.722840999999999</v>
      </c>
      <c r="U18">
        <v>26.975947999999999</v>
      </c>
      <c r="V18">
        <v>27.285056999999998</v>
      </c>
      <c r="W18">
        <v>27.674747</v>
      </c>
      <c r="X18">
        <v>28.011087</v>
      </c>
      <c r="Y18">
        <v>28.253843</v>
      </c>
      <c r="Z18">
        <v>28.596516000000001</v>
      </c>
      <c r="AA18">
        <v>28.744112000000001</v>
      </c>
      <c r="AB18">
        <v>28.984739000000001</v>
      </c>
      <c r="AC18">
        <v>29.145218</v>
      </c>
      <c r="AD18">
        <v>29.618013000000001</v>
      </c>
      <c r="AE18" s="4" cm="1">
        <f t="array" ref="AE18:AE22">(AD18:AD22-D18:D22)/D18:D22</f>
        <v>-4.9110029385988551E-3</v>
      </c>
    </row>
    <row r="19" spans="1:31" x14ac:dyDescent="0.25">
      <c r="A19" t="s">
        <v>75</v>
      </c>
      <c r="B19" t="s">
        <v>49</v>
      </c>
      <c r="C19" t="s">
        <v>48</v>
      </c>
      <c r="D19">
        <v>25.059661999999999</v>
      </c>
      <c r="E19">
        <v>24.555143000000001</v>
      </c>
      <c r="F19">
        <v>21.759537000000002</v>
      </c>
      <c r="G19">
        <v>20.185064000000001</v>
      </c>
      <c r="H19">
        <v>20.081372999999999</v>
      </c>
      <c r="I19">
        <v>20.167252000000001</v>
      </c>
      <c r="J19">
        <v>20.282518</v>
      </c>
      <c r="K19">
        <v>20.484103999999999</v>
      </c>
      <c r="L19">
        <v>20.601889</v>
      </c>
      <c r="M19">
        <v>20.694762999999998</v>
      </c>
      <c r="N19">
        <v>20.663874</v>
      </c>
      <c r="O19">
        <v>20.662870000000002</v>
      </c>
      <c r="P19">
        <v>20.590418</v>
      </c>
      <c r="Q19">
        <v>20.413916</v>
      </c>
      <c r="R19">
        <v>20.274864000000001</v>
      </c>
      <c r="S19">
        <v>19.982137999999999</v>
      </c>
      <c r="T19">
        <v>19.851641000000001</v>
      </c>
      <c r="U19">
        <v>19.938095000000001</v>
      </c>
      <c r="V19">
        <v>20.053114000000001</v>
      </c>
      <c r="W19">
        <v>20.252234000000001</v>
      </c>
      <c r="X19">
        <v>20.383543</v>
      </c>
      <c r="Y19">
        <v>20.419104000000001</v>
      </c>
      <c r="Z19">
        <v>20.550657000000001</v>
      </c>
      <c r="AA19">
        <v>20.477931999999999</v>
      </c>
      <c r="AB19">
        <v>20.483677</v>
      </c>
      <c r="AC19">
        <v>20.459154000000002</v>
      </c>
      <c r="AD19">
        <v>20.724207</v>
      </c>
      <c r="AE19" s="4">
        <v>-0.17300532624901324</v>
      </c>
    </row>
    <row r="20" spans="1:31" x14ac:dyDescent="0.25">
      <c r="A20" t="s">
        <v>75</v>
      </c>
      <c r="B20" t="s">
        <v>50</v>
      </c>
      <c r="C20" t="s">
        <v>48</v>
      </c>
      <c r="D20">
        <v>20.660354999999999</v>
      </c>
      <c r="E20">
        <v>20.301501999999999</v>
      </c>
      <c r="F20">
        <v>17.407005000000002</v>
      </c>
      <c r="G20">
        <v>16.094418999999998</v>
      </c>
      <c r="H20">
        <v>15.953654999999999</v>
      </c>
      <c r="I20">
        <v>16.013660000000002</v>
      </c>
      <c r="J20">
        <v>16.105391999999998</v>
      </c>
      <c r="K20">
        <v>16.266293999999998</v>
      </c>
      <c r="L20">
        <v>16.423404999999999</v>
      </c>
      <c r="M20">
        <v>16.520278999999999</v>
      </c>
      <c r="N20">
        <v>16.503257999999999</v>
      </c>
      <c r="O20">
        <v>16.528490000000001</v>
      </c>
      <c r="P20">
        <v>16.461058000000001</v>
      </c>
      <c r="Q20">
        <v>16.287945000000001</v>
      </c>
      <c r="R20">
        <v>16.165662999999999</v>
      </c>
      <c r="S20">
        <v>15.907432</v>
      </c>
      <c r="T20">
        <v>15.809298999999999</v>
      </c>
      <c r="U20">
        <v>15.887969999999999</v>
      </c>
      <c r="V20">
        <v>15.979112000000001</v>
      </c>
      <c r="W20">
        <v>16.125868000000001</v>
      </c>
      <c r="X20">
        <v>16.235711999999999</v>
      </c>
      <c r="Y20">
        <v>16.266604999999998</v>
      </c>
      <c r="Z20">
        <v>16.334757</v>
      </c>
      <c r="AA20">
        <v>16.249701999999999</v>
      </c>
      <c r="AB20">
        <v>16.267668</v>
      </c>
      <c r="AC20">
        <v>16.230267000000001</v>
      </c>
      <c r="AD20">
        <v>16.435714999999998</v>
      </c>
      <c r="AE20" s="4">
        <v>-0.20448051352457405</v>
      </c>
    </row>
    <row r="21" spans="1:31" x14ac:dyDescent="0.25">
      <c r="A21" t="s">
        <v>75</v>
      </c>
      <c r="B21" t="s">
        <v>51</v>
      </c>
      <c r="C21" t="s">
        <v>48</v>
      </c>
      <c r="D21">
        <v>26.075275000000001</v>
      </c>
      <c r="E21">
        <v>25.551559000000001</v>
      </c>
      <c r="F21">
        <v>22.872337000000002</v>
      </c>
      <c r="G21">
        <v>21.024422000000001</v>
      </c>
      <c r="H21">
        <v>20.910962999999999</v>
      </c>
      <c r="I21">
        <v>20.995449000000001</v>
      </c>
      <c r="J21">
        <v>21.127756000000002</v>
      </c>
      <c r="K21">
        <v>21.313220999999999</v>
      </c>
      <c r="L21">
        <v>21.458487999999999</v>
      </c>
      <c r="M21">
        <v>21.591372</v>
      </c>
      <c r="N21">
        <v>21.602943</v>
      </c>
      <c r="O21">
        <v>21.623936</v>
      </c>
      <c r="P21">
        <v>21.582148</v>
      </c>
      <c r="Q21">
        <v>21.421157999999998</v>
      </c>
      <c r="R21">
        <v>21.298103000000001</v>
      </c>
      <c r="S21">
        <v>21.045864000000002</v>
      </c>
      <c r="T21">
        <v>20.924037999999999</v>
      </c>
      <c r="U21">
        <v>20.964562999999998</v>
      </c>
      <c r="V21">
        <v>21.086711999999999</v>
      </c>
      <c r="W21">
        <v>21.263786</v>
      </c>
      <c r="X21">
        <v>21.396013</v>
      </c>
      <c r="Y21">
        <v>21.46003</v>
      </c>
      <c r="Z21">
        <v>21.584564</v>
      </c>
      <c r="AA21">
        <v>21.525037999999999</v>
      </c>
      <c r="AB21">
        <v>21.534101</v>
      </c>
      <c r="AC21">
        <v>21.533066000000002</v>
      </c>
      <c r="AD21">
        <v>21.766977000000001</v>
      </c>
      <c r="AE21" s="4">
        <v>-0.16522540989500592</v>
      </c>
    </row>
    <row r="22" spans="1:31" x14ac:dyDescent="0.25">
      <c r="A22" t="s">
        <v>75</v>
      </c>
      <c r="B22" t="s">
        <v>52</v>
      </c>
      <c r="C22" t="s">
        <v>48</v>
      </c>
      <c r="D22">
        <v>26.289209</v>
      </c>
      <c r="E22">
        <v>25.833227000000001</v>
      </c>
      <c r="F22">
        <v>23.060997</v>
      </c>
      <c r="G22">
        <v>21.512353999999998</v>
      </c>
      <c r="H22">
        <v>21.435665</v>
      </c>
      <c r="I22">
        <v>21.548912000000001</v>
      </c>
      <c r="J22">
        <v>21.689941000000001</v>
      </c>
      <c r="K22">
        <v>21.916938999999999</v>
      </c>
      <c r="L22">
        <v>22.073129999999999</v>
      </c>
      <c r="M22">
        <v>22.196342000000001</v>
      </c>
      <c r="N22">
        <v>22.183374000000001</v>
      </c>
      <c r="O22">
        <v>22.193366999999999</v>
      </c>
      <c r="P22">
        <v>22.131478999999999</v>
      </c>
      <c r="Q22">
        <v>21.969577999999998</v>
      </c>
      <c r="R22">
        <v>21.877506</v>
      </c>
      <c r="S22">
        <v>21.630806</v>
      </c>
      <c r="T22">
        <v>21.543054999999999</v>
      </c>
      <c r="U22">
        <v>21.662261999999998</v>
      </c>
      <c r="V22">
        <v>21.818636000000001</v>
      </c>
      <c r="W22">
        <v>22.055537999999999</v>
      </c>
      <c r="X22">
        <v>22.233104999999998</v>
      </c>
      <c r="Y22">
        <v>22.316424999999999</v>
      </c>
      <c r="Z22">
        <v>22.49044</v>
      </c>
      <c r="AA22">
        <v>22.467891999999999</v>
      </c>
      <c r="AB22">
        <v>22.529598</v>
      </c>
      <c r="AC22">
        <v>22.540679999999998</v>
      </c>
      <c r="AD22">
        <v>22.841270000000002</v>
      </c>
      <c r="AE22" s="4">
        <v>-0.13115415530379776</v>
      </c>
    </row>
    <row r="23" spans="1:31" x14ac:dyDescent="0.25">
      <c r="A23" t="s">
        <v>74</v>
      </c>
      <c r="B23" t="s">
        <v>47</v>
      </c>
      <c r="C23" t="s">
        <v>53</v>
      </c>
      <c r="D23">
        <v>29.764185000000001</v>
      </c>
      <c r="E23">
        <v>30.274460000000001</v>
      </c>
      <c r="F23">
        <v>27.892574</v>
      </c>
      <c r="G23">
        <v>26.618431000000001</v>
      </c>
      <c r="H23">
        <v>27.051515999999999</v>
      </c>
      <c r="I23">
        <v>27.736048</v>
      </c>
      <c r="J23">
        <v>28.518066000000001</v>
      </c>
      <c r="K23">
        <v>29.504014999999999</v>
      </c>
      <c r="L23">
        <v>30.476942000000001</v>
      </c>
      <c r="M23">
        <v>31.468153000000001</v>
      </c>
      <c r="N23">
        <v>32.310786999999998</v>
      </c>
      <c r="O23">
        <v>33.155929999999998</v>
      </c>
      <c r="P23">
        <v>33.879463000000001</v>
      </c>
      <c r="Q23">
        <v>34.489474999999999</v>
      </c>
      <c r="R23">
        <v>35.285254999999999</v>
      </c>
      <c r="S23">
        <v>35.866840000000003</v>
      </c>
      <c r="T23">
        <v>36.695663000000003</v>
      </c>
      <c r="U23">
        <v>37.834277999999998</v>
      </c>
      <c r="V23">
        <v>39.102451000000002</v>
      </c>
      <c r="W23">
        <v>40.543964000000003</v>
      </c>
      <c r="X23">
        <v>41.950690999999999</v>
      </c>
      <c r="Y23">
        <v>43.269008999999997</v>
      </c>
      <c r="Z23">
        <v>44.784264</v>
      </c>
      <c r="AA23">
        <v>46.041865999999999</v>
      </c>
      <c r="AB23">
        <v>47.485934999999998</v>
      </c>
      <c r="AC23">
        <v>48.827114000000002</v>
      </c>
      <c r="AD23">
        <v>50.730862000000002</v>
      </c>
      <c r="AE23" s="4" cm="1">
        <f t="array" ref="AE23:AE27">(AD23:AD27-D23:D27)/D23:D27</f>
        <v>0.70442637686870979</v>
      </c>
    </row>
    <row r="24" spans="1:31" x14ac:dyDescent="0.25">
      <c r="A24" t="s">
        <v>74</v>
      </c>
      <c r="B24" t="s">
        <v>49</v>
      </c>
      <c r="C24" t="s">
        <v>53</v>
      </c>
      <c r="D24">
        <v>25.059661999999999</v>
      </c>
      <c r="E24">
        <v>25.058917999999998</v>
      </c>
      <c r="F24">
        <v>22.580957000000001</v>
      </c>
      <c r="G24">
        <v>21.296164000000001</v>
      </c>
      <c r="H24">
        <v>21.586821</v>
      </c>
      <c r="I24">
        <v>22.063696</v>
      </c>
      <c r="J24">
        <v>22.604427000000001</v>
      </c>
      <c r="K24">
        <v>23.298431000000001</v>
      </c>
      <c r="L24">
        <v>23.927547000000001</v>
      </c>
      <c r="M24">
        <v>24.558498</v>
      </c>
      <c r="N24">
        <v>25.064802</v>
      </c>
      <c r="O24">
        <v>25.606960000000001</v>
      </c>
      <c r="P24">
        <v>26.045262999999998</v>
      </c>
      <c r="Q24">
        <v>26.359065999999999</v>
      </c>
      <c r="R24">
        <v>26.720381</v>
      </c>
      <c r="S24">
        <v>26.873944999999999</v>
      </c>
      <c r="T24">
        <v>27.260168</v>
      </c>
      <c r="U24">
        <v>27.963553999999998</v>
      </c>
      <c r="V24">
        <v>28.738291</v>
      </c>
      <c r="W24">
        <v>29.669858999999999</v>
      </c>
      <c r="X24">
        <v>30.527332000000001</v>
      </c>
      <c r="Y24">
        <v>31.270588</v>
      </c>
      <c r="Z24">
        <v>32.183857000000003</v>
      </c>
      <c r="AA24">
        <v>32.801228000000002</v>
      </c>
      <c r="AB24">
        <v>33.558574999999998</v>
      </c>
      <c r="AC24">
        <v>34.275314000000002</v>
      </c>
      <c r="AD24">
        <v>35.497211</v>
      </c>
      <c r="AE24" s="4">
        <v>0.41650797205485057</v>
      </c>
    </row>
    <row r="25" spans="1:31" x14ac:dyDescent="0.25">
      <c r="A25" t="s">
        <v>74</v>
      </c>
      <c r="B25" t="s">
        <v>50</v>
      </c>
      <c r="C25" t="s">
        <v>53</v>
      </c>
      <c r="D25">
        <v>20.660354999999999</v>
      </c>
      <c r="E25">
        <v>20.718008000000001</v>
      </c>
      <c r="F25">
        <v>18.064117</v>
      </c>
      <c r="G25">
        <v>16.980346999999998</v>
      </c>
      <c r="H25">
        <v>17.149657999999999</v>
      </c>
      <c r="I25">
        <v>17.51952</v>
      </c>
      <c r="J25">
        <v>17.949112</v>
      </c>
      <c r="K25">
        <v>18.501135000000001</v>
      </c>
      <c r="L25">
        <v>19.074551</v>
      </c>
      <c r="M25">
        <v>19.604631000000001</v>
      </c>
      <c r="N25">
        <v>20.018072</v>
      </c>
      <c r="O25">
        <v>20.483332000000001</v>
      </c>
      <c r="P25">
        <v>20.821947000000002</v>
      </c>
      <c r="Q25">
        <v>21.031488</v>
      </c>
      <c r="R25">
        <v>21.304836000000002</v>
      </c>
      <c r="S25">
        <v>21.393878999999998</v>
      </c>
      <c r="T25">
        <v>21.709247999999999</v>
      </c>
      <c r="U25">
        <v>22.283177999999999</v>
      </c>
      <c r="V25">
        <v>22.899802999999999</v>
      </c>
      <c r="W25">
        <v>23.624663999999999</v>
      </c>
      <c r="X25">
        <v>24.315348</v>
      </c>
      <c r="Y25">
        <v>24.911297000000001</v>
      </c>
      <c r="Z25">
        <v>25.581440000000001</v>
      </c>
      <c r="AA25">
        <v>26.028517000000001</v>
      </c>
      <c r="AB25">
        <v>26.651451000000002</v>
      </c>
      <c r="AC25">
        <v>27.190639000000001</v>
      </c>
      <c r="AD25">
        <v>28.151716</v>
      </c>
      <c r="AE25" s="4">
        <v>0.36259594764949593</v>
      </c>
    </row>
    <row r="26" spans="1:31" x14ac:dyDescent="0.25">
      <c r="A26" t="s">
        <v>74</v>
      </c>
      <c r="B26" t="s">
        <v>51</v>
      </c>
      <c r="C26" t="s">
        <v>53</v>
      </c>
      <c r="D26">
        <v>26.075275000000001</v>
      </c>
      <c r="E26">
        <v>26.075776999999999</v>
      </c>
      <c r="F26">
        <v>23.735764</v>
      </c>
      <c r="G26">
        <v>22.181725</v>
      </c>
      <c r="H26">
        <v>22.478603</v>
      </c>
      <c r="I26">
        <v>22.969774000000001</v>
      </c>
      <c r="J26">
        <v>23.546429</v>
      </c>
      <c r="K26">
        <v>24.241463</v>
      </c>
      <c r="L26">
        <v>24.922422000000001</v>
      </c>
      <c r="M26">
        <v>25.622502999999998</v>
      </c>
      <c r="N26">
        <v>26.203873000000002</v>
      </c>
      <c r="O26">
        <v>26.797985000000001</v>
      </c>
      <c r="P26">
        <v>27.299724999999999</v>
      </c>
      <c r="Q26">
        <v>27.659647</v>
      </c>
      <c r="R26">
        <v>28.068913999999999</v>
      </c>
      <c r="S26">
        <v>28.304549999999999</v>
      </c>
      <c r="T26">
        <v>28.732779000000001</v>
      </c>
      <c r="U26">
        <v>29.403196000000001</v>
      </c>
      <c r="V26">
        <v>30.219549000000001</v>
      </c>
      <c r="W26">
        <v>31.151800000000001</v>
      </c>
      <c r="X26">
        <v>32.043652000000002</v>
      </c>
      <c r="Y26">
        <v>32.864704000000003</v>
      </c>
      <c r="Z26">
        <v>33.803027999999998</v>
      </c>
      <c r="AA26">
        <v>34.478465999999997</v>
      </c>
      <c r="AB26">
        <v>35.279491</v>
      </c>
      <c r="AC26">
        <v>36.074444</v>
      </c>
      <c r="AD26">
        <v>37.283306000000003</v>
      </c>
      <c r="AE26" s="4">
        <v>0.42983366426624459</v>
      </c>
    </row>
    <row r="27" spans="1:31" x14ac:dyDescent="0.25">
      <c r="A27" t="s">
        <v>74</v>
      </c>
      <c r="B27" t="s">
        <v>52</v>
      </c>
      <c r="C27" t="s">
        <v>53</v>
      </c>
      <c r="D27">
        <v>26.289209</v>
      </c>
      <c r="E27">
        <v>26.363222</v>
      </c>
      <c r="F27">
        <v>23.931546999999998</v>
      </c>
      <c r="G27">
        <v>22.696515999999999</v>
      </c>
      <c r="H27">
        <v>23.042641</v>
      </c>
      <c r="I27">
        <v>23.575282999999999</v>
      </c>
      <c r="J27">
        <v>24.172972000000001</v>
      </c>
      <c r="K27">
        <v>24.928125000000001</v>
      </c>
      <c r="L27">
        <v>25.636284</v>
      </c>
      <c r="M27">
        <v>26.340423999999999</v>
      </c>
      <c r="N27">
        <v>26.907921000000002</v>
      </c>
      <c r="O27">
        <v>27.503668000000001</v>
      </c>
      <c r="P27">
        <v>27.994585000000001</v>
      </c>
      <c r="Q27">
        <v>28.367782999999999</v>
      </c>
      <c r="R27">
        <v>28.832512000000001</v>
      </c>
      <c r="S27">
        <v>29.091238000000001</v>
      </c>
      <c r="T27">
        <v>29.582809000000001</v>
      </c>
      <c r="U27">
        <v>30.381733000000001</v>
      </c>
      <c r="V27">
        <v>31.268476</v>
      </c>
      <c r="W27">
        <v>32.311729</v>
      </c>
      <c r="X27">
        <v>33.297320999999997</v>
      </c>
      <c r="Y27">
        <v>34.176220000000001</v>
      </c>
      <c r="Z27">
        <v>35.221699000000001</v>
      </c>
      <c r="AA27">
        <v>35.988715999999997</v>
      </c>
      <c r="AB27">
        <v>36.910423000000002</v>
      </c>
      <c r="AC27">
        <v>37.762504999999997</v>
      </c>
      <c r="AD27">
        <v>39.123398000000002</v>
      </c>
      <c r="AE27" s="4">
        <v>0.48819228452252034</v>
      </c>
    </row>
    <row r="28" spans="1:31" x14ac:dyDescent="0.25">
      <c r="A28" t="s">
        <v>76</v>
      </c>
      <c r="B28" t="s">
        <v>54</v>
      </c>
      <c r="C28" t="s">
        <v>48</v>
      </c>
      <c r="D28">
        <v>17.098595</v>
      </c>
      <c r="E28">
        <v>16.535812</v>
      </c>
      <c r="F28">
        <v>13.450106</v>
      </c>
      <c r="G28">
        <v>11.671759</v>
      </c>
      <c r="H28">
        <v>11.39364</v>
      </c>
      <c r="I28">
        <v>11.315122000000001</v>
      </c>
      <c r="J28">
        <v>11.276108000000001</v>
      </c>
      <c r="K28">
        <v>11.334429999999999</v>
      </c>
      <c r="L28">
        <v>11.334084000000001</v>
      </c>
      <c r="M28">
        <v>11.30823</v>
      </c>
      <c r="N28">
        <v>11.119559000000001</v>
      </c>
      <c r="O28">
        <v>10.998722000000001</v>
      </c>
      <c r="P28">
        <v>10.820796</v>
      </c>
      <c r="Q28">
        <v>10.542706000000001</v>
      </c>
      <c r="R28">
        <v>10.330137000000001</v>
      </c>
      <c r="S28">
        <v>9.9566689999999998</v>
      </c>
      <c r="T28">
        <v>9.7408249999999992</v>
      </c>
      <c r="U28">
        <v>9.7018489999999993</v>
      </c>
      <c r="V28">
        <v>9.6928820000000009</v>
      </c>
      <c r="W28">
        <v>9.751671</v>
      </c>
      <c r="X28">
        <v>9.7498939999999994</v>
      </c>
      <c r="Y28">
        <v>9.6647510000000008</v>
      </c>
      <c r="Z28">
        <v>9.6520100000000006</v>
      </c>
      <c r="AA28">
        <v>9.4421400000000002</v>
      </c>
      <c r="AB28">
        <v>9.3475950000000001</v>
      </c>
      <c r="AC28">
        <v>9.1875029999999995</v>
      </c>
      <c r="AD28">
        <v>9.300262</v>
      </c>
      <c r="AE28" s="4" cm="1">
        <f t="array" ref="AE28:AE30">(AD28:AD30-D28:D30)/D28:D30</f>
        <v>-0.45608033876467624</v>
      </c>
    </row>
    <row r="29" spans="1:31" x14ac:dyDescent="0.25">
      <c r="A29" t="s">
        <v>76</v>
      </c>
      <c r="B29" t="s">
        <v>55</v>
      </c>
      <c r="C29" t="s">
        <v>48</v>
      </c>
      <c r="D29">
        <v>2.5047100000000002</v>
      </c>
      <c r="E29">
        <v>2.5683310000000001</v>
      </c>
      <c r="F29">
        <v>2.7092649999999998</v>
      </c>
      <c r="G29">
        <v>2.8029190000000002</v>
      </c>
      <c r="H29">
        <v>2.887553</v>
      </c>
      <c r="I29">
        <v>2.9560179999999998</v>
      </c>
      <c r="J29">
        <v>3.0155099999999999</v>
      </c>
      <c r="K29">
        <v>3.0651389999999998</v>
      </c>
      <c r="L29">
        <v>3.1197949999999999</v>
      </c>
      <c r="M29">
        <v>3.1801170000000001</v>
      </c>
      <c r="N29">
        <v>3.2729650000000001</v>
      </c>
      <c r="O29">
        <v>3.3199679999999998</v>
      </c>
      <c r="P29">
        <v>3.3495140000000001</v>
      </c>
      <c r="Q29">
        <v>3.3805000000000001</v>
      </c>
      <c r="R29">
        <v>3.4102160000000001</v>
      </c>
      <c r="S29">
        <v>3.4411499999999999</v>
      </c>
      <c r="T29">
        <v>3.4721730000000002</v>
      </c>
      <c r="U29">
        <v>3.5261879999999999</v>
      </c>
      <c r="V29">
        <v>3.5815199999999998</v>
      </c>
      <c r="W29">
        <v>3.6418970000000002</v>
      </c>
      <c r="X29">
        <v>3.702353</v>
      </c>
      <c r="Y29">
        <v>3.7514940000000001</v>
      </c>
      <c r="Z29">
        <v>3.8112430000000002</v>
      </c>
      <c r="AA29">
        <v>3.8739560000000002</v>
      </c>
      <c r="AB29">
        <v>3.910768</v>
      </c>
      <c r="AC29">
        <v>3.959104</v>
      </c>
      <c r="AD29">
        <v>4.021719</v>
      </c>
      <c r="AE29" s="4">
        <v>0.60566253179010732</v>
      </c>
    </row>
    <row r="30" spans="1:31" x14ac:dyDescent="0.25">
      <c r="A30" t="s">
        <v>76</v>
      </c>
      <c r="B30" t="s">
        <v>56</v>
      </c>
      <c r="C30" t="s">
        <v>48</v>
      </c>
      <c r="D30">
        <v>6.685905</v>
      </c>
      <c r="E30">
        <v>6.729082</v>
      </c>
      <c r="F30">
        <v>6.9016229999999998</v>
      </c>
      <c r="G30">
        <v>7.037674</v>
      </c>
      <c r="H30">
        <v>7.1544749999999997</v>
      </c>
      <c r="I30">
        <v>7.2777719999999997</v>
      </c>
      <c r="J30">
        <v>7.3983239999999997</v>
      </c>
      <c r="K30">
        <v>7.5173699999999997</v>
      </c>
      <c r="L30">
        <v>7.6192520000000004</v>
      </c>
      <c r="M30">
        <v>7.7079940000000002</v>
      </c>
      <c r="N30">
        <v>7.7908489999999997</v>
      </c>
      <c r="O30">
        <v>7.874676</v>
      </c>
      <c r="P30">
        <v>7.9611700000000001</v>
      </c>
      <c r="Q30">
        <v>8.0463710000000006</v>
      </c>
      <c r="R30">
        <v>8.1371549999999999</v>
      </c>
      <c r="S30">
        <v>8.2329869999999996</v>
      </c>
      <c r="T30">
        <v>8.330057</v>
      </c>
      <c r="U30">
        <v>8.4342260000000007</v>
      </c>
      <c r="V30">
        <v>8.5442350000000005</v>
      </c>
      <c r="W30">
        <v>8.6619709999999994</v>
      </c>
      <c r="X30">
        <v>8.780856</v>
      </c>
      <c r="Y30">
        <v>8.9001809999999999</v>
      </c>
      <c r="Z30">
        <v>9.0271880000000007</v>
      </c>
      <c r="AA30">
        <v>9.1517959999999992</v>
      </c>
      <c r="AB30">
        <v>9.2712350000000008</v>
      </c>
      <c r="AC30">
        <v>9.3940730000000006</v>
      </c>
      <c r="AD30">
        <v>9.5192879999999995</v>
      </c>
      <c r="AE30" s="4">
        <v>0.42378451383918847</v>
      </c>
    </row>
    <row r="31" spans="1:31" x14ac:dyDescent="0.25">
      <c r="A31" t="s">
        <v>77</v>
      </c>
      <c r="B31" t="s">
        <v>54</v>
      </c>
      <c r="C31" t="s">
        <v>53</v>
      </c>
      <c r="D31">
        <v>17.098595</v>
      </c>
      <c r="E31">
        <v>16.875060999999999</v>
      </c>
      <c r="F31">
        <v>13.957846</v>
      </c>
      <c r="G31">
        <v>12.314239000000001</v>
      </c>
      <c r="H31">
        <v>12.24779</v>
      </c>
      <c r="I31">
        <v>12.379148000000001</v>
      </c>
      <c r="J31">
        <v>12.566978000000001</v>
      </c>
      <c r="K31">
        <v>12.891677</v>
      </c>
      <c r="L31">
        <v>13.163686999999999</v>
      </c>
      <c r="M31">
        <v>13.41949</v>
      </c>
      <c r="N31">
        <v>13.487769</v>
      </c>
      <c r="O31">
        <v>13.630433</v>
      </c>
      <c r="P31">
        <v>13.687459</v>
      </c>
      <c r="Q31">
        <v>13.613061</v>
      </c>
      <c r="R31">
        <v>13.614157000000001</v>
      </c>
      <c r="S31">
        <v>13.390708</v>
      </c>
      <c r="T31">
        <v>13.376049</v>
      </c>
      <c r="U31">
        <v>13.607025999999999</v>
      </c>
      <c r="V31">
        <v>13.890952</v>
      </c>
      <c r="W31">
        <v>14.28636</v>
      </c>
      <c r="X31">
        <v>14.601889999999999</v>
      </c>
      <c r="Y31">
        <v>14.800966000000001</v>
      </c>
      <c r="Z31">
        <v>15.115764</v>
      </c>
      <c r="AA31">
        <v>15.124269999999999</v>
      </c>
      <c r="AB31">
        <v>15.314241000000001</v>
      </c>
      <c r="AC31">
        <v>15.391864999999999</v>
      </c>
      <c r="AD31">
        <v>15.929843</v>
      </c>
      <c r="AE31" s="4" cm="1">
        <f t="array" ref="AE31:AE33">(AD31:AD33-D31:D33)/D31:D33</f>
        <v>-6.8353686370137404E-2</v>
      </c>
    </row>
    <row r="32" spans="1:31" x14ac:dyDescent="0.25">
      <c r="A32" t="s">
        <v>77</v>
      </c>
      <c r="B32" t="s">
        <v>55</v>
      </c>
      <c r="C32" t="s">
        <v>53</v>
      </c>
      <c r="D32">
        <v>2.5047100000000002</v>
      </c>
      <c r="E32">
        <v>2.6210230000000001</v>
      </c>
      <c r="F32">
        <v>2.8115399999999999</v>
      </c>
      <c r="G32">
        <v>2.9572080000000001</v>
      </c>
      <c r="H32">
        <v>3.104025</v>
      </c>
      <c r="I32">
        <v>3.2339899999999999</v>
      </c>
      <c r="J32">
        <v>3.3607209999999998</v>
      </c>
      <c r="K32">
        <v>3.4862609999999998</v>
      </c>
      <c r="L32">
        <v>3.6234069999999998</v>
      </c>
      <c r="M32">
        <v>3.7738480000000001</v>
      </c>
      <c r="N32">
        <v>3.9700310000000001</v>
      </c>
      <c r="O32">
        <v>4.1143510000000001</v>
      </c>
      <c r="P32">
        <v>4.2368730000000001</v>
      </c>
      <c r="Q32">
        <v>4.3650039999999999</v>
      </c>
      <c r="R32">
        <v>4.4943470000000003</v>
      </c>
      <c r="S32">
        <v>4.6279969999999997</v>
      </c>
      <c r="T32">
        <v>4.7679710000000002</v>
      </c>
      <c r="U32">
        <v>4.9455450000000001</v>
      </c>
      <c r="V32">
        <v>5.1327069999999999</v>
      </c>
      <c r="W32">
        <v>5.335439</v>
      </c>
      <c r="X32">
        <v>5.5448130000000004</v>
      </c>
      <c r="Y32">
        <v>5.7451800000000004</v>
      </c>
      <c r="Z32">
        <v>5.9686890000000004</v>
      </c>
      <c r="AA32">
        <v>6.205241</v>
      </c>
      <c r="AB32">
        <v>6.4070429999999998</v>
      </c>
      <c r="AC32">
        <v>6.6327040000000004</v>
      </c>
      <c r="AD32">
        <v>6.8885540000000001</v>
      </c>
      <c r="AE32" s="4">
        <v>1.7502401475619931</v>
      </c>
    </row>
    <row r="33" spans="1:31" x14ac:dyDescent="0.25">
      <c r="A33" t="s">
        <v>77</v>
      </c>
      <c r="B33" t="s">
        <v>56</v>
      </c>
      <c r="C33" t="s">
        <v>53</v>
      </c>
      <c r="D33">
        <v>6.685905</v>
      </c>
      <c r="E33">
        <v>6.8671360000000004</v>
      </c>
      <c r="F33">
        <v>7.1621579999999998</v>
      </c>
      <c r="G33">
        <v>7.4250670000000003</v>
      </c>
      <c r="H33">
        <v>7.6908269999999996</v>
      </c>
      <c r="I33">
        <v>7.9621430000000002</v>
      </c>
      <c r="J33">
        <v>8.2452719999999999</v>
      </c>
      <c r="K33">
        <v>8.5501880000000003</v>
      </c>
      <c r="L33">
        <v>8.8491890000000009</v>
      </c>
      <c r="M33">
        <v>9.1470850000000006</v>
      </c>
      <c r="N33">
        <v>9.4501200000000001</v>
      </c>
      <c r="O33">
        <v>9.7588830000000009</v>
      </c>
      <c r="P33">
        <v>10.070255</v>
      </c>
      <c r="Q33">
        <v>10.389716999999999</v>
      </c>
      <c r="R33">
        <v>10.72401</v>
      </c>
      <c r="S33">
        <v>11.072532000000001</v>
      </c>
      <c r="T33">
        <v>11.438789999999999</v>
      </c>
      <c r="U33">
        <v>11.829162</v>
      </c>
      <c r="V33">
        <v>12.244816999999999</v>
      </c>
      <c r="W33">
        <v>12.689932000000001</v>
      </c>
      <c r="X33">
        <v>13.150613999999999</v>
      </c>
      <c r="Y33">
        <v>13.630075</v>
      </c>
      <c r="Z33">
        <v>14.137245999999999</v>
      </c>
      <c r="AA33">
        <v>14.659204000000001</v>
      </c>
      <c r="AB33">
        <v>15.189138</v>
      </c>
      <c r="AC33">
        <v>15.737933</v>
      </c>
      <c r="AD33">
        <v>16.304998000000001</v>
      </c>
      <c r="AE33" s="4">
        <v>1.4387121863083607</v>
      </c>
    </row>
    <row r="34" spans="1:31" x14ac:dyDescent="0.25">
      <c r="A34" t="s">
        <v>57</v>
      </c>
      <c r="B34" t="s">
        <v>58</v>
      </c>
      <c r="C34" t="s">
        <v>59</v>
      </c>
      <c r="D34">
        <v>7.2995089999999996</v>
      </c>
      <c r="E34">
        <v>4.947616</v>
      </c>
      <c r="F34">
        <v>3.6722839999999999</v>
      </c>
      <c r="G34">
        <v>3.775801</v>
      </c>
      <c r="H34">
        <v>3.6467909999999999</v>
      </c>
      <c r="I34">
        <v>3.6471360000000002</v>
      </c>
      <c r="J34">
        <v>3.848652</v>
      </c>
      <c r="K34">
        <v>4.0542639999999999</v>
      </c>
      <c r="L34">
        <v>4.3876689999999998</v>
      </c>
      <c r="M34">
        <v>3.9625180000000002</v>
      </c>
      <c r="N34">
        <v>4.0368389999999996</v>
      </c>
      <c r="O34">
        <v>4.006526</v>
      </c>
      <c r="P34">
        <v>3.6065079999999998</v>
      </c>
      <c r="Q34">
        <v>3.346069</v>
      </c>
      <c r="R34">
        <v>3.261206</v>
      </c>
      <c r="S34">
        <v>3.143678</v>
      </c>
      <c r="T34">
        <v>3.1586289999999999</v>
      </c>
      <c r="U34">
        <v>2.7570009999999998</v>
      </c>
      <c r="V34">
        <v>2.229203</v>
      </c>
      <c r="W34">
        <v>2.377046</v>
      </c>
      <c r="X34">
        <v>2.5152009999999998</v>
      </c>
      <c r="Y34">
        <v>2.4671940000000001</v>
      </c>
      <c r="Z34">
        <v>2.3041930000000002</v>
      </c>
      <c r="AA34">
        <v>2.36293</v>
      </c>
      <c r="AB34">
        <v>2.384671</v>
      </c>
      <c r="AC34">
        <v>2.2460429999999998</v>
      </c>
      <c r="AD34">
        <v>1.9434800000000001</v>
      </c>
      <c r="AE34" s="4" cm="1">
        <f t="array" ref="AE34:AE38">(AD34:AD38-D34:D38)/D34:D38</f>
        <v>-0.73375195509725377</v>
      </c>
    </row>
    <row r="35" spans="1:31" x14ac:dyDescent="0.25">
      <c r="A35" t="s">
        <v>57</v>
      </c>
      <c r="B35" t="s">
        <v>60</v>
      </c>
      <c r="C35" t="s">
        <v>59</v>
      </c>
      <c r="D35">
        <v>26.764862000000001</v>
      </c>
      <c r="E35">
        <v>18.141266000000002</v>
      </c>
      <c r="F35">
        <v>13.465047999999999</v>
      </c>
      <c r="G35">
        <v>13.844604</v>
      </c>
      <c r="H35">
        <v>13.371559</v>
      </c>
      <c r="I35">
        <v>13.372821999999999</v>
      </c>
      <c r="J35">
        <v>14.111715</v>
      </c>
      <c r="K35">
        <v>14.865626000000001</v>
      </c>
      <c r="L35">
        <v>16.08812</v>
      </c>
      <c r="M35">
        <v>14.529226</v>
      </c>
      <c r="N35">
        <v>14.801739</v>
      </c>
      <c r="O35">
        <v>14.690598</v>
      </c>
      <c r="P35">
        <v>13.223865999999999</v>
      </c>
      <c r="Q35">
        <v>12.268914000000001</v>
      </c>
      <c r="R35">
        <v>11.957744999999999</v>
      </c>
      <c r="S35">
        <v>11.526814999999999</v>
      </c>
      <c r="T35">
        <v>11.581629</v>
      </c>
      <c r="U35">
        <v>10.108997</v>
      </c>
      <c r="V35">
        <v>8.1737409999999997</v>
      </c>
      <c r="W35">
        <v>8.7158250000000006</v>
      </c>
      <c r="X35">
        <v>9.2224039999999992</v>
      </c>
      <c r="Y35">
        <v>9.0463760000000004</v>
      </c>
      <c r="Z35">
        <v>8.4487000000000005</v>
      </c>
      <c r="AA35">
        <v>8.6640750000000004</v>
      </c>
      <c r="AB35">
        <v>8.7437880000000003</v>
      </c>
      <c r="AC35">
        <v>8.2354920000000007</v>
      </c>
      <c r="AD35">
        <v>7.126093</v>
      </c>
      <c r="AE35" s="4">
        <v>-0.73375192444481874</v>
      </c>
    </row>
    <row r="36" spans="1:31" x14ac:dyDescent="0.25">
      <c r="A36" t="s">
        <v>57</v>
      </c>
      <c r="B36" t="s">
        <v>61</v>
      </c>
      <c r="C36" t="s">
        <v>59</v>
      </c>
      <c r="D36">
        <v>6.9700000000000003E-4</v>
      </c>
      <c r="E36">
        <v>2.4499999999999999E-4</v>
      </c>
      <c r="F36">
        <v>2.7300000000000002E-4</v>
      </c>
      <c r="G36">
        <v>2.7099999999999997E-4</v>
      </c>
      <c r="H36">
        <v>2.7399999999999999E-4</v>
      </c>
      <c r="I36">
        <v>2.6400000000000002E-4</v>
      </c>
      <c r="J36">
        <v>2.1499999999999999E-4</v>
      </c>
      <c r="K36">
        <v>2.5599999999999999E-4</v>
      </c>
      <c r="L36">
        <v>5.8999999999999998E-5</v>
      </c>
      <c r="M36">
        <v>6.4999999999999994E-5</v>
      </c>
      <c r="N36">
        <v>6.7999999999999999E-5</v>
      </c>
      <c r="O36">
        <v>7.2999999999999999E-5</v>
      </c>
      <c r="P36">
        <v>8.0000000000000007E-5</v>
      </c>
      <c r="Q36">
        <v>9.8999999999999994E-5</v>
      </c>
      <c r="R36">
        <v>1.02E-4</v>
      </c>
      <c r="S36">
        <v>5.71E-4</v>
      </c>
      <c r="T36">
        <v>5.8500000000000002E-4</v>
      </c>
      <c r="U36">
        <v>5.9800000000000001E-4</v>
      </c>
      <c r="V36">
        <v>6.1200000000000002E-4</v>
      </c>
      <c r="W36">
        <v>6.2600000000000004E-4</v>
      </c>
      <c r="X36">
        <v>6.38E-4</v>
      </c>
      <c r="Y36">
        <v>6.4700000000000001E-4</v>
      </c>
      <c r="Z36">
        <v>6.5700000000000003E-4</v>
      </c>
      <c r="AA36">
        <v>6.6600000000000003E-4</v>
      </c>
      <c r="AB36">
        <v>6.7100000000000005E-4</v>
      </c>
      <c r="AC36">
        <v>6.7100000000000005E-4</v>
      </c>
      <c r="AD36">
        <v>6.7599999999999995E-4</v>
      </c>
      <c r="AE36" s="4">
        <v>-3.0129124820660082E-2</v>
      </c>
    </row>
    <row r="37" spans="1:31" x14ac:dyDescent="0.25">
      <c r="A37" t="s">
        <v>57</v>
      </c>
      <c r="B37" t="s">
        <v>62</v>
      </c>
      <c r="C37" t="s">
        <v>59</v>
      </c>
      <c r="D37">
        <v>1.2165E-2</v>
      </c>
      <c r="E37">
        <v>5.9109999999999996E-3</v>
      </c>
      <c r="F37">
        <v>4.2469999999999999E-3</v>
      </c>
      <c r="G37">
        <v>4.4409999999999996E-3</v>
      </c>
      <c r="H37">
        <v>4.1960000000000001E-3</v>
      </c>
      <c r="I37">
        <v>4.1790000000000004E-3</v>
      </c>
      <c r="J37">
        <v>5.1359999999999999E-3</v>
      </c>
      <c r="K37">
        <v>5.3480000000000003E-3</v>
      </c>
      <c r="L37">
        <v>5.2180000000000004E-3</v>
      </c>
      <c r="M37">
        <v>4.6849999999999999E-3</v>
      </c>
      <c r="N37">
        <v>4.9059999999999998E-3</v>
      </c>
      <c r="O37">
        <v>5.0819999999999997E-3</v>
      </c>
      <c r="P37">
        <v>4.705E-3</v>
      </c>
      <c r="Q37">
        <v>4.7000000000000002E-3</v>
      </c>
      <c r="R37">
        <v>4.8190000000000004E-3</v>
      </c>
      <c r="S37">
        <v>4.9189999999999998E-3</v>
      </c>
      <c r="T37">
        <v>5.0220000000000004E-3</v>
      </c>
      <c r="U37">
        <v>4.5230000000000001E-3</v>
      </c>
      <c r="V37">
        <v>4.3070000000000001E-3</v>
      </c>
      <c r="W37">
        <v>4.2529999999999998E-3</v>
      </c>
      <c r="X37">
        <v>4.3309999999999998E-3</v>
      </c>
      <c r="Y37">
        <v>4.2880000000000001E-3</v>
      </c>
      <c r="Z37">
        <v>4.2399999999999998E-3</v>
      </c>
      <c r="AA37">
        <v>4.3600000000000002E-3</v>
      </c>
      <c r="AB37">
        <v>4.1729999999999996E-3</v>
      </c>
      <c r="AC37">
        <v>4.0499999999999998E-3</v>
      </c>
      <c r="AD37">
        <v>3.8059999999999999E-3</v>
      </c>
      <c r="AE37" s="4">
        <v>-0.68713522400328808</v>
      </c>
    </row>
    <row r="38" spans="1:31" x14ac:dyDescent="0.25">
      <c r="A38" t="s">
        <v>57</v>
      </c>
      <c r="B38" t="s">
        <v>63</v>
      </c>
      <c r="C38" t="s">
        <v>64</v>
      </c>
      <c r="D38">
        <v>4.4450000000000002E-3</v>
      </c>
      <c r="E38">
        <v>1.9999999999999999E-6</v>
      </c>
      <c r="F38">
        <v>1.9999999999999999E-6</v>
      </c>
      <c r="G38">
        <v>1.9999999999999999E-6</v>
      </c>
      <c r="H38">
        <v>1.9999999999999999E-6</v>
      </c>
      <c r="I38">
        <v>1.9999999999999999E-6</v>
      </c>
      <c r="J38">
        <v>1.9999999999999999E-6</v>
      </c>
      <c r="K38">
        <v>1.9999999999999999E-6</v>
      </c>
      <c r="L38">
        <v>1.9999999999999999E-6</v>
      </c>
      <c r="M38">
        <v>1.9999999999999999E-6</v>
      </c>
      <c r="N38">
        <v>1.9999999999999999E-6</v>
      </c>
      <c r="O38">
        <v>1.9999999999999999E-6</v>
      </c>
      <c r="P38">
        <v>9.9999999999999995E-7</v>
      </c>
      <c r="Q38">
        <v>9.9999999999999995E-7</v>
      </c>
      <c r="R38">
        <v>9.9999999999999995E-7</v>
      </c>
      <c r="S38">
        <v>9.9999999999999995E-7</v>
      </c>
      <c r="T38">
        <v>9.9999999999999995E-7</v>
      </c>
      <c r="U38">
        <v>9.9999999999999995E-7</v>
      </c>
      <c r="V38">
        <v>9.9999999999999995E-7</v>
      </c>
      <c r="W38">
        <v>9.9999999999999995E-7</v>
      </c>
      <c r="X38">
        <v>9.9999999999999995E-7</v>
      </c>
      <c r="Y38">
        <v>9.9999999999999995E-7</v>
      </c>
      <c r="Z38">
        <v>1.9999999999999999E-6</v>
      </c>
      <c r="AA38">
        <v>3.0000000000000001E-6</v>
      </c>
      <c r="AB38">
        <v>3.0000000000000001E-6</v>
      </c>
      <c r="AC38">
        <v>3.0000000000000001E-6</v>
      </c>
      <c r="AD38">
        <v>3.0000000000000001E-6</v>
      </c>
      <c r="AE38" s="4">
        <v>-0.99932508436445433</v>
      </c>
    </row>
    <row r="39" spans="1:31" x14ac:dyDescent="0.25">
      <c r="A39" t="s">
        <v>65</v>
      </c>
      <c r="B39" t="s">
        <v>66</v>
      </c>
      <c r="C39" t="s">
        <v>71</v>
      </c>
      <c r="D39" cm="1">
        <f t="array" ref="D39:D42">907185*D34:D37*10^6/(D17*10^9)</f>
        <v>59.95421475375943</v>
      </c>
      <c r="E39" cm="1">
        <f t="array" ref="E39:E42">907185*E34:E37*10^6/(E17*10^9)</f>
        <v>45.545494716649046</v>
      </c>
      <c r="F39" cm="1">
        <f t="array" ref="F39:F42">907185*F34:F37*10^6/(F17*10^9)</f>
        <v>34.139202495941191</v>
      </c>
      <c r="G39" cm="1">
        <f t="array" ref="G39:G42">907185*G34:G37*10^6/(G17*10^9)</f>
        <v>33.922133635537932</v>
      </c>
      <c r="H39" cm="1">
        <f t="array" ref="H39:H42">907185*H34:H37*10^6/(H17*10^9)</f>
        <v>32.905835734893103</v>
      </c>
      <c r="I39" cm="1">
        <f t="array" ref="I39:I42">907185*I34:I37*10^6/(I17*10^9)</f>
        <v>32.975887236663993</v>
      </c>
      <c r="J39" cm="1">
        <f t="array" ref="J39:J42">907185*J34:J37*10^6/(J17*10^9)</f>
        <v>34.104144316163598</v>
      </c>
      <c r="K39" cm="1">
        <f t="array" ref="K39:K42">907185*K34:K37*10^6/(K17*10^9)</f>
        <v>35.240250344429064</v>
      </c>
      <c r="L39" cm="1">
        <f t="array" ref="L39:L42">907185*L34:L37*10^6/(L17*10^9)</f>
        <v>37.133402325926433</v>
      </c>
      <c r="M39" cm="1">
        <f t="array" ref="M39:M42">907185*M34:M37*10^6/(M17*10^9)</f>
        <v>29.675557136047129</v>
      </c>
      <c r="N39" cm="1">
        <f t="array" ref="N39:N42">907185*N34:N37*10^6/(N17*10^9)</f>
        <v>28.045766704683789</v>
      </c>
      <c r="O39" cm="1">
        <f t="array" ref="O39:O42">907185*O34:O37*10^6/(O17*10^9)</f>
        <v>28.275506794111323</v>
      </c>
      <c r="P39" cm="1">
        <f t="array" ref="P39:P42">907185*P34:P37*10^6/(P17*10^9)</f>
        <v>25.470914257737903</v>
      </c>
      <c r="Q39" cm="1">
        <f t="array" ref="Q39:Q42">907185*Q34:Q37*10^6/(Q17*10^9)</f>
        <v>24.667791800777056</v>
      </c>
      <c r="R39" cm="1">
        <f t="array" ref="R39:R42">907185*R34:R37*10^6/(R17*10^9)</f>
        <v>24.219045230198255</v>
      </c>
      <c r="S39" cm="1">
        <f t="array" ref="S39:S42">907185*S34:S37*10^6/(S17*10^9)</f>
        <v>23.482518636975254</v>
      </c>
      <c r="T39" cm="1">
        <f t="array" ref="T39:T42">907185*T34:T37*10^6/(T17*10^9)</f>
        <v>22.778572165255405</v>
      </c>
      <c r="U39" cm="1">
        <f t="array" ref="U39:U42">907185*U34:U37*10^6/(U17*10^9)</f>
        <v>19.866464088357635</v>
      </c>
      <c r="V39" cm="1">
        <f t="array" ref="V39:V42">907185*V34:V37*10^6/(V17*10^9)</f>
        <v>16.275542820264679</v>
      </c>
      <c r="W39" cm="1">
        <f t="array" ref="W39:W42">907185*W34:W37*10^6/(W17*10^9)</f>
        <v>16.263001363382241</v>
      </c>
      <c r="X39" cm="1">
        <f t="array" ref="X39:X42">907185*X34:X37*10^6/(X17*10^9)</f>
        <v>16.877878411400502</v>
      </c>
      <c r="Y39" cm="1">
        <f t="array" ref="Y39:Y42">907185*Y34:Y37*10^6/(Y17*10^9)</f>
        <v>16.567865210721692</v>
      </c>
      <c r="Z39" cm="1">
        <f t="array" ref="Z39:Z42">907185*Z34:Z37*10^6/(Z17*10^9)</f>
        <v>14.794331189540753</v>
      </c>
      <c r="AA39" cm="1">
        <f t="array" ref="AA39:AA42">907185*AA34:AA37*10^6/(AA17*10^9)</f>
        <v>14.976552884511461</v>
      </c>
      <c r="AB39" cm="1">
        <f t="array" ref="AB39:AB42">907185*AB34:AB37*10^6/(AB17*10^9)</f>
        <v>15.248033278285225</v>
      </c>
      <c r="AC39" cm="1">
        <f t="array" ref="AC39:AC42">907185*AC34:AC37*10^6/(AC17*10^9)</f>
        <v>14.407655223856606</v>
      </c>
      <c r="AD39" cm="1">
        <f t="array" ref="AD39:AD42">907185*AD34:AD37*10^6/(AD17*10^9)</f>
        <v>12.142526329994192</v>
      </c>
      <c r="AE39" s="4" cm="1">
        <f t="array" ref="AE39:AE43">(AD39:AD43-D39:D43)/D39:D43</f>
        <v>-0.7974700130780582</v>
      </c>
    </row>
    <row r="40" spans="1:31" x14ac:dyDescent="0.25">
      <c r="A40" t="s">
        <v>65</v>
      </c>
      <c r="B40" t="s">
        <v>67</v>
      </c>
      <c r="C40" t="s">
        <v>71</v>
      </c>
      <c r="D40">
        <v>219.8320851721308</v>
      </c>
      <c r="E40">
        <v>167.00021480169946</v>
      </c>
      <c r="F40">
        <v>125.17713779478056</v>
      </c>
      <c r="G40">
        <v>124.38115965833553</v>
      </c>
      <c r="H40">
        <v>120.65465884209748</v>
      </c>
      <c r="I40">
        <v>120.91149611859261</v>
      </c>
      <c r="J40">
        <v>125.04844940736928</v>
      </c>
      <c r="K40">
        <v>129.21417593098371</v>
      </c>
      <c r="L40">
        <v>136.15581134943946</v>
      </c>
      <c r="M40">
        <v>108.81032623840231</v>
      </c>
      <c r="N40">
        <v>102.83445012734458</v>
      </c>
      <c r="O40">
        <v>103.67687706470848</v>
      </c>
      <c r="P40">
        <v>93.393375819994148</v>
      </c>
      <c r="Q40">
        <v>90.448528160548634</v>
      </c>
      <c r="R40">
        <v>88.803089104514399</v>
      </c>
      <c r="S40">
        <v>86.102535966618049</v>
      </c>
      <c r="T40">
        <v>83.521354349534164</v>
      </c>
      <c r="U40">
        <v>72.843653618484382</v>
      </c>
      <c r="V40">
        <v>59.676966004106859</v>
      </c>
      <c r="W40">
        <v>59.630934301650477</v>
      </c>
      <c r="X40">
        <v>61.885556411918429</v>
      </c>
      <c r="Y40">
        <v>60.748825675446547</v>
      </c>
      <c r="Z40">
        <v>54.245831803617556</v>
      </c>
      <c r="AA40">
        <v>54.914016679661955</v>
      </c>
      <c r="AB40">
        <v>55.909419119983859</v>
      </c>
      <c r="AC40">
        <v>52.828075568824516</v>
      </c>
      <c r="AD40">
        <v>44.522594460703118</v>
      </c>
      <c r="AE40" s="4">
        <v>-0.797469989761315</v>
      </c>
    </row>
    <row r="41" spans="1:31" x14ac:dyDescent="0.25">
      <c r="A41" t="s">
        <v>65</v>
      </c>
      <c r="B41" t="s">
        <v>68</v>
      </c>
      <c r="C41" t="s">
        <v>71</v>
      </c>
      <c r="D41">
        <v>5.7247806233775896E-3</v>
      </c>
      <c r="E41">
        <v>2.2553581776716338E-3</v>
      </c>
      <c r="F41">
        <v>2.5379306941924825E-3</v>
      </c>
      <c r="G41">
        <v>2.4346882198587206E-3</v>
      </c>
      <c r="H41">
        <v>2.4723651537367267E-3</v>
      </c>
      <c r="I41">
        <v>2.3869782290759914E-3</v>
      </c>
      <c r="J41">
        <v>1.9051842120241511E-3</v>
      </c>
      <c r="K41">
        <v>2.2251891066230119E-3</v>
      </c>
      <c r="L41">
        <v>4.9932452453219686E-4</v>
      </c>
      <c r="M41">
        <v>4.8678926224261012E-4</v>
      </c>
      <c r="N41">
        <v>4.7242709850913003E-4</v>
      </c>
      <c r="O41">
        <v>5.1518747063419184E-4</v>
      </c>
      <c r="P41">
        <v>5.6499892433873233E-4</v>
      </c>
      <c r="Q41">
        <v>7.2984489808098057E-4</v>
      </c>
      <c r="R41">
        <v>7.5749358166280259E-4</v>
      </c>
      <c r="S41">
        <v>4.2652326802277048E-3</v>
      </c>
      <c r="T41">
        <v>4.2187495640274349E-3</v>
      </c>
      <c r="U41">
        <v>4.3090827768426151E-3</v>
      </c>
      <c r="V41">
        <v>4.4682481613392694E-3</v>
      </c>
      <c r="W41">
        <v>4.2828951789226147E-3</v>
      </c>
      <c r="X41">
        <v>4.2812031429987196E-3</v>
      </c>
      <c r="Y41">
        <v>4.3447774238008583E-3</v>
      </c>
      <c r="Z41">
        <v>4.2183426438359437E-3</v>
      </c>
      <c r="AA41">
        <v>4.2211932732178405E-3</v>
      </c>
      <c r="AB41">
        <v>4.2904997501665371E-3</v>
      </c>
      <c r="AC41">
        <v>4.3042527036249011E-3</v>
      </c>
      <c r="AD41">
        <v>4.2235308822710146E-3</v>
      </c>
      <c r="AE41" s="4">
        <v>-0.26223707769274235</v>
      </c>
    </row>
    <row r="42" spans="1:31" x14ac:dyDescent="0.25">
      <c r="A42" t="s">
        <v>65</v>
      </c>
      <c r="B42" t="s">
        <v>69</v>
      </c>
      <c r="C42" t="s">
        <v>71</v>
      </c>
      <c r="D42">
        <v>9.9916723505578744E-2</v>
      </c>
      <c r="E42">
        <v>5.4413968115171532E-2</v>
      </c>
      <c r="F42">
        <v>3.9482020726137261E-2</v>
      </c>
      <c r="G42">
        <v>3.9898340901817639E-2</v>
      </c>
      <c r="H42">
        <v>3.7861475128026657E-2</v>
      </c>
      <c r="I42">
        <v>3.7784780376168815E-2</v>
      </c>
      <c r="J42">
        <v>4.5511749362586236E-2</v>
      </c>
      <c r="K42">
        <v>4.6485591180546369E-2</v>
      </c>
      <c r="L42">
        <v>4.4160599474728883E-2</v>
      </c>
      <c r="M42">
        <v>3.5086272209332747E-2</v>
      </c>
      <c r="N42">
        <v>3.408422566596752E-2</v>
      </c>
      <c r="O42">
        <v>3.586551679127347E-2</v>
      </c>
      <c r="P42">
        <v>3.3228999237671683E-2</v>
      </c>
      <c r="Q42">
        <v>3.4649202232127363E-2</v>
      </c>
      <c r="R42">
        <v>3.578785852973574E-2</v>
      </c>
      <c r="S42">
        <v>3.6743747029842518E-2</v>
      </c>
      <c r="T42">
        <v>3.6216342411189373E-2</v>
      </c>
      <c r="U42">
        <v>3.2591942139898238E-2</v>
      </c>
      <c r="V42">
        <v>3.1445661488379469E-2</v>
      </c>
      <c r="W42">
        <v>2.9097688811434309E-2</v>
      </c>
      <c r="X42">
        <v>2.9062524784212309E-2</v>
      </c>
      <c r="Y42">
        <v>2.8795062740738918E-2</v>
      </c>
      <c r="Z42">
        <v>2.7223398492944289E-2</v>
      </c>
      <c r="AA42">
        <v>2.763423824508977E-2</v>
      </c>
      <c r="AB42">
        <v>2.6682944049843459E-2</v>
      </c>
      <c r="AC42">
        <v>2.5979468628436437E-2</v>
      </c>
      <c r="AD42">
        <v>2.377922860639569E-2</v>
      </c>
      <c r="AE42" s="4">
        <v>-0.76200952381041598</v>
      </c>
    </row>
    <row r="43" spans="1:31" x14ac:dyDescent="0.25">
      <c r="A43" t="s">
        <v>65</v>
      </c>
      <c r="B43" t="s">
        <v>70</v>
      </c>
      <c r="C43" t="s">
        <v>71</v>
      </c>
      <c r="D43">
        <f>907185*D38/(D17*10^9)</f>
        <v>3.6508823344208593E-8</v>
      </c>
      <c r="E43">
        <f>907185*E38/(E17*10^9)</f>
        <v>1.8411087164666394E-11</v>
      </c>
      <c r="F43">
        <f>907185*F38/(F17*10^9)</f>
        <v>1.8592898858552982E-11</v>
      </c>
      <c r="G43">
        <f>907185*G38/(G17*10^9)</f>
        <v>1.7968178744344803E-11</v>
      </c>
      <c r="H43">
        <f>907185*H38/(H17*10^9)</f>
        <v>1.8046460976180485E-11</v>
      </c>
      <c r="I43">
        <f>907185*I38/(I17*10^9)</f>
        <v>1.8083168402090839E-11</v>
      </c>
      <c r="J43">
        <f>907185*J38/(J17*10^9)</f>
        <v>1.7722643832782798E-11</v>
      </c>
      <c r="K43">
        <f>907185*K38/(K17*10^9)</f>
        <v>1.7384289895492283E-11</v>
      </c>
      <c r="L43">
        <f>907185*L38/(L17*10^9)</f>
        <v>1.6926255068888028E-11</v>
      </c>
      <c r="M43">
        <f>907185*M38/(M17*10^9)</f>
        <v>1.4978131145926467E-11</v>
      </c>
      <c r="N43">
        <f>907185*N38/(N17*10^9)</f>
        <v>1.3894914662033236E-11</v>
      </c>
      <c r="O43">
        <f>907185*O38/(O17*10^9)</f>
        <v>1.4114725222854571E-11</v>
      </c>
      <c r="P43">
        <f>907185*P38/(P17*10^9)</f>
        <v>7.0624865542341511E-12</v>
      </c>
      <c r="Q43">
        <f>907185*Q38/(Q17*10^9)</f>
        <v>7.3721706876866707E-12</v>
      </c>
      <c r="R43">
        <f>907185*R38/(R17*10^9)</f>
        <v>7.4264076633608098E-12</v>
      </c>
      <c r="S43">
        <f>907185*S38/(S17*10^9)</f>
        <v>7.4697595100310056E-12</v>
      </c>
      <c r="T43">
        <f>907185*T38/(T17*10^9)</f>
        <v>7.2115377162862121E-12</v>
      </c>
      <c r="U43">
        <f>907185*U38/(U17*10^9)</f>
        <v>7.2058240415428335E-12</v>
      </c>
      <c r="V43">
        <f>907185*V38/(V17*10^9)</f>
        <v>7.3010590871556678E-12</v>
      </c>
      <c r="W43">
        <f>907185*W38/(W17*10^9)</f>
        <v>6.8416855893332487E-12</v>
      </c>
      <c r="X43">
        <f>907185*X38/(X17*10^9)</f>
        <v>6.7103497539164872E-12</v>
      </c>
      <c r="Y43">
        <f>907185*Y38/(Y17*10^9)</f>
        <v>6.7152664973738146E-12</v>
      </c>
      <c r="Z43">
        <f>907185*Z38/(Z17*10^9)</f>
        <v>1.2841225704219003E-11</v>
      </c>
      <c r="AA43">
        <f>907185*AA38/(AA17*10^9)</f>
        <v>1.9014384113593875E-11</v>
      </c>
      <c r="AB43">
        <f>907185*AB38/(AB17*10^9)</f>
        <v>1.9182562221310898E-11</v>
      </c>
      <c r="AC43">
        <f>907185*AC38/(AC17*10^9)</f>
        <v>1.9244050835878845E-11</v>
      </c>
      <c r="AD43">
        <f>907185*AD38/(AD17*10^9)</f>
        <v>1.8743480246764863E-11</v>
      </c>
      <c r="AE43" s="4">
        <v>-0.9994866040992324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E43"/>
  <sheetViews>
    <sheetView tabSelected="1" topLeftCell="H1" zoomScale="55" zoomScaleNormal="55" workbookViewId="0">
      <selection sqref="A1:A1048576"/>
    </sheetView>
  </sheetViews>
  <sheetFormatPr defaultRowHeight="15" x14ac:dyDescent="0.25"/>
  <cols>
    <col min="1" max="1" width="50.28515625" bestFit="1" customWidth="1"/>
    <col min="2" max="2" width="35.7109375" bestFit="1" customWidth="1"/>
    <col min="3" max="3" width="17.5703125" bestFit="1" customWidth="1"/>
    <col min="4" max="30" width="16" bestFit="1" customWidth="1"/>
    <col min="31" max="31" width="27.42578125" bestFit="1" customWidth="1"/>
  </cols>
  <sheetData>
    <row r="1" spans="1:31" s="3" customFormat="1" ht="15.75" thickBot="1" x14ac:dyDescent="0.3">
      <c r="A1" s="3" t="s">
        <v>72</v>
      </c>
      <c r="B1" s="1" t="s">
        <v>73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</row>
    <row r="2" spans="1:31" ht="15.75" thickTop="1" x14ac:dyDescent="0.25">
      <c r="A2" t="s">
        <v>29</v>
      </c>
      <c r="B2" t="s">
        <v>30</v>
      </c>
      <c r="C2" t="s">
        <v>31</v>
      </c>
      <c r="D2">
        <v>28.988775</v>
      </c>
      <c r="E2">
        <v>27.352926</v>
      </c>
      <c r="F2">
        <v>25.529973999999999</v>
      </c>
      <c r="G2">
        <v>19.690121000000001</v>
      </c>
      <c r="H2">
        <v>19.175177000000001</v>
      </c>
      <c r="I2">
        <v>14.764379999999999</v>
      </c>
      <c r="J2">
        <v>4.6678030000000001</v>
      </c>
      <c r="K2">
        <v>3.7976869999999998</v>
      </c>
      <c r="L2">
        <v>1.921988</v>
      </c>
      <c r="M2">
        <v>1.7962309999999999</v>
      </c>
      <c r="N2">
        <v>1.9699709999999999</v>
      </c>
      <c r="O2">
        <v>2.152056</v>
      </c>
      <c r="P2">
        <v>2.2031329999999998</v>
      </c>
      <c r="Q2">
        <v>2.176698</v>
      </c>
      <c r="R2">
        <v>2.2134049999999998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 s="4" cm="1">
        <f t="array" ref="AE2:AE17">(AD2:AD17-D2:D17)/D2:D17</f>
        <v>-1</v>
      </c>
    </row>
    <row r="3" spans="1:31" x14ac:dyDescent="0.25">
      <c r="A3" t="s">
        <v>29</v>
      </c>
      <c r="B3" t="s">
        <v>32</v>
      </c>
      <c r="C3" t="s">
        <v>31</v>
      </c>
      <c r="D3">
        <v>0.11681999999999999</v>
      </c>
      <c r="E3">
        <v>0.12542300000000001</v>
      </c>
      <c r="F3">
        <v>0.13419300000000001</v>
      </c>
      <c r="G3">
        <v>8.6486999999999994E-2</v>
      </c>
      <c r="H3">
        <v>7.8264E-2</v>
      </c>
      <c r="I3">
        <v>5.9365000000000001E-2</v>
      </c>
      <c r="J3">
        <v>1.9681000000000001E-2</v>
      </c>
      <c r="K3">
        <v>2.4586E-2</v>
      </c>
      <c r="L3">
        <v>4.727E-2</v>
      </c>
      <c r="M3">
        <v>3.4706000000000001E-2</v>
      </c>
      <c r="N3">
        <v>2.7239999999999999E-3</v>
      </c>
      <c r="O3">
        <v>2.7829999999999999E-3</v>
      </c>
      <c r="P3">
        <v>2.5539999999999998E-3</v>
      </c>
      <c r="Q3">
        <v>1.382E-3</v>
      </c>
      <c r="R3">
        <v>1.382E-3</v>
      </c>
      <c r="S3">
        <v>1.382E-3</v>
      </c>
      <c r="T3">
        <v>1.382E-3</v>
      </c>
      <c r="U3">
        <v>1.382E-3</v>
      </c>
      <c r="V3">
        <v>1.382E-3</v>
      </c>
      <c r="W3">
        <v>1.382E-3</v>
      </c>
      <c r="X3">
        <v>1.382E-3</v>
      </c>
      <c r="Y3">
        <v>1.382E-3</v>
      </c>
      <c r="Z3">
        <v>1.382E-3</v>
      </c>
      <c r="AA3">
        <v>1.382E-3</v>
      </c>
      <c r="AB3">
        <v>1.382E-3</v>
      </c>
      <c r="AC3">
        <v>1.382E-3</v>
      </c>
      <c r="AD3">
        <v>1.382E-3</v>
      </c>
      <c r="AE3" s="4">
        <v>-0.98816983393254587</v>
      </c>
    </row>
    <row r="4" spans="1:31" x14ac:dyDescent="0.25">
      <c r="A4" t="s">
        <v>29</v>
      </c>
      <c r="B4" t="s">
        <v>33</v>
      </c>
      <c r="C4" t="s">
        <v>31</v>
      </c>
      <c r="D4">
        <v>25.519919999999999</v>
      </c>
      <c r="E4">
        <v>23.667998999999998</v>
      </c>
      <c r="F4">
        <v>23.429029</v>
      </c>
      <c r="G4">
        <v>23.70326</v>
      </c>
      <c r="H4">
        <v>23.406836999999999</v>
      </c>
      <c r="I4">
        <v>23.114017</v>
      </c>
      <c r="J4">
        <v>25.879923000000002</v>
      </c>
      <c r="K4">
        <v>20.683792</v>
      </c>
      <c r="L4">
        <v>24.864751999999999</v>
      </c>
      <c r="M4">
        <v>25.426953999999999</v>
      </c>
      <c r="N4">
        <v>25.595359999999999</v>
      </c>
      <c r="O4">
        <v>27.41724</v>
      </c>
      <c r="P4">
        <v>29.423838</v>
      </c>
      <c r="Q4">
        <v>29.924569999999999</v>
      </c>
      <c r="R4">
        <v>29.802906</v>
      </c>
      <c r="S4">
        <v>32.218570999999997</v>
      </c>
      <c r="T4">
        <v>32.635330000000003</v>
      </c>
      <c r="U4">
        <v>33.575592</v>
      </c>
      <c r="V4">
        <v>32.563229</v>
      </c>
      <c r="W4">
        <v>33.549225</v>
      </c>
      <c r="X4">
        <v>31.449356000000002</v>
      </c>
      <c r="Y4">
        <v>32.430388999999998</v>
      </c>
      <c r="Z4">
        <v>31.148713999999998</v>
      </c>
      <c r="AA4">
        <v>30.740466999999999</v>
      </c>
      <c r="AB4">
        <v>32.352767999999998</v>
      </c>
      <c r="AC4">
        <v>33.600883000000003</v>
      </c>
      <c r="AD4">
        <v>34.346862999999999</v>
      </c>
      <c r="AE4" s="4">
        <v>0.34588443067219649</v>
      </c>
    </row>
    <row r="5" spans="1:31" x14ac:dyDescent="0.25">
      <c r="A5" t="s">
        <v>29</v>
      </c>
      <c r="B5" t="s">
        <v>34</v>
      </c>
      <c r="C5" t="s">
        <v>31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 s="4" t="e">
        <v>#DIV/0!</v>
      </c>
    </row>
    <row r="6" spans="1:31" x14ac:dyDescent="0.25">
      <c r="A6" t="s">
        <v>29</v>
      </c>
      <c r="B6" t="s">
        <v>35</v>
      </c>
      <c r="C6" t="s">
        <v>31</v>
      </c>
      <c r="D6">
        <v>-7.9646999999999996E-2</v>
      </c>
      <c r="E6">
        <v>-7.1384000000000003E-2</v>
      </c>
      <c r="F6">
        <v>-7.9911999999999997E-2</v>
      </c>
      <c r="G6">
        <v>-7.5609999999999997E-2</v>
      </c>
      <c r="H6">
        <v>-7.6368000000000005E-2</v>
      </c>
      <c r="I6">
        <v>-8.0634999999999998E-2</v>
      </c>
      <c r="J6">
        <v>-7.6619999999999994E-2</v>
      </c>
      <c r="K6">
        <v>-8.5043999999999995E-2</v>
      </c>
      <c r="L6">
        <v>-8.2991999999999996E-2</v>
      </c>
      <c r="M6">
        <v>-8.3828E-2</v>
      </c>
      <c r="N6">
        <v>-8.5084000000000007E-2</v>
      </c>
      <c r="O6">
        <v>-8.4272E-2</v>
      </c>
      <c r="P6">
        <v>-8.3358000000000002E-2</v>
      </c>
      <c r="Q6">
        <v>-8.4747000000000003E-2</v>
      </c>
      <c r="R6">
        <v>-8.4735000000000005E-2</v>
      </c>
      <c r="S6">
        <v>-8.2739999999999994E-2</v>
      </c>
      <c r="T6">
        <v>-8.1460000000000005E-2</v>
      </c>
      <c r="U6">
        <v>-8.1184999999999993E-2</v>
      </c>
      <c r="V6">
        <v>-8.1790000000000002E-2</v>
      </c>
      <c r="W6">
        <v>-8.3268999999999996E-2</v>
      </c>
      <c r="X6">
        <v>-8.2614000000000007E-2</v>
      </c>
      <c r="Y6">
        <v>-8.3825999999999998E-2</v>
      </c>
      <c r="Z6">
        <v>-8.2392999999999994E-2</v>
      </c>
      <c r="AA6">
        <v>-8.2637000000000002E-2</v>
      </c>
      <c r="AB6">
        <v>-8.2225000000000006E-2</v>
      </c>
      <c r="AC6">
        <v>-8.0897999999999998E-2</v>
      </c>
      <c r="AD6">
        <v>-8.0694000000000002E-2</v>
      </c>
      <c r="AE6" s="4">
        <v>1.3145504538777435E-2</v>
      </c>
    </row>
    <row r="7" spans="1:31" x14ac:dyDescent="0.25">
      <c r="A7" t="s">
        <v>29</v>
      </c>
      <c r="B7" t="s">
        <v>36</v>
      </c>
      <c r="C7" t="s">
        <v>31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 s="4" t="e">
        <v>#DIV/0!</v>
      </c>
    </row>
    <row r="8" spans="1:31" x14ac:dyDescent="0.25">
      <c r="A8" t="s">
        <v>29</v>
      </c>
      <c r="B8" t="s">
        <v>37</v>
      </c>
      <c r="C8" t="s">
        <v>31</v>
      </c>
      <c r="D8">
        <v>1.5608690000000001</v>
      </c>
      <c r="E8">
        <v>1.6965349999999999</v>
      </c>
      <c r="F8">
        <v>1.7604900000000001</v>
      </c>
      <c r="G8">
        <v>1.8254779999999999</v>
      </c>
      <c r="H8">
        <v>1.82239</v>
      </c>
      <c r="I8">
        <v>1.823086</v>
      </c>
      <c r="J8">
        <v>1.8229630000000001</v>
      </c>
      <c r="K8">
        <v>1.826508</v>
      </c>
      <c r="L8">
        <v>1.8478129999999999</v>
      </c>
      <c r="M8">
        <v>1.8457760000000001</v>
      </c>
      <c r="N8">
        <v>1.8465579999999999</v>
      </c>
      <c r="O8">
        <v>1.845364</v>
      </c>
      <c r="P8">
        <v>1.8473520000000001</v>
      </c>
      <c r="Q8">
        <v>1.845291</v>
      </c>
      <c r="R8">
        <v>1.8448629999999999</v>
      </c>
      <c r="S8">
        <v>1.845763</v>
      </c>
      <c r="T8">
        <v>1.845016</v>
      </c>
      <c r="U8">
        <v>1.8444259999999999</v>
      </c>
      <c r="V8">
        <v>1.8433120000000001</v>
      </c>
      <c r="W8">
        <v>1.843037</v>
      </c>
      <c r="X8">
        <v>1.840498</v>
      </c>
      <c r="Y8">
        <v>1.837569</v>
      </c>
      <c r="Z8">
        <v>1.8327990000000001</v>
      </c>
      <c r="AA8">
        <v>1.827196</v>
      </c>
      <c r="AB8">
        <v>1.8277209999999999</v>
      </c>
      <c r="AC8">
        <v>1.8269740000000001</v>
      </c>
      <c r="AD8">
        <v>1.824989</v>
      </c>
      <c r="AE8" s="4">
        <v>0.1692134317485964</v>
      </c>
    </row>
    <row r="9" spans="1:31" x14ac:dyDescent="0.25">
      <c r="A9" t="s">
        <v>29</v>
      </c>
      <c r="B9" t="s">
        <v>38</v>
      </c>
      <c r="C9" t="s">
        <v>31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 s="4" t="e">
        <v>#DIV/0!</v>
      </c>
    </row>
    <row r="10" spans="1:31" x14ac:dyDescent="0.25">
      <c r="A10" t="s">
        <v>29</v>
      </c>
      <c r="B10" t="s">
        <v>39</v>
      </c>
      <c r="C10" t="s">
        <v>31</v>
      </c>
      <c r="D10">
        <v>3.7019999999999997E-2</v>
      </c>
      <c r="E10">
        <v>7.6988000000000001E-2</v>
      </c>
      <c r="F10">
        <v>0.120168</v>
      </c>
      <c r="G10">
        <v>0.158944</v>
      </c>
      <c r="H10">
        <v>0.201181</v>
      </c>
      <c r="I10">
        <v>0.23655100000000001</v>
      </c>
      <c r="J10">
        <v>0.27129599999999998</v>
      </c>
      <c r="K10">
        <v>0.30920900000000001</v>
      </c>
      <c r="L10">
        <v>0.34788799999999998</v>
      </c>
      <c r="M10">
        <v>0.38689899999999999</v>
      </c>
      <c r="N10">
        <v>0.41926400000000003</v>
      </c>
      <c r="O10">
        <v>0.45366800000000002</v>
      </c>
      <c r="P10">
        <v>0.48955300000000002</v>
      </c>
      <c r="Q10">
        <v>0.52810199999999996</v>
      </c>
      <c r="R10">
        <v>0.56822300000000003</v>
      </c>
      <c r="S10">
        <v>0.59603700000000004</v>
      </c>
      <c r="T10">
        <v>0.624525</v>
      </c>
      <c r="U10">
        <v>0.65351199999999998</v>
      </c>
      <c r="V10">
        <v>0.68293099999999995</v>
      </c>
      <c r="W10">
        <v>0.71259600000000001</v>
      </c>
      <c r="X10">
        <v>0.727962</v>
      </c>
      <c r="Y10">
        <v>0.74317999999999995</v>
      </c>
      <c r="Z10">
        <v>0.75849599999999995</v>
      </c>
      <c r="AA10">
        <v>0.77407999999999999</v>
      </c>
      <c r="AB10">
        <v>0.78968400000000005</v>
      </c>
      <c r="AC10">
        <v>0.78968400000000005</v>
      </c>
      <c r="AD10">
        <v>0.78968400000000005</v>
      </c>
      <c r="AE10" s="4">
        <v>20.331280388978932</v>
      </c>
    </row>
    <row r="11" spans="1:31" x14ac:dyDescent="0.25">
      <c r="A11" t="s">
        <v>29</v>
      </c>
      <c r="B11" t="s">
        <v>40</v>
      </c>
      <c r="C11" t="s">
        <v>31</v>
      </c>
      <c r="D11">
        <v>8.1000000000000003E-2</v>
      </c>
      <c r="E11">
        <v>8.0870999999999998E-2</v>
      </c>
      <c r="F11">
        <v>7.0626999999999995E-2</v>
      </c>
      <c r="G11">
        <v>7.0626999999999995E-2</v>
      </c>
      <c r="H11">
        <v>4.8582E-2</v>
      </c>
      <c r="I11">
        <v>4.8582E-2</v>
      </c>
      <c r="J11">
        <v>0.123387</v>
      </c>
      <c r="K11">
        <v>8.8261999999999993E-2</v>
      </c>
      <c r="L11">
        <v>8.8261999999999993E-2</v>
      </c>
      <c r="M11">
        <v>8.8261999999999993E-2</v>
      </c>
      <c r="N11">
        <v>8.8261999999999993E-2</v>
      </c>
      <c r="O11">
        <v>8.8261999999999993E-2</v>
      </c>
      <c r="P11">
        <v>0.11267000000000001</v>
      </c>
      <c r="Q11">
        <v>8.8261999999999993E-2</v>
      </c>
      <c r="R11">
        <v>8.8261999999999993E-2</v>
      </c>
      <c r="S11">
        <v>8.8261999999999993E-2</v>
      </c>
      <c r="T11">
        <v>8.8261999999999993E-2</v>
      </c>
      <c r="U11">
        <v>8.8261999999999993E-2</v>
      </c>
      <c r="V11">
        <v>8.8261999999999993E-2</v>
      </c>
      <c r="W11">
        <v>8.8261999999999993E-2</v>
      </c>
      <c r="X11">
        <v>0.123387</v>
      </c>
      <c r="Y11">
        <v>0.123387</v>
      </c>
      <c r="Z11">
        <v>8.8261999999999993E-2</v>
      </c>
      <c r="AA11">
        <v>8.8261999999999993E-2</v>
      </c>
      <c r="AB11">
        <v>8.8261999999999993E-2</v>
      </c>
      <c r="AC11">
        <v>8.8261999999999993E-2</v>
      </c>
      <c r="AD11">
        <v>0.10589700000000001</v>
      </c>
      <c r="AE11" s="4">
        <v>0.3073703703703704</v>
      </c>
    </row>
    <row r="12" spans="1:31" x14ac:dyDescent="0.25">
      <c r="A12" t="s">
        <v>29</v>
      </c>
      <c r="B12" t="s">
        <v>41</v>
      </c>
      <c r="C12" t="s">
        <v>31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s="4" t="e">
        <v>#DIV/0!</v>
      </c>
    </row>
    <row r="13" spans="1:31" x14ac:dyDescent="0.25">
      <c r="A13" t="s">
        <v>29</v>
      </c>
      <c r="B13" t="s">
        <v>42</v>
      </c>
      <c r="C13" t="s">
        <v>31</v>
      </c>
      <c r="D13">
        <v>5.356204</v>
      </c>
      <c r="E13">
        <v>6.7376579999999997</v>
      </c>
      <c r="F13">
        <v>8.1691099999999999</v>
      </c>
      <c r="G13">
        <v>8.4346080000000008</v>
      </c>
      <c r="H13">
        <v>8.4115509999999993</v>
      </c>
      <c r="I13">
        <v>8.4060109999999995</v>
      </c>
      <c r="J13">
        <v>8.4305920000000008</v>
      </c>
      <c r="K13">
        <v>8.4315219999999993</v>
      </c>
      <c r="L13">
        <v>8.4436979999999995</v>
      </c>
      <c r="M13">
        <v>8.4207239999999999</v>
      </c>
      <c r="N13">
        <v>8.4264890000000001</v>
      </c>
      <c r="O13">
        <v>8.4304919999999992</v>
      </c>
      <c r="P13">
        <v>8.4480170000000001</v>
      </c>
      <c r="Q13">
        <v>8.4320989999999991</v>
      </c>
      <c r="R13">
        <v>8.4198970000000006</v>
      </c>
      <c r="S13">
        <v>8.4319950000000006</v>
      </c>
      <c r="T13">
        <v>8.4367719999999995</v>
      </c>
      <c r="U13">
        <v>8.4261230000000005</v>
      </c>
      <c r="V13">
        <v>8.4287349999999996</v>
      </c>
      <c r="W13">
        <v>8.4260520000000003</v>
      </c>
      <c r="X13">
        <v>8.4127139999999994</v>
      </c>
      <c r="Y13">
        <v>8.4402220000000003</v>
      </c>
      <c r="Z13">
        <v>8.4101549999999996</v>
      </c>
      <c r="AA13">
        <v>8.4113869999999995</v>
      </c>
      <c r="AB13">
        <v>8.4129939999999994</v>
      </c>
      <c r="AC13">
        <v>8.4122369999999993</v>
      </c>
      <c r="AD13">
        <v>8.4187809999999992</v>
      </c>
      <c r="AE13" s="4">
        <v>0.57178124656939866</v>
      </c>
    </row>
    <row r="14" spans="1:31" x14ac:dyDescent="0.25">
      <c r="A14" t="s">
        <v>29</v>
      </c>
      <c r="B14" t="s">
        <v>43</v>
      </c>
      <c r="C14" t="s">
        <v>31</v>
      </c>
      <c r="D14">
        <v>20.324358</v>
      </c>
      <c r="E14">
        <v>19.609112</v>
      </c>
      <c r="F14">
        <v>20.811232</v>
      </c>
      <c r="G14">
        <v>27.568397999999998</v>
      </c>
      <c r="H14">
        <v>35.745964000000001</v>
      </c>
      <c r="I14">
        <v>41.163924999999999</v>
      </c>
      <c r="J14">
        <v>52.279632999999997</v>
      </c>
      <c r="K14">
        <v>64.481200999999999</v>
      </c>
      <c r="L14">
        <v>66.900620000000004</v>
      </c>
      <c r="M14">
        <v>66.916640999999998</v>
      </c>
      <c r="N14">
        <v>66.908378999999996</v>
      </c>
      <c r="O14">
        <v>66.690689000000006</v>
      </c>
      <c r="P14">
        <v>66.672554000000005</v>
      </c>
      <c r="Q14">
        <v>68.841781999999995</v>
      </c>
      <c r="R14">
        <v>71.351653999999996</v>
      </c>
      <c r="S14">
        <v>73.295235000000005</v>
      </c>
      <c r="T14">
        <v>75.065117000000001</v>
      </c>
      <c r="U14">
        <v>77.000313000000006</v>
      </c>
      <c r="V14">
        <v>78.792015000000006</v>
      </c>
      <c r="W14">
        <v>80.338431999999997</v>
      </c>
      <c r="X14">
        <v>82.630402000000004</v>
      </c>
      <c r="Y14">
        <v>84.757767000000001</v>
      </c>
      <c r="Z14">
        <v>88.097221000000005</v>
      </c>
      <c r="AA14">
        <v>90.272407999999999</v>
      </c>
      <c r="AB14">
        <v>91.592208999999997</v>
      </c>
      <c r="AC14">
        <v>93.156981999999999</v>
      </c>
      <c r="AD14">
        <v>95.006989000000004</v>
      </c>
      <c r="AE14" s="4">
        <v>3.6745382560177302</v>
      </c>
    </row>
    <row r="15" spans="1:31" x14ac:dyDescent="0.25">
      <c r="A15" t="s">
        <v>29</v>
      </c>
      <c r="B15" t="s">
        <v>44</v>
      </c>
      <c r="C15" t="s">
        <v>31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s="4" t="e">
        <v>#DIV/0!</v>
      </c>
    </row>
    <row r="16" spans="1:31" x14ac:dyDescent="0.25">
      <c r="A16" t="s">
        <v>29</v>
      </c>
      <c r="B16" s="6" t="s">
        <v>45</v>
      </c>
      <c r="C16" t="s">
        <v>31</v>
      </c>
      <c r="D16">
        <v>0</v>
      </c>
      <c r="E16">
        <v>0</v>
      </c>
      <c r="F16">
        <v>5.7660000000000003E-3</v>
      </c>
      <c r="G16">
        <v>1.3616E-2</v>
      </c>
      <c r="H16">
        <v>2.0732E-2</v>
      </c>
      <c r="I16">
        <v>4.5678000000000003E-2</v>
      </c>
      <c r="J16">
        <v>7.0257E-2</v>
      </c>
      <c r="K16">
        <v>9.6588999999999994E-2</v>
      </c>
      <c r="L16">
        <v>0.159999</v>
      </c>
      <c r="M16">
        <v>0.195128</v>
      </c>
      <c r="N16">
        <v>0.23566000000000001</v>
      </c>
      <c r="O16">
        <v>0.27847</v>
      </c>
      <c r="P16">
        <v>0.319077</v>
      </c>
      <c r="Q16">
        <v>0.358012</v>
      </c>
      <c r="R16">
        <v>0.39655899999999999</v>
      </c>
      <c r="S16">
        <v>0.47831099999999999</v>
      </c>
      <c r="T16">
        <v>0.51726099999999997</v>
      </c>
      <c r="U16">
        <v>0.55639899999999998</v>
      </c>
      <c r="V16">
        <v>0.59388399999999997</v>
      </c>
      <c r="W16">
        <v>0.62960000000000005</v>
      </c>
      <c r="X16">
        <v>0.66383899999999996</v>
      </c>
      <c r="Y16">
        <v>0.698272</v>
      </c>
      <c r="Z16">
        <v>0.733151</v>
      </c>
      <c r="AA16">
        <v>0.77009499999999997</v>
      </c>
      <c r="AB16">
        <v>0.80766099999999996</v>
      </c>
      <c r="AC16">
        <v>0.84706899999999996</v>
      </c>
      <c r="AD16">
        <v>0.88746599999999998</v>
      </c>
      <c r="AE16" s="4" t="e">
        <v>#DIV/0!</v>
      </c>
    </row>
    <row r="17" spans="1:31" x14ac:dyDescent="0.25">
      <c r="A17" t="s">
        <v>29</v>
      </c>
      <c r="B17" s="6" t="s">
        <v>46</v>
      </c>
      <c r="C17" t="s">
        <v>31</v>
      </c>
      <c r="D17">
        <v>81.905319000000006</v>
      </c>
      <c r="E17">
        <v>79.276122999999998</v>
      </c>
      <c r="F17">
        <v>79.950676000000001</v>
      </c>
      <c r="G17">
        <v>81.475928999999994</v>
      </c>
      <c r="H17">
        <v>88.834311999999997</v>
      </c>
      <c r="I17">
        <v>89.580956</v>
      </c>
      <c r="J17">
        <v>93.488913999999994</v>
      </c>
      <c r="K17">
        <v>99.654304999999994</v>
      </c>
      <c r="L17">
        <v>104.53929100000001</v>
      </c>
      <c r="M17">
        <v>105.027496</v>
      </c>
      <c r="N17">
        <v>105.407578</v>
      </c>
      <c r="O17">
        <v>107.27475699999999</v>
      </c>
      <c r="P17">
        <v>109.43538700000001</v>
      </c>
      <c r="Q17">
        <v>112.11144299999999</v>
      </c>
      <c r="R17">
        <v>114.602425</v>
      </c>
      <c r="S17">
        <v>116.87281</v>
      </c>
      <c r="T17">
        <v>119.13220200000001</v>
      </c>
      <c r="U17">
        <v>122.064819</v>
      </c>
      <c r="V17">
        <v>122.911964</v>
      </c>
      <c r="W17">
        <v>125.505318</v>
      </c>
      <c r="X17">
        <v>125.76693</v>
      </c>
      <c r="Y17">
        <v>128.94834900000001</v>
      </c>
      <c r="Z17">
        <v>130.98779300000001</v>
      </c>
      <c r="AA17">
        <v>132.80264299999999</v>
      </c>
      <c r="AB17">
        <v>135.79045099999999</v>
      </c>
      <c r="AC17">
        <v>138.64257799999999</v>
      </c>
      <c r="AD17">
        <v>141.301346</v>
      </c>
      <c r="AE17" s="4">
        <v>0.72517911809854485</v>
      </c>
    </row>
    <row r="18" spans="1:31" x14ac:dyDescent="0.25">
      <c r="A18" t="s">
        <v>75</v>
      </c>
      <c r="B18" t="s">
        <v>47</v>
      </c>
      <c r="C18" t="s">
        <v>48</v>
      </c>
      <c r="D18">
        <v>12.864727</v>
      </c>
      <c r="E18">
        <v>12.865043</v>
      </c>
      <c r="F18">
        <v>12.528112999999999</v>
      </c>
      <c r="G18">
        <v>12.271385</v>
      </c>
      <c r="H18">
        <v>12.159625</v>
      </c>
      <c r="I18">
        <v>12.192945</v>
      </c>
      <c r="J18">
        <v>12.353462</v>
      </c>
      <c r="K18">
        <v>12.344198</v>
      </c>
      <c r="L18">
        <v>12.237942</v>
      </c>
      <c r="M18">
        <v>12.255386</v>
      </c>
      <c r="N18">
        <v>12.407363999999999</v>
      </c>
      <c r="O18">
        <v>12.49132</v>
      </c>
      <c r="P18">
        <v>12.532185</v>
      </c>
      <c r="Q18">
        <v>12.565768</v>
      </c>
      <c r="R18">
        <v>12.653371999999999</v>
      </c>
      <c r="S18">
        <v>12.972166</v>
      </c>
      <c r="T18">
        <v>13.207932</v>
      </c>
      <c r="U18">
        <v>13.430351</v>
      </c>
      <c r="V18">
        <v>13.758317999999999</v>
      </c>
      <c r="W18">
        <v>13.86618</v>
      </c>
      <c r="X18">
        <v>13.902710000000001</v>
      </c>
      <c r="Y18">
        <v>13.914649000000001</v>
      </c>
      <c r="Z18">
        <v>13.901719</v>
      </c>
      <c r="AA18">
        <v>13.854957000000001</v>
      </c>
      <c r="AB18">
        <v>13.85272</v>
      </c>
      <c r="AC18">
        <v>13.912682999999999</v>
      </c>
      <c r="AD18">
        <v>14.000544</v>
      </c>
      <c r="AE18" s="4" cm="1">
        <f t="array" ref="AE18:AE22">(AD18:AD22-D18:D22)/D18:D22</f>
        <v>8.8289242360137091E-2</v>
      </c>
    </row>
    <row r="19" spans="1:31" x14ac:dyDescent="0.25">
      <c r="A19" t="s">
        <v>75</v>
      </c>
      <c r="B19" t="s">
        <v>49</v>
      </c>
      <c r="C19" t="s">
        <v>48</v>
      </c>
      <c r="D19">
        <v>9.4383719999999993</v>
      </c>
      <c r="E19">
        <v>9.3700650000000003</v>
      </c>
      <c r="F19">
        <v>9.0789639999999991</v>
      </c>
      <c r="G19">
        <v>8.8577169999999992</v>
      </c>
      <c r="H19">
        <v>8.7556550000000009</v>
      </c>
      <c r="I19">
        <v>8.7531339999999993</v>
      </c>
      <c r="J19">
        <v>8.8734029999999997</v>
      </c>
      <c r="K19">
        <v>8.7839019999999994</v>
      </c>
      <c r="L19">
        <v>8.6295120000000001</v>
      </c>
      <c r="M19">
        <v>8.5809239999999996</v>
      </c>
      <c r="N19">
        <v>8.6579899999999999</v>
      </c>
      <c r="O19">
        <v>8.6644140000000007</v>
      </c>
      <c r="P19">
        <v>8.6535799999999998</v>
      </c>
      <c r="Q19">
        <v>8.6367039999999999</v>
      </c>
      <c r="R19">
        <v>8.6698170000000001</v>
      </c>
      <c r="S19">
        <v>8.9462709999999994</v>
      </c>
      <c r="T19">
        <v>9.0837369999999993</v>
      </c>
      <c r="U19">
        <v>9.2516130000000008</v>
      </c>
      <c r="V19">
        <v>9.5171880000000009</v>
      </c>
      <c r="W19">
        <v>9.5329470000000001</v>
      </c>
      <c r="X19">
        <v>9.5179150000000003</v>
      </c>
      <c r="Y19">
        <v>9.4566960000000009</v>
      </c>
      <c r="Z19">
        <v>9.3794909999999998</v>
      </c>
      <c r="AA19">
        <v>9.2639019999999999</v>
      </c>
      <c r="AB19">
        <v>9.1999390000000005</v>
      </c>
      <c r="AC19">
        <v>9.1816449999999996</v>
      </c>
      <c r="AD19">
        <v>9.1963709999999992</v>
      </c>
      <c r="AE19" s="4">
        <v>-2.5640120986966837E-2</v>
      </c>
    </row>
    <row r="20" spans="1:31" x14ac:dyDescent="0.25">
      <c r="A20" t="s">
        <v>75</v>
      </c>
      <c r="B20" t="s">
        <v>50</v>
      </c>
      <c r="C20" t="s">
        <v>48</v>
      </c>
      <c r="D20">
        <v>6.8784359999999998</v>
      </c>
      <c r="E20">
        <v>6.952699</v>
      </c>
      <c r="F20">
        <v>6.6054380000000004</v>
      </c>
      <c r="G20">
        <v>6.4277030000000002</v>
      </c>
      <c r="H20">
        <v>6.3272409999999999</v>
      </c>
      <c r="I20">
        <v>6.3481189999999996</v>
      </c>
      <c r="J20">
        <v>6.4908190000000001</v>
      </c>
      <c r="K20">
        <v>6.3881509999999997</v>
      </c>
      <c r="L20">
        <v>6.3049099999999996</v>
      </c>
      <c r="M20">
        <v>6.3257989999999999</v>
      </c>
      <c r="N20">
        <v>6.4550700000000001</v>
      </c>
      <c r="O20">
        <v>6.4817109999999998</v>
      </c>
      <c r="P20">
        <v>6.5090700000000004</v>
      </c>
      <c r="Q20">
        <v>6.5170940000000002</v>
      </c>
      <c r="R20">
        <v>6.570373</v>
      </c>
      <c r="S20">
        <v>6.8699139999999996</v>
      </c>
      <c r="T20">
        <v>6.9760980000000004</v>
      </c>
      <c r="U20">
        <v>7.1617790000000001</v>
      </c>
      <c r="V20">
        <v>7.4271950000000002</v>
      </c>
      <c r="W20">
        <v>7.413716</v>
      </c>
      <c r="X20">
        <v>7.4086629999999998</v>
      </c>
      <c r="Y20">
        <v>7.3429489999999999</v>
      </c>
      <c r="Z20">
        <v>7.2750149999999998</v>
      </c>
      <c r="AA20">
        <v>7.1671889999999996</v>
      </c>
      <c r="AB20">
        <v>7.1184409999999998</v>
      </c>
      <c r="AC20">
        <v>7.1044489999999998</v>
      </c>
      <c r="AD20">
        <v>7.1246229999999997</v>
      </c>
      <c r="AE20" s="4">
        <v>3.5791130425579291E-2</v>
      </c>
    </row>
    <row r="21" spans="1:31" x14ac:dyDescent="0.25">
      <c r="A21" t="s">
        <v>75</v>
      </c>
      <c r="B21" t="s">
        <v>51</v>
      </c>
      <c r="C21" t="s">
        <v>48</v>
      </c>
      <c r="D21">
        <v>9.2929349999999999</v>
      </c>
      <c r="E21">
        <v>9.3453680000000006</v>
      </c>
      <c r="F21">
        <v>8.9884470000000007</v>
      </c>
      <c r="G21">
        <v>8.7223609999999994</v>
      </c>
      <c r="H21">
        <v>8.5926460000000002</v>
      </c>
      <c r="I21">
        <v>8.5860149999999997</v>
      </c>
      <c r="J21">
        <v>8.7026859999999999</v>
      </c>
      <c r="K21">
        <v>8.6330530000000003</v>
      </c>
      <c r="L21">
        <v>8.4918949999999995</v>
      </c>
      <c r="M21">
        <v>8.4602160000000008</v>
      </c>
      <c r="N21">
        <v>8.5519359999999995</v>
      </c>
      <c r="O21">
        <v>8.5824599999999993</v>
      </c>
      <c r="P21">
        <v>8.5800800000000006</v>
      </c>
      <c r="Q21">
        <v>8.5709470000000003</v>
      </c>
      <c r="R21">
        <v>8.6145029999999991</v>
      </c>
      <c r="S21">
        <v>8.8761060000000001</v>
      </c>
      <c r="T21">
        <v>9.0316019999999995</v>
      </c>
      <c r="U21">
        <v>9.1968599999999991</v>
      </c>
      <c r="V21">
        <v>9.4574680000000004</v>
      </c>
      <c r="W21">
        <v>9.4868500000000004</v>
      </c>
      <c r="X21">
        <v>9.4670660000000009</v>
      </c>
      <c r="Y21">
        <v>9.4066379999999992</v>
      </c>
      <c r="Z21">
        <v>9.3298120000000004</v>
      </c>
      <c r="AA21">
        <v>9.2165540000000004</v>
      </c>
      <c r="AB21">
        <v>9.1507810000000003</v>
      </c>
      <c r="AC21">
        <v>9.1333490000000008</v>
      </c>
      <c r="AD21">
        <v>9.145918</v>
      </c>
      <c r="AE21" s="4">
        <v>-1.5820297892969223E-2</v>
      </c>
    </row>
    <row r="22" spans="1:31" x14ac:dyDescent="0.25">
      <c r="A22" t="s">
        <v>75</v>
      </c>
      <c r="B22" t="s">
        <v>52</v>
      </c>
      <c r="C22" t="s">
        <v>48</v>
      </c>
      <c r="D22">
        <v>9.8499759999999998</v>
      </c>
      <c r="E22">
        <v>9.7772179999999995</v>
      </c>
      <c r="F22">
        <v>9.4619049999999998</v>
      </c>
      <c r="G22">
        <v>9.2565290000000005</v>
      </c>
      <c r="H22">
        <v>9.1700759999999999</v>
      </c>
      <c r="I22">
        <v>9.1957889999999995</v>
      </c>
      <c r="J22">
        <v>9.3379429999999992</v>
      </c>
      <c r="K22">
        <v>9.2680559999999996</v>
      </c>
      <c r="L22">
        <v>9.1399559999999997</v>
      </c>
      <c r="M22">
        <v>9.1199510000000004</v>
      </c>
      <c r="N22">
        <v>9.2172630000000009</v>
      </c>
      <c r="O22">
        <v>9.2384310000000003</v>
      </c>
      <c r="P22">
        <v>9.2465550000000007</v>
      </c>
      <c r="Q22">
        <v>9.2489939999999997</v>
      </c>
      <c r="R22">
        <v>9.3008249999999997</v>
      </c>
      <c r="S22">
        <v>9.5948100000000007</v>
      </c>
      <c r="T22">
        <v>9.7477669999999996</v>
      </c>
      <c r="U22">
        <v>9.9339499999999994</v>
      </c>
      <c r="V22">
        <v>10.217032</v>
      </c>
      <c r="W22">
        <v>10.251436</v>
      </c>
      <c r="X22">
        <v>10.255065</v>
      </c>
      <c r="Y22">
        <v>10.213010000000001</v>
      </c>
      <c r="Z22">
        <v>10.15813</v>
      </c>
      <c r="AA22">
        <v>10.065714</v>
      </c>
      <c r="AB22">
        <v>10.023707999999999</v>
      </c>
      <c r="AC22">
        <v>10.026002</v>
      </c>
      <c r="AD22">
        <v>10.060753</v>
      </c>
      <c r="AE22" s="4">
        <v>2.1398732342088979E-2</v>
      </c>
    </row>
    <row r="23" spans="1:31" x14ac:dyDescent="0.25">
      <c r="A23" t="s">
        <v>74</v>
      </c>
      <c r="B23" t="s">
        <v>47</v>
      </c>
      <c r="C23" t="s">
        <v>53</v>
      </c>
      <c r="D23">
        <v>12.864727</v>
      </c>
      <c r="E23">
        <v>13.128983</v>
      </c>
      <c r="F23">
        <v>13.001048000000001</v>
      </c>
      <c r="G23">
        <v>12.946872000000001</v>
      </c>
      <c r="H23">
        <v>13.071199</v>
      </c>
      <c r="I23">
        <v>13.339518999999999</v>
      </c>
      <c r="J23">
        <v>13.767666999999999</v>
      </c>
      <c r="K23">
        <v>14.040177</v>
      </c>
      <c r="L23">
        <v>14.21345</v>
      </c>
      <c r="M23">
        <v>14.543480000000001</v>
      </c>
      <c r="N23">
        <v>15.049847</v>
      </c>
      <c r="O23">
        <v>15.480169</v>
      </c>
      <c r="P23">
        <v>15.852231</v>
      </c>
      <c r="Q23">
        <v>16.225300000000001</v>
      </c>
      <c r="R23">
        <v>16.675964</v>
      </c>
      <c r="S23">
        <v>17.446245000000001</v>
      </c>
      <c r="T23">
        <v>18.137063999999999</v>
      </c>
      <c r="U23">
        <v>18.836321000000002</v>
      </c>
      <c r="V23">
        <v>19.717165000000001</v>
      </c>
      <c r="W23">
        <v>20.314184000000001</v>
      </c>
      <c r="X23">
        <v>20.821337</v>
      </c>
      <c r="Y23">
        <v>21.309422000000001</v>
      </c>
      <c r="Z23">
        <v>21.771124</v>
      </c>
      <c r="AA23">
        <v>22.19265</v>
      </c>
      <c r="AB23">
        <v>22.695024</v>
      </c>
      <c r="AC23">
        <v>23.307981000000002</v>
      </c>
      <c r="AD23">
        <v>23.980663</v>
      </c>
      <c r="AE23" s="4" cm="1">
        <f t="array" ref="AE23:AE27">(AD23:AD27-D23:D27)/D23:D27</f>
        <v>0.86406310837377265</v>
      </c>
    </row>
    <row r="24" spans="1:31" x14ac:dyDescent="0.25">
      <c r="A24" t="s">
        <v>74</v>
      </c>
      <c r="B24" t="s">
        <v>49</v>
      </c>
      <c r="C24" t="s">
        <v>53</v>
      </c>
      <c r="D24">
        <v>9.4383719999999993</v>
      </c>
      <c r="E24">
        <v>9.5623020000000007</v>
      </c>
      <c r="F24">
        <v>9.4216940000000005</v>
      </c>
      <c r="G24">
        <v>9.3452950000000001</v>
      </c>
      <c r="H24">
        <v>9.4120439999999999</v>
      </c>
      <c r="I24">
        <v>9.5762420000000006</v>
      </c>
      <c r="J24">
        <v>9.8892150000000001</v>
      </c>
      <c r="K24">
        <v>9.9907299999999992</v>
      </c>
      <c r="L24">
        <v>10.022531000000001</v>
      </c>
      <c r="M24">
        <v>10.182990999999999</v>
      </c>
      <c r="N24">
        <v>10.501943000000001</v>
      </c>
      <c r="O24">
        <v>10.737584999999999</v>
      </c>
      <c r="P24">
        <v>10.946099</v>
      </c>
      <c r="Q24">
        <v>11.151975</v>
      </c>
      <c r="R24">
        <v>11.42601</v>
      </c>
      <c r="S24">
        <v>12.031826000000001</v>
      </c>
      <c r="T24">
        <v>12.473741</v>
      </c>
      <c r="U24">
        <v>12.975561000000001</v>
      </c>
      <c r="V24">
        <v>13.639165</v>
      </c>
      <c r="W24">
        <v>13.965925</v>
      </c>
      <c r="X24">
        <v>14.254466000000001</v>
      </c>
      <c r="Y24">
        <v>14.482343</v>
      </c>
      <c r="Z24">
        <v>14.688979</v>
      </c>
      <c r="AA24">
        <v>14.838770999999999</v>
      </c>
      <c r="AB24">
        <v>15.072334</v>
      </c>
      <c r="AC24">
        <v>15.382051000000001</v>
      </c>
      <c r="AD24">
        <v>15.751894</v>
      </c>
      <c r="AE24" s="4">
        <v>0.66892065707942017</v>
      </c>
    </row>
    <row r="25" spans="1:31" x14ac:dyDescent="0.25">
      <c r="A25" t="s">
        <v>74</v>
      </c>
      <c r="B25" t="s">
        <v>50</v>
      </c>
      <c r="C25" t="s">
        <v>53</v>
      </c>
      <c r="D25">
        <v>6.8784359999999998</v>
      </c>
      <c r="E25">
        <v>7.0953410000000003</v>
      </c>
      <c r="F25">
        <v>6.8547919999999998</v>
      </c>
      <c r="G25">
        <v>6.7815200000000004</v>
      </c>
      <c r="H25">
        <v>6.8015780000000001</v>
      </c>
      <c r="I25">
        <v>6.9450700000000003</v>
      </c>
      <c r="J25">
        <v>7.2338779999999998</v>
      </c>
      <c r="K25">
        <v>7.2658240000000003</v>
      </c>
      <c r="L25">
        <v>7.3226800000000001</v>
      </c>
      <c r="M25">
        <v>7.5068330000000003</v>
      </c>
      <c r="N25">
        <v>7.8298509999999997</v>
      </c>
      <c r="O25">
        <v>8.0326179999999994</v>
      </c>
      <c r="P25">
        <v>8.2334619999999994</v>
      </c>
      <c r="Q25">
        <v>8.4150690000000008</v>
      </c>
      <c r="R25">
        <v>8.6591380000000004</v>
      </c>
      <c r="S25">
        <v>9.2393359999999998</v>
      </c>
      <c r="T25">
        <v>9.5795410000000007</v>
      </c>
      <c r="U25">
        <v>10.044530999999999</v>
      </c>
      <c r="V25">
        <v>10.643977</v>
      </c>
      <c r="W25">
        <v>10.861217</v>
      </c>
      <c r="X25">
        <v>11.095553000000001</v>
      </c>
      <c r="Y25">
        <v>11.245271000000001</v>
      </c>
      <c r="Z25">
        <v>11.393212999999999</v>
      </c>
      <c r="AA25">
        <v>11.480289000000001</v>
      </c>
      <c r="AB25">
        <v>11.662198999999999</v>
      </c>
      <c r="AC25">
        <v>11.902115999999999</v>
      </c>
      <c r="AD25">
        <v>12.203325</v>
      </c>
      <c r="AE25" s="4">
        <v>0.7741424067913113</v>
      </c>
    </row>
    <row r="26" spans="1:31" x14ac:dyDescent="0.25">
      <c r="A26" t="s">
        <v>74</v>
      </c>
      <c r="B26" t="s">
        <v>51</v>
      </c>
      <c r="C26" t="s">
        <v>53</v>
      </c>
      <c r="D26">
        <v>9.2929349999999999</v>
      </c>
      <c r="E26">
        <v>9.5370980000000003</v>
      </c>
      <c r="F26">
        <v>9.3277599999999996</v>
      </c>
      <c r="G26">
        <v>9.2024889999999999</v>
      </c>
      <c r="H26">
        <v>9.2368140000000007</v>
      </c>
      <c r="I26">
        <v>9.3934080000000009</v>
      </c>
      <c r="J26">
        <v>9.6989560000000008</v>
      </c>
      <c r="K26">
        <v>9.8191550000000003</v>
      </c>
      <c r="L26">
        <v>9.8626989999999992</v>
      </c>
      <c r="M26">
        <v>10.039745999999999</v>
      </c>
      <c r="N26">
        <v>10.373302000000001</v>
      </c>
      <c r="O26">
        <v>10.636022000000001</v>
      </c>
      <c r="P26">
        <v>10.853128</v>
      </c>
      <c r="Q26">
        <v>11.067066000000001</v>
      </c>
      <c r="R26">
        <v>11.353111</v>
      </c>
      <c r="S26">
        <v>11.937462</v>
      </c>
      <c r="T26">
        <v>12.402148</v>
      </c>
      <c r="U26">
        <v>12.898770000000001</v>
      </c>
      <c r="V26">
        <v>13.553578999999999</v>
      </c>
      <c r="W26">
        <v>13.898391999999999</v>
      </c>
      <c r="X26">
        <v>14.178312999999999</v>
      </c>
      <c r="Y26">
        <v>14.405683</v>
      </c>
      <c r="Z26">
        <v>14.611178000000001</v>
      </c>
      <c r="AA26">
        <v>14.762931</v>
      </c>
      <c r="AB26">
        <v>14.991797999999999</v>
      </c>
      <c r="AC26">
        <v>15.301142</v>
      </c>
      <c r="AD26">
        <v>15.665476</v>
      </c>
      <c r="AE26" s="4">
        <v>0.68574040386594759</v>
      </c>
    </row>
    <row r="27" spans="1:31" x14ac:dyDescent="0.25">
      <c r="A27" t="s">
        <v>74</v>
      </c>
      <c r="B27" t="s">
        <v>52</v>
      </c>
      <c r="C27" t="s">
        <v>53</v>
      </c>
      <c r="D27">
        <v>9.8499759999999998</v>
      </c>
      <c r="E27">
        <v>9.9778070000000003</v>
      </c>
      <c r="F27">
        <v>9.8190899999999992</v>
      </c>
      <c r="G27">
        <v>9.7660599999999995</v>
      </c>
      <c r="H27">
        <v>9.8575330000000001</v>
      </c>
      <c r="I27">
        <v>10.060523999999999</v>
      </c>
      <c r="J27">
        <v>10.406936999999999</v>
      </c>
      <c r="K27">
        <v>10.541402</v>
      </c>
      <c r="L27">
        <v>10.615373999999999</v>
      </c>
      <c r="M27">
        <v>10.822656</v>
      </c>
      <c r="N27">
        <v>11.180327</v>
      </c>
      <c r="O27">
        <v>11.448949000000001</v>
      </c>
      <c r="P27">
        <v>11.696168</v>
      </c>
      <c r="Q27">
        <v>11.942581000000001</v>
      </c>
      <c r="R27">
        <v>12.257619999999999</v>
      </c>
      <c r="S27">
        <v>12.904045</v>
      </c>
      <c r="T27">
        <v>13.385584</v>
      </c>
      <c r="U27">
        <v>13.932551999999999</v>
      </c>
      <c r="V27">
        <v>14.642118</v>
      </c>
      <c r="W27">
        <v>15.018523999999999</v>
      </c>
      <c r="X27">
        <v>15.358457</v>
      </c>
      <c r="Y27">
        <v>15.64059</v>
      </c>
      <c r="Z27">
        <v>15.908385000000001</v>
      </c>
      <c r="AA27">
        <v>16.123101999999999</v>
      </c>
      <c r="AB27">
        <v>16.421923</v>
      </c>
      <c r="AC27">
        <v>16.796606000000001</v>
      </c>
      <c r="AD27">
        <v>17.232438999999999</v>
      </c>
      <c r="AE27" s="4">
        <v>0.74949045561126237</v>
      </c>
    </row>
    <row r="28" spans="1:31" x14ac:dyDescent="0.25">
      <c r="A28" t="s">
        <v>76</v>
      </c>
      <c r="B28" t="s">
        <v>54</v>
      </c>
      <c r="C28" t="s">
        <v>48</v>
      </c>
      <c r="D28">
        <v>5.709714</v>
      </c>
      <c r="E28">
        <v>5.6221389999999998</v>
      </c>
      <c r="F28">
        <v>5.2337400000000001</v>
      </c>
      <c r="G28">
        <v>4.9558739999999997</v>
      </c>
      <c r="H28">
        <v>4.777158</v>
      </c>
      <c r="I28">
        <v>4.7170430000000003</v>
      </c>
      <c r="J28">
        <v>4.7778429999999998</v>
      </c>
      <c r="K28">
        <v>4.614789</v>
      </c>
      <c r="L28">
        <v>4.4501160000000004</v>
      </c>
      <c r="M28">
        <v>4.4371130000000001</v>
      </c>
      <c r="N28">
        <v>4.5484799999999996</v>
      </c>
      <c r="O28">
        <v>4.5812720000000002</v>
      </c>
      <c r="P28">
        <v>4.5919049999999997</v>
      </c>
      <c r="Q28">
        <v>4.5858299999999996</v>
      </c>
      <c r="R28">
        <v>4.6152730000000002</v>
      </c>
      <c r="S28">
        <v>4.8672440000000003</v>
      </c>
      <c r="T28">
        <v>4.9774479999999999</v>
      </c>
      <c r="U28">
        <v>5.1376350000000004</v>
      </c>
      <c r="V28">
        <v>5.3926290000000003</v>
      </c>
      <c r="W28">
        <v>5.3947539999999998</v>
      </c>
      <c r="X28">
        <v>5.360754</v>
      </c>
      <c r="Y28">
        <v>5.2772059999999996</v>
      </c>
      <c r="Z28">
        <v>5.1740360000000001</v>
      </c>
      <c r="AA28">
        <v>5.0334640000000004</v>
      </c>
      <c r="AB28">
        <v>4.9508510000000001</v>
      </c>
      <c r="AC28">
        <v>4.912674</v>
      </c>
      <c r="AD28">
        <v>4.903416</v>
      </c>
      <c r="AE28" s="4" cm="1">
        <f t="array" ref="AE28:AE30">(AD28:AD30-D28:D30)/D28:D30</f>
        <v>-0.14121512916408771</v>
      </c>
    </row>
    <row r="29" spans="1:31" x14ac:dyDescent="0.25">
      <c r="A29" t="s">
        <v>76</v>
      </c>
      <c r="B29" t="s">
        <v>55</v>
      </c>
      <c r="C29" t="s">
        <v>48</v>
      </c>
      <c r="D29">
        <v>0.95910799999999996</v>
      </c>
      <c r="E29">
        <v>0.96825099999999997</v>
      </c>
      <c r="F29">
        <v>0.99719199999999997</v>
      </c>
      <c r="G29">
        <v>1.028789</v>
      </c>
      <c r="H29">
        <v>1.082241</v>
      </c>
      <c r="I29">
        <v>1.1298550000000001</v>
      </c>
      <c r="J29">
        <v>1.1777679999999999</v>
      </c>
      <c r="K29">
        <v>1.2410289999999999</v>
      </c>
      <c r="L29">
        <v>1.2510589999999999</v>
      </c>
      <c r="M29">
        <v>1.2214400000000001</v>
      </c>
      <c r="N29">
        <v>1.185945</v>
      </c>
      <c r="O29">
        <v>1.1513679999999999</v>
      </c>
      <c r="P29">
        <v>1.1224270000000001</v>
      </c>
      <c r="Q29">
        <v>1.1026879999999999</v>
      </c>
      <c r="R29">
        <v>1.0939270000000001</v>
      </c>
      <c r="S29">
        <v>1.101504</v>
      </c>
      <c r="T29">
        <v>1.1095569999999999</v>
      </c>
      <c r="U29">
        <v>1.0996680000000001</v>
      </c>
      <c r="V29">
        <v>1.090713</v>
      </c>
      <c r="W29">
        <v>1.08386</v>
      </c>
      <c r="X29">
        <v>1.0805769999999999</v>
      </c>
      <c r="Y29">
        <v>1.080047</v>
      </c>
      <c r="Z29">
        <v>1.083796</v>
      </c>
      <c r="AA29">
        <v>1.087934</v>
      </c>
      <c r="AB29">
        <v>1.085734</v>
      </c>
      <c r="AC29">
        <v>1.083321</v>
      </c>
      <c r="AD29">
        <v>1.084185</v>
      </c>
      <c r="AE29" s="4">
        <v>0.13040971402594911</v>
      </c>
    </row>
    <row r="30" spans="1:31" x14ac:dyDescent="0.25">
      <c r="A30" t="s">
        <v>76</v>
      </c>
      <c r="B30" t="s">
        <v>56</v>
      </c>
      <c r="C30" t="s">
        <v>48</v>
      </c>
      <c r="D30">
        <v>3.1811539999999998</v>
      </c>
      <c r="E30">
        <v>3.1868280000000002</v>
      </c>
      <c r="F30">
        <v>3.230972</v>
      </c>
      <c r="G30">
        <v>3.2718660000000002</v>
      </c>
      <c r="H30">
        <v>3.3106779999999998</v>
      </c>
      <c r="I30">
        <v>3.3488910000000001</v>
      </c>
      <c r="J30">
        <v>3.382333</v>
      </c>
      <c r="K30">
        <v>3.4122379999999999</v>
      </c>
      <c r="L30">
        <v>3.4387819999999998</v>
      </c>
      <c r="M30">
        <v>3.4613990000000001</v>
      </c>
      <c r="N30">
        <v>3.4828389999999998</v>
      </c>
      <c r="O30">
        <v>3.5057909999999999</v>
      </c>
      <c r="P30">
        <v>3.532222</v>
      </c>
      <c r="Q30">
        <v>3.560476</v>
      </c>
      <c r="R30">
        <v>3.5916250000000001</v>
      </c>
      <c r="S30">
        <v>3.6260620000000001</v>
      </c>
      <c r="T30">
        <v>3.6607630000000002</v>
      </c>
      <c r="U30">
        <v>3.6966480000000002</v>
      </c>
      <c r="V30">
        <v>3.7336909999999999</v>
      </c>
      <c r="W30">
        <v>3.7728220000000001</v>
      </c>
      <c r="X30">
        <v>3.813733</v>
      </c>
      <c r="Y30">
        <v>3.855756</v>
      </c>
      <c r="Z30">
        <v>3.9002979999999998</v>
      </c>
      <c r="AA30">
        <v>3.944315</v>
      </c>
      <c r="AB30">
        <v>3.9871219999999998</v>
      </c>
      <c r="AC30">
        <v>4.0300070000000003</v>
      </c>
      <c r="AD30">
        <v>4.0731520000000003</v>
      </c>
      <c r="AE30" s="4">
        <v>0.28040076022726362</v>
      </c>
    </row>
    <row r="31" spans="1:31" x14ac:dyDescent="0.25">
      <c r="A31" t="s">
        <v>77</v>
      </c>
      <c r="B31" t="s">
        <v>54</v>
      </c>
      <c r="C31" t="s">
        <v>53</v>
      </c>
      <c r="D31">
        <v>5.709714</v>
      </c>
      <c r="E31">
        <v>5.7374830000000001</v>
      </c>
      <c r="F31">
        <v>5.4313130000000003</v>
      </c>
      <c r="G31">
        <v>5.2286739999999998</v>
      </c>
      <c r="H31">
        <v>5.1352890000000002</v>
      </c>
      <c r="I31">
        <v>5.160615</v>
      </c>
      <c r="J31">
        <v>5.324802</v>
      </c>
      <c r="K31">
        <v>5.2488190000000001</v>
      </c>
      <c r="L31">
        <v>5.1684760000000001</v>
      </c>
      <c r="M31">
        <v>5.2655269999999996</v>
      </c>
      <c r="N31">
        <v>5.517201</v>
      </c>
      <c r="O31">
        <v>5.6774519999999997</v>
      </c>
      <c r="P31">
        <v>5.8083999999999998</v>
      </c>
      <c r="Q31">
        <v>5.9213620000000002</v>
      </c>
      <c r="R31">
        <v>6.0824999999999996</v>
      </c>
      <c r="S31">
        <v>6.5459490000000002</v>
      </c>
      <c r="T31">
        <v>6.8350049999999998</v>
      </c>
      <c r="U31">
        <v>7.2056300000000002</v>
      </c>
      <c r="V31">
        <v>7.7282229999999998</v>
      </c>
      <c r="W31">
        <v>7.9034050000000002</v>
      </c>
      <c r="X31">
        <v>8.0285119999999992</v>
      </c>
      <c r="Y31">
        <v>8.0817139999999998</v>
      </c>
      <c r="Z31">
        <v>8.1029230000000005</v>
      </c>
      <c r="AA31">
        <v>8.0625230000000006</v>
      </c>
      <c r="AB31">
        <v>8.1110199999999999</v>
      </c>
      <c r="AC31">
        <v>8.230226</v>
      </c>
      <c r="AD31">
        <v>8.3987569999999998</v>
      </c>
      <c r="AE31" s="4" cm="1">
        <f t="array" ref="AE31:AE33">(AD31:AD33-D31:D33)/D31:D33</f>
        <v>0.4709593160007664</v>
      </c>
    </row>
    <row r="32" spans="1:31" x14ac:dyDescent="0.25">
      <c r="A32" t="s">
        <v>77</v>
      </c>
      <c r="B32" t="s">
        <v>55</v>
      </c>
      <c r="C32" t="s">
        <v>53</v>
      </c>
      <c r="D32">
        <v>0.95910799999999996</v>
      </c>
      <c r="E32">
        <v>0.98811599999999999</v>
      </c>
      <c r="F32">
        <v>1.0348360000000001</v>
      </c>
      <c r="G32">
        <v>1.0854189999999999</v>
      </c>
      <c r="H32">
        <v>1.163373</v>
      </c>
      <c r="I32">
        <v>1.236102</v>
      </c>
      <c r="J32">
        <v>1.312597</v>
      </c>
      <c r="K32">
        <v>1.411535</v>
      </c>
      <c r="L32">
        <v>1.4530110000000001</v>
      </c>
      <c r="M32">
        <v>1.449484</v>
      </c>
      <c r="N32">
        <v>1.4385239999999999</v>
      </c>
      <c r="O32">
        <v>1.4268609999999999</v>
      </c>
      <c r="P32">
        <v>1.419783</v>
      </c>
      <c r="Q32">
        <v>1.4238249999999999</v>
      </c>
      <c r="R32">
        <v>1.441694</v>
      </c>
      <c r="S32">
        <v>1.481411</v>
      </c>
      <c r="T32">
        <v>1.523638</v>
      </c>
      <c r="U32">
        <v>1.542305</v>
      </c>
      <c r="V32">
        <v>1.56311</v>
      </c>
      <c r="W32">
        <v>1.587872</v>
      </c>
      <c r="X32">
        <v>1.618322</v>
      </c>
      <c r="Y32">
        <v>1.6540250000000001</v>
      </c>
      <c r="Z32">
        <v>1.6973050000000001</v>
      </c>
      <c r="AA32">
        <v>1.7426360000000001</v>
      </c>
      <c r="AB32">
        <v>1.778767</v>
      </c>
      <c r="AC32">
        <v>1.8148930000000001</v>
      </c>
      <c r="AD32">
        <v>1.8570329999999999</v>
      </c>
      <c r="AE32" s="4">
        <v>0.93620843533783471</v>
      </c>
    </row>
    <row r="33" spans="1:31" x14ac:dyDescent="0.25">
      <c r="A33" t="s">
        <v>77</v>
      </c>
      <c r="B33" t="s">
        <v>56</v>
      </c>
      <c r="C33" t="s">
        <v>53</v>
      </c>
      <c r="D33">
        <v>3.1811539999999998</v>
      </c>
      <c r="E33">
        <v>3.2522090000000001</v>
      </c>
      <c r="F33">
        <v>3.3529409999999999</v>
      </c>
      <c r="G33">
        <v>3.4519679999999999</v>
      </c>
      <c r="H33">
        <v>3.5588709999999999</v>
      </c>
      <c r="I33">
        <v>3.6638069999999998</v>
      </c>
      <c r="J33">
        <v>3.769536</v>
      </c>
      <c r="K33">
        <v>3.8810479999999998</v>
      </c>
      <c r="L33">
        <v>3.993887</v>
      </c>
      <c r="M33">
        <v>4.1076459999999999</v>
      </c>
      <c r="N33">
        <v>4.2246040000000002</v>
      </c>
      <c r="O33">
        <v>4.3446360000000004</v>
      </c>
      <c r="P33">
        <v>4.4679830000000003</v>
      </c>
      <c r="Q33">
        <v>4.5973940000000004</v>
      </c>
      <c r="R33">
        <v>4.7334269999999998</v>
      </c>
      <c r="S33">
        <v>4.8766850000000002</v>
      </c>
      <c r="T33">
        <v>5.0269399999999997</v>
      </c>
      <c r="U33">
        <v>5.1846189999999996</v>
      </c>
      <c r="V33">
        <v>5.3507850000000001</v>
      </c>
      <c r="W33">
        <v>5.5272459999999999</v>
      </c>
      <c r="X33">
        <v>5.7116220000000002</v>
      </c>
      <c r="Y33">
        <v>5.9048509999999998</v>
      </c>
      <c r="Z33">
        <v>6.1081560000000001</v>
      </c>
      <c r="AA33">
        <v>6.3179420000000004</v>
      </c>
      <c r="AB33">
        <v>6.5321340000000001</v>
      </c>
      <c r="AC33">
        <v>6.7514890000000003</v>
      </c>
      <c r="AD33">
        <v>6.9766490000000001</v>
      </c>
      <c r="AE33" s="4">
        <v>1.1931189121934997</v>
      </c>
    </row>
    <row r="34" spans="1:31" x14ac:dyDescent="0.25">
      <c r="A34" t="s">
        <v>57</v>
      </c>
      <c r="B34" t="s">
        <v>58</v>
      </c>
      <c r="C34" t="s">
        <v>59</v>
      </c>
      <c r="D34">
        <v>12.501251</v>
      </c>
      <c r="E34">
        <v>11.666014000000001</v>
      </c>
      <c r="F34">
        <v>11.041138</v>
      </c>
      <c r="G34">
        <v>9.2727900000000005</v>
      </c>
      <c r="H34">
        <v>8.9675919999999998</v>
      </c>
      <c r="I34">
        <v>7.6546919999999998</v>
      </c>
      <c r="J34">
        <v>4.4335230000000001</v>
      </c>
      <c r="K34">
        <v>3.4580320000000002</v>
      </c>
      <c r="L34">
        <v>2.9622769999999998</v>
      </c>
      <c r="M34">
        <v>2.9024740000000002</v>
      </c>
      <c r="N34">
        <v>2.8887700000000001</v>
      </c>
      <c r="O34">
        <v>3.180571</v>
      </c>
      <c r="P34">
        <v>3.4194439999999999</v>
      </c>
      <c r="Q34">
        <v>3.488505</v>
      </c>
      <c r="R34">
        <v>3.4648650000000001</v>
      </c>
      <c r="S34">
        <v>2.8497919999999999</v>
      </c>
      <c r="T34">
        <v>2.9065249999999998</v>
      </c>
      <c r="U34">
        <v>3.0048940000000002</v>
      </c>
      <c r="V34">
        <v>3.0909939999999998</v>
      </c>
      <c r="W34">
        <v>3.2033200000000002</v>
      </c>
      <c r="X34">
        <v>3.171751</v>
      </c>
      <c r="Y34">
        <v>3.2951709999999999</v>
      </c>
      <c r="Z34">
        <v>3.2119740000000001</v>
      </c>
      <c r="AA34">
        <v>3.19285</v>
      </c>
      <c r="AB34">
        <v>3.37209</v>
      </c>
      <c r="AC34">
        <v>3.522986</v>
      </c>
      <c r="AD34">
        <v>3.6090390000000001</v>
      </c>
      <c r="AE34" s="4" cm="1">
        <f t="array" ref="AE34:AE38">(AD34:AD38-D34:D38)/D34:D38</f>
        <v>-0.71130577251828642</v>
      </c>
    </row>
    <row r="35" spans="1:31" x14ac:dyDescent="0.25">
      <c r="A35" t="s">
        <v>57</v>
      </c>
      <c r="B35" t="s">
        <v>60</v>
      </c>
      <c r="C35" t="s">
        <v>59</v>
      </c>
      <c r="D35">
        <v>45.837887000000002</v>
      </c>
      <c r="E35">
        <v>42.775371999999997</v>
      </c>
      <c r="F35">
        <v>40.484158000000001</v>
      </c>
      <c r="G35">
        <v>34.000247999999999</v>
      </c>
      <c r="H35">
        <v>32.881176000000004</v>
      </c>
      <c r="I35">
        <v>28.067195999999999</v>
      </c>
      <c r="J35">
        <v>16.256240999999999</v>
      </c>
      <c r="K35">
        <v>12.679454</v>
      </c>
      <c r="L35">
        <v>10.861686000000001</v>
      </c>
      <c r="M35">
        <v>10.642410999999999</v>
      </c>
      <c r="N35">
        <v>10.592155999999999</v>
      </c>
      <c r="O35">
        <v>11.662096999999999</v>
      </c>
      <c r="P35">
        <v>12.537972</v>
      </c>
      <c r="Q35">
        <v>12.791191</v>
      </c>
      <c r="R35">
        <v>12.704514</v>
      </c>
      <c r="S35">
        <v>10.449244999999999</v>
      </c>
      <c r="T35">
        <v>10.657261999999999</v>
      </c>
      <c r="U35">
        <v>11.017955000000001</v>
      </c>
      <c r="V35">
        <v>11.333652000000001</v>
      </c>
      <c r="W35">
        <v>11.745509999999999</v>
      </c>
      <c r="X35">
        <v>11.629757</v>
      </c>
      <c r="Y35">
        <v>12.082302</v>
      </c>
      <c r="Z35">
        <v>11.777246</v>
      </c>
      <c r="AA35">
        <v>11.707122999999999</v>
      </c>
      <c r="AB35">
        <v>12.364333999999999</v>
      </c>
      <c r="AC35">
        <v>12.917619999999999</v>
      </c>
      <c r="AD35">
        <v>13.23315</v>
      </c>
      <c r="AE35" s="4">
        <v>-0.71130540986760582</v>
      </c>
    </row>
    <row r="36" spans="1:31" x14ac:dyDescent="0.25">
      <c r="A36" t="s">
        <v>57</v>
      </c>
      <c r="B36" t="s">
        <v>61</v>
      </c>
      <c r="C36" t="s">
        <v>59</v>
      </c>
      <c r="D36">
        <v>1.1028E-2</v>
      </c>
      <c r="E36">
        <v>1.0635E-2</v>
      </c>
      <c r="F36">
        <v>9.5370000000000003E-3</v>
      </c>
      <c r="G36">
        <v>8.3409999999999995E-3</v>
      </c>
      <c r="H36">
        <v>5.8609999999999999E-3</v>
      </c>
      <c r="I36">
        <v>8.8020000000000008E-3</v>
      </c>
      <c r="J36">
        <v>5.5050000000000003E-3</v>
      </c>
      <c r="K36">
        <v>4.96E-3</v>
      </c>
      <c r="L36">
        <v>8.5999999999999998E-4</v>
      </c>
      <c r="M36">
        <v>8.6799999999999996E-4</v>
      </c>
      <c r="N36">
        <v>9.5200000000000005E-4</v>
      </c>
      <c r="O36">
        <v>1.073E-3</v>
      </c>
      <c r="P36">
        <v>1.168E-3</v>
      </c>
      <c r="Q36">
        <v>1.3879999999999999E-3</v>
      </c>
      <c r="R36">
        <v>1.4090000000000001E-3</v>
      </c>
      <c r="S36">
        <v>2.7799999999999998E-4</v>
      </c>
      <c r="T36">
        <v>2.9100000000000003E-4</v>
      </c>
      <c r="U36">
        <v>3.0499999999999999E-4</v>
      </c>
      <c r="V36">
        <v>3.19E-4</v>
      </c>
      <c r="W36">
        <v>3.3199999999999999E-4</v>
      </c>
      <c r="X36">
        <v>3.4200000000000002E-4</v>
      </c>
      <c r="Y36">
        <v>3.5100000000000002E-4</v>
      </c>
      <c r="Z36">
        <v>3.59E-4</v>
      </c>
      <c r="AA36">
        <v>3.68E-4</v>
      </c>
      <c r="AB36">
        <v>3.7399999999999998E-4</v>
      </c>
      <c r="AC36">
        <v>3.7399999999999998E-4</v>
      </c>
      <c r="AD36">
        <v>3.7599999999999998E-4</v>
      </c>
      <c r="AE36" s="4">
        <v>-0.96590496916938706</v>
      </c>
    </row>
    <row r="37" spans="1:31" x14ac:dyDescent="0.25">
      <c r="A37" t="s">
        <v>57</v>
      </c>
      <c r="B37" t="s">
        <v>62</v>
      </c>
      <c r="C37" t="s">
        <v>59</v>
      </c>
      <c r="D37">
        <v>4.5318999999999998E-2</v>
      </c>
      <c r="E37">
        <v>4.3348999999999999E-2</v>
      </c>
      <c r="F37">
        <v>3.8564000000000001E-2</v>
      </c>
      <c r="G37">
        <v>3.2145E-2</v>
      </c>
      <c r="H37">
        <v>2.9354000000000002E-2</v>
      </c>
      <c r="I37">
        <v>2.5513000000000001E-2</v>
      </c>
      <c r="J37">
        <v>1.5692999999999999E-2</v>
      </c>
      <c r="K37">
        <v>1.0775E-2</v>
      </c>
      <c r="L37">
        <v>9.5659999999999999E-3</v>
      </c>
      <c r="M37">
        <v>8.6060000000000008E-3</v>
      </c>
      <c r="N37">
        <v>9.5739999999999992E-3</v>
      </c>
      <c r="O37">
        <v>1.1195E-2</v>
      </c>
      <c r="P37">
        <v>1.1266999999999999E-2</v>
      </c>
      <c r="Q37">
        <v>1.142E-2</v>
      </c>
      <c r="R37">
        <v>1.1081000000000001E-2</v>
      </c>
      <c r="S37">
        <v>3.2629999999999998E-3</v>
      </c>
      <c r="T37">
        <v>3.457E-3</v>
      </c>
      <c r="U37">
        <v>3.447E-3</v>
      </c>
      <c r="V37">
        <v>3.375E-3</v>
      </c>
      <c r="W37">
        <v>3.437E-3</v>
      </c>
      <c r="X37">
        <v>3.261E-3</v>
      </c>
      <c r="Y37">
        <v>3.3270000000000001E-3</v>
      </c>
      <c r="Z37">
        <v>3.241E-3</v>
      </c>
      <c r="AA37">
        <v>3.336E-3</v>
      </c>
      <c r="AB37">
        <v>3.3739999999999998E-3</v>
      </c>
      <c r="AC37">
        <v>3.5829999999999998E-3</v>
      </c>
      <c r="AD37">
        <v>3.6449999999999998E-3</v>
      </c>
      <c r="AE37" s="4">
        <v>-0.91957015821178745</v>
      </c>
    </row>
    <row r="38" spans="1:31" x14ac:dyDescent="0.25">
      <c r="A38" t="s">
        <v>57</v>
      </c>
      <c r="B38" t="s">
        <v>63</v>
      </c>
      <c r="C38" t="s">
        <v>64</v>
      </c>
      <c r="D38">
        <v>0.102654</v>
      </c>
      <c r="E38">
        <v>0.10198699999999999</v>
      </c>
      <c r="F38">
        <v>9.7033999999999995E-2</v>
      </c>
      <c r="G38">
        <v>7.4707999999999997E-2</v>
      </c>
      <c r="H38">
        <v>7.4125999999999997E-2</v>
      </c>
      <c r="I38">
        <v>5.7644000000000001E-2</v>
      </c>
      <c r="J38">
        <v>1.8272E-2</v>
      </c>
      <c r="K38">
        <v>1.5089999999999999E-2</v>
      </c>
      <c r="L38">
        <v>7.4289999999999998E-3</v>
      </c>
      <c r="M38">
        <v>7.1069999999999996E-3</v>
      </c>
      <c r="N38">
        <v>7.803E-3</v>
      </c>
      <c r="O38">
        <v>8.5369999999999994E-3</v>
      </c>
      <c r="P38">
        <v>8.7399999999999995E-3</v>
      </c>
      <c r="Q38">
        <v>8.5249999999999996E-3</v>
      </c>
      <c r="R38">
        <v>8.7060000000000002E-3</v>
      </c>
      <c r="S38">
        <v>9.9999999999999995E-7</v>
      </c>
      <c r="T38">
        <v>9.9999999999999995E-7</v>
      </c>
      <c r="U38">
        <v>9.9999999999999995E-7</v>
      </c>
      <c r="V38">
        <v>9.9999999999999995E-7</v>
      </c>
      <c r="W38">
        <v>9.9999999999999995E-7</v>
      </c>
      <c r="X38">
        <v>9.9999999999999995E-7</v>
      </c>
      <c r="Y38">
        <v>9.9999999999999995E-7</v>
      </c>
      <c r="Z38">
        <v>9.9999999999999995E-7</v>
      </c>
      <c r="AA38">
        <v>1.9999999999999999E-6</v>
      </c>
      <c r="AB38">
        <v>1.9999999999999999E-6</v>
      </c>
      <c r="AC38">
        <v>1.9999999999999999E-6</v>
      </c>
      <c r="AD38">
        <v>1.9999999999999999E-6</v>
      </c>
      <c r="AE38" s="4">
        <v>-0.99998051707678215</v>
      </c>
    </row>
    <row r="39" spans="1:31" x14ac:dyDescent="0.25">
      <c r="A39" t="s">
        <v>65</v>
      </c>
      <c r="B39" t="s">
        <v>66</v>
      </c>
      <c r="C39" t="s">
        <v>71</v>
      </c>
      <c r="D39" cm="1">
        <f t="array" ref="D39:D42">907185*D34:D37*10^6/(D17*10^9)</f>
        <v>138.46411352643653</v>
      </c>
      <c r="E39" cm="1">
        <f t="array" ref="E39:E42">907185*E34:E37*10^6/(E17*10^9)</f>
        <v>133.4983663440504</v>
      </c>
      <c r="F39" cm="1">
        <f t="array" ref="F39:F42">907185*F34:F37*10^6/(F17*10^9)</f>
        <v>125.28167712465621</v>
      </c>
      <c r="G39" cm="1">
        <f t="array" ref="G39:G42">907185*G34:G37*10^6/(G17*10^9)</f>
        <v>103.24688652706249</v>
      </c>
      <c r="H39" cm="1">
        <f t="array" ref="H39:H42">907185*H34:H37*10^6/(H17*10^9)</f>
        <v>91.577958621664109</v>
      </c>
      <c r="I39" cm="1">
        <f t="array" ref="I39:I42">907185*I34:I37*10^6/(I17*10^9)</f>
        <v>77.518951260354939</v>
      </c>
      <c r="J39" cm="1">
        <f t="array" ref="J39:J42">907185*J34:J37*10^6/(J17*10^9)</f>
        <v>43.021417092886551</v>
      </c>
      <c r="K39" cm="1">
        <f t="array" ref="K39:K42">907185*K34:K37*10^6/(K17*10^9)</f>
        <v>31.479570901829078</v>
      </c>
      <c r="L39" cm="1">
        <f t="array" ref="L39:L42">907185*L34:L37*10^6/(L17*10^9)</f>
        <v>25.706442377201505</v>
      </c>
      <c r="M39" cm="1">
        <f t="array" ref="M39:M42">907185*M34:M37*10^6/(M17*10^9)</f>
        <v>25.070395619924138</v>
      </c>
      <c r="N39" cm="1">
        <f t="array" ref="N39:N42">907185*N34:N37*10^6/(N17*10^9)</f>
        <v>24.862053205036169</v>
      </c>
      <c r="O39" cm="1">
        <f t="array" ref="O39:O42">907185*O34:O37*10^6/(O17*10^9)</f>
        <v>26.896973559539269</v>
      </c>
      <c r="P39" cm="1">
        <f t="array" ref="P39:P42">907185*P34:P37*10^6/(P17*10^9)</f>
        <v>28.346117194614571</v>
      </c>
      <c r="Q39" cm="1">
        <f t="array" ref="Q39:Q42">907185*Q34:Q37*10^6/(Q17*10^9)</f>
        <v>28.228335339729771</v>
      </c>
      <c r="R39" cm="1">
        <f t="array" ref="R39:R42">907185*R34:R37*10^6/(R17*10^9)</f>
        <v>27.427635628347307</v>
      </c>
      <c r="S39" cm="1">
        <f t="array" ref="S39:S42">907185*S34:S37*10^6/(S17*10^9)</f>
        <v>22.120530476849151</v>
      </c>
      <c r="T39" cm="1">
        <f t="array" ref="T39:T42">907185*T34:T37*10^6/(T17*10^9)</f>
        <v>22.133023967147018</v>
      </c>
      <c r="U39" cm="1">
        <f t="array" ref="U39:U42">907185*U34:U37*10^6/(U17*10^9)</f>
        <v>22.332354119084876</v>
      </c>
      <c r="V39" cm="1">
        <f t="array" ref="V39:V42">907185*V34:V37*10^6/(V17*10^9)</f>
        <v>22.813917381468247</v>
      </c>
      <c r="W39" cm="1">
        <f t="array" ref="W39:W42">907185*W34:W37*10^6/(W17*10^9)</f>
        <v>23.154428039455667</v>
      </c>
      <c r="X39" cm="1">
        <f t="array" ref="X39:X42">907185*X34:X37*10^6/(X17*10^9)</f>
        <v>22.878549479859291</v>
      </c>
      <c r="Y39" cm="1">
        <f t="array" ref="Y39:Y42">907185*Y34:Y37*10^6/(Y17*10^9)</f>
        <v>23.182380595155969</v>
      </c>
      <c r="Z39" cm="1">
        <f t="array" ref="Z39:Z42">907185*Z34:Z37*10^6/(Z17*10^9)</f>
        <v>22.245238021454409</v>
      </c>
      <c r="AA39" cm="1">
        <f t="array" ref="AA39:AA42">907185*AA34:AA37*10^6/(AA17*10^9)</f>
        <v>21.810602272802662</v>
      </c>
      <c r="AB39" cm="1">
        <f t="array" ref="AB39:AB42">907185*AB34:AB37*10^6/(AB17*10^9)</f>
        <v>22.528163387939557</v>
      </c>
      <c r="AC39" cm="1">
        <f t="array" ref="AC39:AC42">907185*AC34:AC37*10^6/(AC17*10^9)</f>
        <v>23.052081838885023</v>
      </c>
      <c r="AD39" cm="1">
        <f t="array" ref="AD39:AD42">907185*AD34:AD37*10^6/(AD17*10^9)</f>
        <v>23.17080578422091</v>
      </c>
      <c r="AE39" s="4" cm="1">
        <f t="array" ref="AE39:AE43">(AD39:AD43-D39:D43)/D39:D43</f>
        <v>-0.83265840372569189</v>
      </c>
    </row>
    <row r="40" spans="1:31" x14ac:dyDescent="0.25">
      <c r="A40" t="s">
        <v>65</v>
      </c>
      <c r="B40" t="s">
        <v>67</v>
      </c>
      <c r="C40" t="s">
        <v>71</v>
      </c>
      <c r="D40">
        <v>507.70138039624754</v>
      </c>
      <c r="E40">
        <v>489.49386497899246</v>
      </c>
      <c r="F40">
        <v>459.36598303721661</v>
      </c>
      <c r="G40">
        <v>378.57211768496677</v>
      </c>
      <c r="H40">
        <v>335.78590274397584</v>
      </c>
      <c r="I40">
        <v>284.23607360542121</v>
      </c>
      <c r="J40">
        <v>157.74509897061165</v>
      </c>
      <c r="K40">
        <v>115.42512365110569</v>
      </c>
      <c r="L40">
        <v>94.256987202161142</v>
      </c>
      <c r="M40">
        <v>91.9248386444917</v>
      </c>
      <c r="N40">
        <v>91.160856014166271</v>
      </c>
      <c r="O40">
        <v>98.622264573808351</v>
      </c>
      <c r="P40">
        <v>103.93585147023786</v>
      </c>
      <c r="Q40">
        <v>103.50394479656283</v>
      </c>
      <c r="R40">
        <v>100.56806854732785</v>
      </c>
      <c r="S40">
        <v>81.108671258310636</v>
      </c>
      <c r="T40">
        <v>81.154449134332296</v>
      </c>
      <c r="U40">
        <v>81.885375233915696</v>
      </c>
      <c r="V40">
        <v>83.651084524367377</v>
      </c>
      <c r="W40">
        <v>84.899593572202249</v>
      </c>
      <c r="X40">
        <v>83.888038803563063</v>
      </c>
      <c r="Y40">
        <v>85.002120809394796</v>
      </c>
      <c r="Z40">
        <v>81.565928151106405</v>
      </c>
      <c r="AA40">
        <v>79.972251597093603</v>
      </c>
      <c r="AB40">
        <v>82.603292478865114</v>
      </c>
      <c r="AC40">
        <v>84.524330611480693</v>
      </c>
      <c r="AD40">
        <v>84.95966615031395</v>
      </c>
      <c r="AE40" s="4">
        <v>-0.83265819351524095</v>
      </c>
    </row>
    <row r="41" spans="1:31" x14ac:dyDescent="0.25">
      <c r="A41" t="s">
        <v>65</v>
      </c>
      <c r="B41" t="s">
        <v>68</v>
      </c>
      <c r="C41" t="s">
        <v>71</v>
      </c>
      <c r="D41">
        <v>0.12214635511034391</v>
      </c>
      <c r="E41">
        <v>0.12170010477177348</v>
      </c>
      <c r="F41">
        <v>0.10821451146954655</v>
      </c>
      <c r="G41">
        <v>9.2871970628282133E-2</v>
      </c>
      <c r="H41">
        <v>5.9853126177191532E-2</v>
      </c>
      <c r="I41">
        <v>8.9137722196222166E-2</v>
      </c>
      <c r="J41">
        <v>5.341866977939224E-2</v>
      </c>
      <c r="K41">
        <v>4.515246581670506E-2</v>
      </c>
      <c r="L41">
        <v>7.4630226830216398E-3</v>
      </c>
      <c r="M41">
        <v>7.4974326722975467E-3</v>
      </c>
      <c r="N41">
        <v>8.1933399513268394E-3</v>
      </c>
      <c r="O41">
        <v>9.0739847119858767E-3</v>
      </c>
      <c r="P41">
        <v>9.6823532958310813E-3</v>
      </c>
      <c r="Q41">
        <v>1.1231438524968409E-2</v>
      </c>
      <c r="R41">
        <v>1.1153548146996017E-2</v>
      </c>
      <c r="S41">
        <v>2.1578794075371335E-3</v>
      </c>
      <c r="T41">
        <v>2.2159485896181118E-3</v>
      </c>
      <c r="U41">
        <v>2.2667581639554965E-3</v>
      </c>
      <c r="V41">
        <v>2.3544657947211713E-3</v>
      </c>
      <c r="W41">
        <v>2.3997821351283291E-3</v>
      </c>
      <c r="X41">
        <v>2.4669225049860086E-3</v>
      </c>
      <c r="Y41">
        <v>2.4693758196159613E-3</v>
      </c>
      <c r="Z41">
        <v>2.4863340891620334E-3</v>
      </c>
      <c r="AA41">
        <v>2.5138361139393894E-3</v>
      </c>
      <c r="AB41">
        <v>2.4986086098204362E-3</v>
      </c>
      <c r="AC41">
        <v>2.4472077401792112E-3</v>
      </c>
      <c r="AD41">
        <v>2.4140007838283437E-3</v>
      </c>
      <c r="AE41" s="4">
        <v>-0.98023681687719944</v>
      </c>
    </row>
    <row r="42" spans="1:31" x14ac:dyDescent="0.25">
      <c r="A42" t="s">
        <v>65</v>
      </c>
      <c r="B42" t="s">
        <v>69</v>
      </c>
      <c r="C42" t="s">
        <v>71</v>
      </c>
      <c r="D42">
        <v>0.50195417729830216</v>
      </c>
      <c r="E42">
        <v>0.49605809513414273</v>
      </c>
      <c r="F42">
        <v>0.43757831816206283</v>
      </c>
      <c r="G42">
        <v>0.35791505764849885</v>
      </c>
      <c r="H42">
        <v>0.29976602385348577</v>
      </c>
      <c r="I42">
        <v>0.25836976896071528</v>
      </c>
      <c r="J42">
        <v>0.1522795976108996</v>
      </c>
      <c r="K42">
        <v>9.8088269994959079E-2</v>
      </c>
      <c r="L42">
        <v>8.3013110448587224E-2</v>
      </c>
      <c r="M42">
        <v>7.4335144674876383E-2</v>
      </c>
      <c r="N42">
        <v>8.239814778781844E-2</v>
      </c>
      <c r="O42">
        <v>9.4672189050029734E-2</v>
      </c>
      <c r="P42">
        <v>9.3399892623397957E-2</v>
      </c>
      <c r="Q42">
        <v>9.2408521581512429E-2</v>
      </c>
      <c r="R42">
        <v>8.7716442169526523E-2</v>
      </c>
      <c r="S42">
        <v>2.5327915492063553E-2</v>
      </c>
      <c r="T42">
        <v>2.6324860049174614E-2</v>
      </c>
      <c r="U42">
        <v>2.5618083249687201E-2</v>
      </c>
      <c r="V42">
        <v>2.4910100492739666E-2</v>
      </c>
      <c r="W42">
        <v>2.484352770613274E-2</v>
      </c>
      <c r="X42">
        <v>2.3522322481752556E-2</v>
      </c>
      <c r="Y42">
        <v>2.3406305845761546E-2</v>
      </c>
      <c r="Z42">
        <v>2.2446264019426603E-2</v>
      </c>
      <c r="AA42">
        <v>2.2788470858972291E-2</v>
      </c>
      <c r="AB42">
        <v>2.2540923661856019E-2</v>
      </c>
      <c r="AC42">
        <v>2.3444773617813136E-2</v>
      </c>
      <c r="AD42">
        <v>2.3401683130463598E-2</v>
      </c>
      <c r="AE42" s="4">
        <v>-0.95337884574161758</v>
      </c>
    </row>
    <row r="43" spans="1:31" x14ac:dyDescent="0.25">
      <c r="A43" t="s">
        <v>65</v>
      </c>
      <c r="B43" t="s">
        <v>70</v>
      </c>
      <c r="C43" t="s">
        <v>71</v>
      </c>
      <c r="D43">
        <f>907185*D38/(D17*10^9)</f>
        <v>1.1369978180537944E-6</v>
      </c>
      <c r="E43">
        <f>907185*E38/(E17*10^9)</f>
        <v>1.1670736798644907E-6</v>
      </c>
      <c r="F43">
        <f>907185*F38/(F17*10^9)</f>
        <v>1.1010262038309719E-6</v>
      </c>
      <c r="G43">
        <f>907185*G38/(G17*10^9)</f>
        <v>8.3182821984146985E-7</v>
      </c>
      <c r="H43">
        <f>907185*H38/(H17*10^9)</f>
        <v>7.5698222675490522E-7</v>
      </c>
      <c r="I43">
        <f>907185*I38/(I17*10^9)</f>
        <v>5.8375992482152118E-7</v>
      </c>
      <c r="J43">
        <f>907185*J38/(J17*10^9)</f>
        <v>1.7730534681363398E-7</v>
      </c>
      <c r="K43">
        <f>907185*K38/(K17*10^9)</f>
        <v>1.3736909459154826E-7</v>
      </c>
      <c r="L43">
        <f>907185*L38/(L17*10^9)</f>
        <v>6.4468366874613673E-8</v>
      </c>
      <c r="M43">
        <f>907185*M38/(M17*10^9)</f>
        <v>6.1387389403247307E-8</v>
      </c>
      <c r="N43">
        <f>907185*N38/(N17*10^9)</f>
        <v>6.7156125672482485E-8</v>
      </c>
      <c r="O43">
        <f>907185*O38/(O17*10^9)</f>
        <v>7.2194415178213827E-8</v>
      </c>
      <c r="P43">
        <f>907185*P38/(P17*10^9)</f>
        <v>7.2451855997914088E-8</v>
      </c>
      <c r="Q43">
        <f>907185*Q38/(Q17*10^9)</f>
        <v>6.8982718606164053E-8</v>
      </c>
      <c r="R43">
        <f>907185*R38/(R17*10^9)</f>
        <v>6.8916103738642531E-8</v>
      </c>
      <c r="S43">
        <f>907185*S38/(S17*10^9)</f>
        <v>7.7621561422199042E-12</v>
      </c>
      <c r="T43">
        <f>907185*T38/(T17*10^9)</f>
        <v>7.6149436069350911E-12</v>
      </c>
      <c r="U43">
        <f>907185*U38/(U17*10^9)</f>
        <v>7.4319939801819541E-12</v>
      </c>
      <c r="V43">
        <f>907185*V38/(V17*10^9)</f>
        <v>7.3807705163673082E-12</v>
      </c>
      <c r="W43">
        <f>907185*W38/(W17*10^9)</f>
        <v>7.2282594431576191E-12</v>
      </c>
      <c r="X43">
        <f>907185*X38/(X17*10^9)</f>
        <v>7.2132236987894979E-12</v>
      </c>
      <c r="Y43">
        <f>907185*Y38/(Y17*10^9)</f>
        <v>7.0352587453446176E-12</v>
      </c>
      <c r="Z43">
        <f>907185*Z38/(Z17*10^9)</f>
        <v>6.9257216968301755E-12</v>
      </c>
      <c r="AA43">
        <f>907185*AA38/(AA17*10^9)</f>
        <v>1.3662152793148854E-11</v>
      </c>
      <c r="AB43">
        <f>907185*AB38/(AB17*10^9)</f>
        <v>1.3361543368023721E-11</v>
      </c>
      <c r="AC43">
        <f>907185*AC38/(AC17*10^9)</f>
        <v>1.3086672407375459E-11</v>
      </c>
      <c r="AD43">
        <f>907185*AD38/(AD17*10^9)</f>
        <v>1.2840429701214592E-11</v>
      </c>
      <c r="AE43" s="4">
        <v>-0.99998870672441287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E43"/>
  <sheetViews>
    <sheetView tabSelected="1" zoomScale="55" zoomScaleNormal="55" workbookViewId="0">
      <selection sqref="A1:A1048576"/>
    </sheetView>
  </sheetViews>
  <sheetFormatPr defaultRowHeight="15" x14ac:dyDescent="0.25"/>
  <cols>
    <col min="1" max="1" width="50.28515625" bestFit="1" customWidth="1"/>
    <col min="2" max="2" width="35.7109375" bestFit="1" customWidth="1"/>
    <col min="3" max="3" width="17.5703125" bestFit="1" customWidth="1"/>
    <col min="4" max="30" width="16" bestFit="1" customWidth="1"/>
    <col min="31" max="31" width="27.42578125" bestFit="1" customWidth="1"/>
  </cols>
  <sheetData>
    <row r="1" spans="1:31" s="3" customFormat="1" ht="15.75" thickBot="1" x14ac:dyDescent="0.3">
      <c r="A1" s="3" t="s">
        <v>72</v>
      </c>
      <c r="B1" s="1" t="s">
        <v>73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</row>
    <row r="2" spans="1:31" ht="15.75" thickTop="1" x14ac:dyDescent="0.25">
      <c r="A2" t="s">
        <v>29</v>
      </c>
      <c r="B2" t="s">
        <v>30</v>
      </c>
      <c r="C2" t="s">
        <v>31</v>
      </c>
      <c r="D2">
        <v>16.076954000000001</v>
      </c>
      <c r="E2">
        <v>20.893761000000001</v>
      </c>
      <c r="F2">
        <v>12.825027</v>
      </c>
      <c r="G2">
        <v>9.683408</v>
      </c>
      <c r="H2">
        <v>12.011058</v>
      </c>
      <c r="I2">
        <v>11.550891</v>
      </c>
      <c r="J2">
        <v>9.1619679999999999</v>
      </c>
      <c r="K2">
        <v>7.4477700000000002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 s="4" cm="1">
        <f t="array" ref="AE2:AE17">(AD2:AD17-D2:D17)/D2:D17</f>
        <v>-1</v>
      </c>
    </row>
    <row r="3" spans="1:31" x14ac:dyDescent="0.25">
      <c r="A3" t="s">
        <v>29</v>
      </c>
      <c r="B3" t="s">
        <v>32</v>
      </c>
      <c r="C3" t="s">
        <v>31</v>
      </c>
      <c r="D3">
        <v>7.0666000000000007E-2</v>
      </c>
      <c r="E3">
        <v>9.0234999999999996E-2</v>
      </c>
      <c r="F3">
        <v>5.4650999999999998E-2</v>
      </c>
      <c r="G3">
        <v>4.2118999999999997E-2</v>
      </c>
      <c r="H3">
        <v>5.1139999999999998E-2</v>
      </c>
      <c r="I3">
        <v>4.9292000000000002E-2</v>
      </c>
      <c r="J3">
        <v>3.9697999999999997E-2</v>
      </c>
      <c r="K3">
        <v>3.3145000000000001E-2</v>
      </c>
      <c r="L3">
        <v>3.5409999999999999E-3</v>
      </c>
      <c r="M3">
        <v>1.1839999999999999E-3</v>
      </c>
      <c r="N3">
        <v>1.1839999999999999E-3</v>
      </c>
      <c r="O3">
        <v>1.1839999999999999E-3</v>
      </c>
      <c r="P3">
        <v>7.1500000000000003E-4</v>
      </c>
      <c r="Q3">
        <v>0</v>
      </c>
      <c r="R3">
        <v>0</v>
      </c>
      <c r="S3">
        <v>0</v>
      </c>
      <c r="T3">
        <v>0</v>
      </c>
      <c r="U3">
        <v>6.1399999999999996E-4</v>
      </c>
      <c r="V3">
        <v>6.1399999999999996E-4</v>
      </c>
      <c r="W3">
        <v>6.1399999999999996E-4</v>
      </c>
      <c r="X3">
        <v>0</v>
      </c>
      <c r="Y3">
        <v>6.1399999999999996E-4</v>
      </c>
      <c r="Z3">
        <v>0</v>
      </c>
      <c r="AA3">
        <v>0</v>
      </c>
      <c r="AB3">
        <v>0</v>
      </c>
      <c r="AC3">
        <v>0</v>
      </c>
      <c r="AD3">
        <v>0</v>
      </c>
      <c r="AE3" s="4">
        <v>-1</v>
      </c>
    </row>
    <row r="4" spans="1:31" x14ac:dyDescent="0.25">
      <c r="A4" t="s">
        <v>29</v>
      </c>
      <c r="B4" t="s">
        <v>33</v>
      </c>
      <c r="C4" t="s">
        <v>31</v>
      </c>
      <c r="D4">
        <v>66.062126000000006</v>
      </c>
      <c r="E4">
        <v>58.492355000000003</v>
      </c>
      <c r="F4">
        <v>49.937607</v>
      </c>
      <c r="G4">
        <v>48.790107999999996</v>
      </c>
      <c r="H4">
        <v>43.504910000000002</v>
      </c>
      <c r="I4">
        <v>46.316628000000001</v>
      </c>
      <c r="J4">
        <v>52.667029999999997</v>
      </c>
      <c r="K4">
        <v>57.156979</v>
      </c>
      <c r="L4">
        <v>52.011249999999997</v>
      </c>
      <c r="M4">
        <v>40.038105000000002</v>
      </c>
      <c r="N4">
        <v>35.588645999999997</v>
      </c>
      <c r="O4">
        <v>36.399853</v>
      </c>
      <c r="P4">
        <v>35.985866999999999</v>
      </c>
      <c r="Q4">
        <v>34.415652999999999</v>
      </c>
      <c r="R4">
        <v>34.932133</v>
      </c>
      <c r="S4">
        <v>34.343623999999998</v>
      </c>
      <c r="T4">
        <v>34.624439000000002</v>
      </c>
      <c r="U4">
        <v>35.389462000000002</v>
      </c>
      <c r="V4">
        <v>37.096508</v>
      </c>
      <c r="W4">
        <v>36.889609999999998</v>
      </c>
      <c r="X4">
        <v>38.105578999999999</v>
      </c>
      <c r="Y4">
        <v>42.450474</v>
      </c>
      <c r="Z4">
        <v>40.190769000000003</v>
      </c>
      <c r="AA4">
        <v>37.404594000000003</v>
      </c>
      <c r="AB4">
        <v>41.292664000000002</v>
      </c>
      <c r="AC4">
        <v>44.373016</v>
      </c>
      <c r="AD4">
        <v>46.756062</v>
      </c>
      <c r="AE4" s="4">
        <v>-0.2922410338413875</v>
      </c>
    </row>
    <row r="5" spans="1:31" x14ac:dyDescent="0.25">
      <c r="A5" t="s">
        <v>29</v>
      </c>
      <c r="B5" t="s">
        <v>34</v>
      </c>
      <c r="C5" t="s">
        <v>31</v>
      </c>
      <c r="D5">
        <v>31.338919000000001</v>
      </c>
      <c r="E5">
        <v>31.824729999999999</v>
      </c>
      <c r="F5">
        <v>31.752289000000001</v>
      </c>
      <c r="G5">
        <v>31.679853000000001</v>
      </c>
      <c r="H5">
        <v>31.679853000000001</v>
      </c>
      <c r="I5">
        <v>31.679853000000001</v>
      </c>
      <c r="J5">
        <v>31.679853000000001</v>
      </c>
      <c r="K5">
        <v>31.679855</v>
      </c>
      <c r="L5">
        <v>31.679853000000001</v>
      </c>
      <c r="M5">
        <v>31.679853000000001</v>
      </c>
      <c r="N5">
        <v>31.0825</v>
      </c>
      <c r="O5">
        <v>30.921956999999999</v>
      </c>
      <c r="P5">
        <v>29.126449999999998</v>
      </c>
      <c r="Q5">
        <v>28.228102</v>
      </c>
      <c r="R5">
        <v>27.937100999999998</v>
      </c>
      <c r="S5">
        <v>27.755500999999999</v>
      </c>
      <c r="T5">
        <v>27.617556</v>
      </c>
      <c r="U5">
        <v>27.666805</v>
      </c>
      <c r="V5">
        <v>27.791567000000001</v>
      </c>
      <c r="W5">
        <v>27.818007999999999</v>
      </c>
      <c r="X5">
        <v>27.747778</v>
      </c>
      <c r="Y5">
        <v>27.493784000000002</v>
      </c>
      <c r="Z5">
        <v>27.314081000000002</v>
      </c>
      <c r="AA5">
        <v>27.228740999999999</v>
      </c>
      <c r="AB5">
        <v>27.244617000000002</v>
      </c>
      <c r="AC5">
        <v>27.220621000000001</v>
      </c>
      <c r="AD5">
        <v>27.304995000000002</v>
      </c>
      <c r="AE5" s="4">
        <v>-0.12871930904827952</v>
      </c>
    </row>
    <row r="6" spans="1:31" x14ac:dyDescent="0.25">
      <c r="A6" t="s">
        <v>29</v>
      </c>
      <c r="B6" t="s">
        <v>35</v>
      </c>
      <c r="C6" t="s">
        <v>31</v>
      </c>
      <c r="D6">
        <v>-6.5033999999999995E-2</v>
      </c>
      <c r="E6">
        <v>-0.21693999999999999</v>
      </c>
      <c r="F6">
        <v>-0.225831</v>
      </c>
      <c r="G6">
        <v>-0.31688699999999997</v>
      </c>
      <c r="H6">
        <v>-0.321994</v>
      </c>
      <c r="I6">
        <v>-0.35247499999999998</v>
      </c>
      <c r="J6">
        <v>-0.36743399999999998</v>
      </c>
      <c r="K6">
        <v>-0.53487499999999999</v>
      </c>
      <c r="L6">
        <v>-0.51429800000000003</v>
      </c>
      <c r="M6">
        <v>-0.57844499999999999</v>
      </c>
      <c r="N6">
        <v>-0.66851400000000005</v>
      </c>
      <c r="O6">
        <v>-0.67497099999999999</v>
      </c>
      <c r="P6">
        <v>-0.67335199999999995</v>
      </c>
      <c r="Q6">
        <v>-0.67656700000000003</v>
      </c>
      <c r="R6">
        <v>-0.66455200000000003</v>
      </c>
      <c r="S6">
        <v>-0.66934800000000005</v>
      </c>
      <c r="T6">
        <v>-0.68283700000000003</v>
      </c>
      <c r="U6">
        <v>-0.58111199999999996</v>
      </c>
      <c r="V6">
        <v>-0.62095699999999998</v>
      </c>
      <c r="W6">
        <v>-0.57879800000000003</v>
      </c>
      <c r="X6">
        <v>-0.64417599999999997</v>
      </c>
      <c r="Y6">
        <v>-0.65974600000000005</v>
      </c>
      <c r="Z6">
        <v>-0.64693199999999995</v>
      </c>
      <c r="AA6">
        <v>-0.74438199999999999</v>
      </c>
      <c r="AB6">
        <v>-0.86728400000000005</v>
      </c>
      <c r="AC6">
        <v>-0.80615700000000001</v>
      </c>
      <c r="AD6">
        <v>-0.82044099999999998</v>
      </c>
      <c r="AE6" s="4">
        <v>11.61557031706492</v>
      </c>
    </row>
    <row r="7" spans="1:31" x14ac:dyDescent="0.25">
      <c r="A7" t="s">
        <v>29</v>
      </c>
      <c r="B7" t="s">
        <v>36</v>
      </c>
      <c r="C7" t="s">
        <v>31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 s="4" t="e">
        <v>#DIV/0!</v>
      </c>
    </row>
    <row r="8" spans="1:31" x14ac:dyDescent="0.25">
      <c r="A8" t="s">
        <v>29</v>
      </c>
      <c r="B8" t="s">
        <v>37</v>
      </c>
      <c r="C8" t="s">
        <v>31</v>
      </c>
      <c r="D8">
        <v>8.9030679999999993</v>
      </c>
      <c r="E8">
        <v>9.6713730000000009</v>
      </c>
      <c r="F8">
        <v>10.040519</v>
      </c>
      <c r="G8">
        <v>10.403852000000001</v>
      </c>
      <c r="H8">
        <v>10.406412</v>
      </c>
      <c r="I8">
        <v>10.409779</v>
      </c>
      <c r="J8">
        <v>10.404899</v>
      </c>
      <c r="K8">
        <v>10.402293999999999</v>
      </c>
      <c r="L8">
        <v>10.471049000000001</v>
      </c>
      <c r="M8">
        <v>10.446311</v>
      </c>
      <c r="N8">
        <v>9.2681480000000001</v>
      </c>
      <c r="O8">
        <v>8.7417890000000007</v>
      </c>
      <c r="P8">
        <v>8.6942020000000007</v>
      </c>
      <c r="Q8">
        <v>8.8180700000000005</v>
      </c>
      <c r="R8">
        <v>8.9384669999999993</v>
      </c>
      <c r="S8">
        <v>8.9448290000000004</v>
      </c>
      <c r="T8">
        <v>10.371624000000001</v>
      </c>
      <c r="U8">
        <v>10.364006</v>
      </c>
      <c r="V8">
        <v>10.691599999999999</v>
      </c>
      <c r="W8">
        <v>10.806065</v>
      </c>
      <c r="X8">
        <v>10.850338000000001</v>
      </c>
      <c r="Y8">
        <v>10.948525</v>
      </c>
      <c r="Z8">
        <v>10.890878000000001</v>
      </c>
      <c r="AA8">
        <v>10.849403000000001</v>
      </c>
      <c r="AB8">
        <v>10.128456999999999</v>
      </c>
      <c r="AC8">
        <v>10.327795</v>
      </c>
      <c r="AD8">
        <v>10.8948</v>
      </c>
      <c r="AE8" s="4">
        <v>0.22371299421727442</v>
      </c>
    </row>
    <row r="9" spans="1:31" x14ac:dyDescent="0.25">
      <c r="A9" t="s">
        <v>29</v>
      </c>
      <c r="B9" t="s">
        <v>38</v>
      </c>
      <c r="C9" t="s">
        <v>31</v>
      </c>
      <c r="D9">
        <v>3.6312530000000001</v>
      </c>
      <c r="E9">
        <v>3.3718180000000002</v>
      </c>
      <c r="F9">
        <v>3.7519559999999998</v>
      </c>
      <c r="G9">
        <v>3.9112089999999999</v>
      </c>
      <c r="H9">
        <v>4.1040510000000001</v>
      </c>
      <c r="I9">
        <v>4.3050220000000001</v>
      </c>
      <c r="J9">
        <v>4.4749819999999998</v>
      </c>
      <c r="K9">
        <v>4.6719369999999998</v>
      </c>
      <c r="L9">
        <v>5.3571749999999998</v>
      </c>
      <c r="M9">
        <v>6.0424020000000001</v>
      </c>
      <c r="N9">
        <v>6.72898</v>
      </c>
      <c r="O9">
        <v>7.4141269999999997</v>
      </c>
      <c r="P9">
        <v>8.0992730000000002</v>
      </c>
      <c r="Q9">
        <v>8.6899160000000002</v>
      </c>
      <c r="R9">
        <v>9.1781799999999993</v>
      </c>
      <c r="S9">
        <v>10.062056</v>
      </c>
      <c r="T9">
        <v>10.8353</v>
      </c>
      <c r="U9">
        <v>11.426496</v>
      </c>
      <c r="V9">
        <v>11.902308</v>
      </c>
      <c r="W9">
        <v>12.095727999999999</v>
      </c>
      <c r="X9">
        <v>12.289149</v>
      </c>
      <c r="Y9">
        <v>12.450189</v>
      </c>
      <c r="Z9">
        <v>12.546478</v>
      </c>
      <c r="AA9">
        <v>12.546478</v>
      </c>
      <c r="AB9">
        <v>12.546478</v>
      </c>
      <c r="AC9">
        <v>12.546478</v>
      </c>
      <c r="AD9">
        <v>12.546478</v>
      </c>
      <c r="AE9" s="4">
        <v>2.4551373864613675</v>
      </c>
    </row>
    <row r="10" spans="1:31" x14ac:dyDescent="0.25">
      <c r="A10" t="s">
        <v>29</v>
      </c>
      <c r="B10" t="s">
        <v>39</v>
      </c>
      <c r="C10" t="s">
        <v>31</v>
      </c>
      <c r="D10">
        <v>3.3981999999999998E-2</v>
      </c>
      <c r="E10">
        <v>0.13605</v>
      </c>
      <c r="F10">
        <v>0.24419199999999999</v>
      </c>
      <c r="G10">
        <v>0.34369499999999997</v>
      </c>
      <c r="H10">
        <v>0.452075</v>
      </c>
      <c r="I10">
        <v>0.54283599999999999</v>
      </c>
      <c r="J10">
        <v>0.63199399999999994</v>
      </c>
      <c r="K10">
        <v>0.72928099999999996</v>
      </c>
      <c r="L10">
        <v>0.82853399999999999</v>
      </c>
      <c r="M10">
        <v>0.92863600000000002</v>
      </c>
      <c r="N10">
        <v>1.011687</v>
      </c>
      <c r="O10">
        <v>1.099971</v>
      </c>
      <c r="P10">
        <v>1.1920519999999999</v>
      </c>
      <c r="Q10">
        <v>1.290972</v>
      </c>
      <c r="R10">
        <v>1.3939220000000001</v>
      </c>
      <c r="S10">
        <v>1.465295</v>
      </c>
      <c r="T10">
        <v>1.538397</v>
      </c>
      <c r="U10">
        <v>1.612779</v>
      </c>
      <c r="V10">
        <v>1.688269</v>
      </c>
      <c r="W10">
        <v>1.764391</v>
      </c>
      <c r="X10">
        <v>1.8038209999999999</v>
      </c>
      <c r="Y10">
        <v>1.84287</v>
      </c>
      <c r="Z10">
        <v>1.882172</v>
      </c>
      <c r="AA10">
        <v>1.9221630000000001</v>
      </c>
      <c r="AB10">
        <v>1.9622040000000001</v>
      </c>
      <c r="AC10">
        <v>1.9622040000000001</v>
      </c>
      <c r="AD10">
        <v>1.9622040000000001</v>
      </c>
      <c r="AE10" s="4">
        <v>56.742451886292748</v>
      </c>
    </row>
    <row r="11" spans="1:31" x14ac:dyDescent="0.25">
      <c r="A11" t="s">
        <v>29</v>
      </c>
      <c r="B11" t="s">
        <v>40</v>
      </c>
      <c r="C11" t="s">
        <v>31</v>
      </c>
      <c r="D11">
        <v>0.49179699999999998</v>
      </c>
      <c r="E11">
        <v>0.49179699999999998</v>
      </c>
      <c r="F11">
        <v>0.49179699999999998</v>
      </c>
      <c r="G11">
        <v>0.49179699999999998</v>
      </c>
      <c r="H11">
        <v>0.49179699999999998</v>
      </c>
      <c r="I11">
        <v>0.49179699999999998</v>
      </c>
      <c r="J11">
        <v>0.49179699999999998</v>
      </c>
      <c r="K11">
        <v>0.49179699999999998</v>
      </c>
      <c r="L11">
        <v>0.49179699999999998</v>
      </c>
      <c r="M11">
        <v>0.49179699999999998</v>
      </c>
      <c r="N11">
        <v>0.49179699999999998</v>
      </c>
      <c r="O11">
        <v>0.49179699999999998</v>
      </c>
      <c r="P11">
        <v>0.49179699999999998</v>
      </c>
      <c r="Q11">
        <v>0.49179699999999998</v>
      </c>
      <c r="R11">
        <v>0.49179699999999998</v>
      </c>
      <c r="S11">
        <v>0.49179699999999998</v>
      </c>
      <c r="T11">
        <v>0.49179699999999998</v>
      </c>
      <c r="U11">
        <v>0.49179699999999998</v>
      </c>
      <c r="V11">
        <v>0.49179699999999998</v>
      </c>
      <c r="W11">
        <v>0.49179699999999998</v>
      </c>
      <c r="X11">
        <v>0.49179699999999998</v>
      </c>
      <c r="Y11">
        <v>0.77800000000000002</v>
      </c>
      <c r="Z11">
        <v>0.77800000000000002</v>
      </c>
      <c r="AA11">
        <v>0.77800000000000002</v>
      </c>
      <c r="AB11">
        <v>0.77800000000000002</v>
      </c>
      <c r="AC11">
        <v>0.77800000000000002</v>
      </c>
      <c r="AD11">
        <v>0.77800000000000002</v>
      </c>
      <c r="AE11" s="4">
        <v>0.58195352960672808</v>
      </c>
    </row>
    <row r="12" spans="1:31" x14ac:dyDescent="0.25">
      <c r="A12" t="s">
        <v>29</v>
      </c>
      <c r="B12" t="s">
        <v>41</v>
      </c>
      <c r="C12" t="s">
        <v>31</v>
      </c>
      <c r="D12">
        <v>0.67092499999999999</v>
      </c>
      <c r="E12">
        <v>0.66452</v>
      </c>
      <c r="F12">
        <v>0.74161200000000005</v>
      </c>
      <c r="G12">
        <v>0.74149900000000002</v>
      </c>
      <c r="H12">
        <v>0.74062899999999998</v>
      </c>
      <c r="I12">
        <v>0.73773200000000005</v>
      </c>
      <c r="J12">
        <v>0.740815</v>
      </c>
      <c r="K12">
        <v>0.741031</v>
      </c>
      <c r="L12">
        <v>0.73871900000000001</v>
      </c>
      <c r="M12">
        <v>0.73778699999999997</v>
      </c>
      <c r="N12">
        <v>0.73760199999999998</v>
      </c>
      <c r="O12">
        <v>0.73928199999999999</v>
      </c>
      <c r="P12">
        <v>0.73904499999999995</v>
      </c>
      <c r="Q12">
        <v>0.740255</v>
      </c>
      <c r="R12">
        <v>0.73857700000000004</v>
      </c>
      <c r="S12">
        <v>0.73673</v>
      </c>
      <c r="T12">
        <v>0.73635700000000004</v>
      </c>
      <c r="U12">
        <v>0.73938899999999996</v>
      </c>
      <c r="V12">
        <v>0.73959799999999998</v>
      </c>
      <c r="W12">
        <v>0.73967300000000002</v>
      </c>
      <c r="X12">
        <v>0.73968999999999996</v>
      </c>
      <c r="Y12">
        <v>0.74050499999999997</v>
      </c>
      <c r="Z12">
        <v>0.74008099999999999</v>
      </c>
      <c r="AA12">
        <v>0.73944100000000001</v>
      </c>
      <c r="AB12">
        <v>0.74033700000000002</v>
      </c>
      <c r="AC12">
        <v>0.74027699999999996</v>
      </c>
      <c r="AD12">
        <v>0.73985599999999996</v>
      </c>
      <c r="AE12" s="4">
        <v>0.10274024667436743</v>
      </c>
    </row>
    <row r="13" spans="1:31" x14ac:dyDescent="0.25">
      <c r="A13" t="s">
        <v>29</v>
      </c>
      <c r="B13" t="s">
        <v>42</v>
      </c>
      <c r="C13" t="s">
        <v>31</v>
      </c>
      <c r="D13">
        <v>12.068954</v>
      </c>
      <c r="E13">
        <v>18.013103000000001</v>
      </c>
      <c r="F13">
        <v>24.578230000000001</v>
      </c>
      <c r="G13">
        <v>24.832722</v>
      </c>
      <c r="H13">
        <v>24.779706999999998</v>
      </c>
      <c r="I13">
        <v>24.648261999999999</v>
      </c>
      <c r="J13">
        <v>24.773745999999999</v>
      </c>
      <c r="K13">
        <v>24.743857999999999</v>
      </c>
      <c r="L13">
        <v>24.318266000000001</v>
      </c>
      <c r="M13">
        <v>24.583054000000001</v>
      </c>
      <c r="N13">
        <v>24.597431</v>
      </c>
      <c r="O13">
        <v>24.635565</v>
      </c>
      <c r="P13">
        <v>24.304613</v>
      </c>
      <c r="Q13">
        <v>24.668968</v>
      </c>
      <c r="R13">
        <v>24.609985000000002</v>
      </c>
      <c r="S13">
        <v>24.483276</v>
      </c>
      <c r="T13">
        <v>24.463383</v>
      </c>
      <c r="U13">
        <v>24.615044000000001</v>
      </c>
      <c r="V13">
        <v>24.596523000000001</v>
      </c>
      <c r="W13">
        <v>24.613423999999998</v>
      </c>
      <c r="X13">
        <v>18.981607</v>
      </c>
      <c r="Y13">
        <v>24.623847999999999</v>
      </c>
      <c r="Z13">
        <v>24.607727000000001</v>
      </c>
      <c r="AA13">
        <v>24.581199999999999</v>
      </c>
      <c r="AB13">
        <v>17.321783</v>
      </c>
      <c r="AC13">
        <v>17.414142999999999</v>
      </c>
      <c r="AD13">
        <v>17.724139999999998</v>
      </c>
      <c r="AE13" s="4">
        <v>0.46857300143823555</v>
      </c>
    </row>
    <row r="14" spans="1:31" x14ac:dyDescent="0.25">
      <c r="A14" t="s">
        <v>29</v>
      </c>
      <c r="B14" t="s">
        <v>43</v>
      </c>
      <c r="C14" t="s">
        <v>31</v>
      </c>
      <c r="D14">
        <v>13.335151</v>
      </c>
      <c r="E14">
        <v>13.317805</v>
      </c>
      <c r="F14">
        <v>19.962076</v>
      </c>
      <c r="G14">
        <v>27.580265000000001</v>
      </c>
      <c r="H14">
        <v>27.585674000000001</v>
      </c>
      <c r="I14">
        <v>27.587831000000001</v>
      </c>
      <c r="J14">
        <v>27.576627999999999</v>
      </c>
      <c r="K14">
        <v>27.578752999999999</v>
      </c>
      <c r="L14">
        <v>47.386757000000003</v>
      </c>
      <c r="M14">
        <v>70.004654000000002</v>
      </c>
      <c r="N14">
        <v>71.799118000000007</v>
      </c>
      <c r="O14">
        <v>71.804069999999996</v>
      </c>
      <c r="P14">
        <v>78.530945000000003</v>
      </c>
      <c r="Q14">
        <v>83.376350000000002</v>
      </c>
      <c r="R14">
        <v>85.536034000000001</v>
      </c>
      <c r="S14">
        <v>88.221237000000002</v>
      </c>
      <c r="T14">
        <v>89.331146000000004</v>
      </c>
      <c r="U14">
        <v>91.598327999999995</v>
      </c>
      <c r="V14">
        <v>93.498588999999996</v>
      </c>
      <c r="W14">
        <v>95.845573000000002</v>
      </c>
      <c r="X14">
        <v>107.259987</v>
      </c>
      <c r="Y14">
        <v>101.464088</v>
      </c>
      <c r="Z14">
        <v>108.40947</v>
      </c>
      <c r="AA14">
        <v>112.51045999999999</v>
      </c>
      <c r="AB14">
        <v>125.044067</v>
      </c>
      <c r="AC14">
        <v>126.794991</v>
      </c>
      <c r="AD14">
        <v>127.31012699999999</v>
      </c>
      <c r="AE14" s="4">
        <v>8.5469580359457495</v>
      </c>
    </row>
    <row r="15" spans="1:31" x14ac:dyDescent="0.25">
      <c r="A15" t="s">
        <v>29</v>
      </c>
      <c r="B15" t="s">
        <v>44</v>
      </c>
      <c r="C15" t="s">
        <v>31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s="4" t="e">
        <v>#DIV/0!</v>
      </c>
    </row>
    <row r="16" spans="1:31" x14ac:dyDescent="0.25">
      <c r="A16" t="s">
        <v>29</v>
      </c>
      <c r="B16" s="6" t="s">
        <v>45</v>
      </c>
      <c r="C16" t="s">
        <v>31</v>
      </c>
      <c r="D16">
        <v>0</v>
      </c>
      <c r="E16">
        <v>0</v>
      </c>
      <c r="F16">
        <v>8.6619999999999996E-3</v>
      </c>
      <c r="G16">
        <v>2.2172000000000001E-2</v>
      </c>
      <c r="H16">
        <v>3.4655999999999999E-2</v>
      </c>
      <c r="I16">
        <v>4.9250000000000002E-2</v>
      </c>
      <c r="J16">
        <v>9.3216999999999994E-2</v>
      </c>
      <c r="K16">
        <v>0.14002500000000001</v>
      </c>
      <c r="L16">
        <v>0.35830200000000001</v>
      </c>
      <c r="M16">
        <v>0.41953000000000001</v>
      </c>
      <c r="N16">
        <v>0.4889</v>
      </c>
      <c r="O16">
        <v>0.56231299999999995</v>
      </c>
      <c r="P16">
        <v>0.63347799999999999</v>
      </c>
      <c r="Q16">
        <v>0.70262599999999997</v>
      </c>
      <c r="R16">
        <v>0.77070700000000003</v>
      </c>
      <c r="S16">
        <v>0.91469599999999995</v>
      </c>
      <c r="T16">
        <v>0.98267000000000004</v>
      </c>
      <c r="U16">
        <v>1.050505</v>
      </c>
      <c r="V16">
        <v>1.11592</v>
      </c>
      <c r="W16">
        <v>1.1785060000000001</v>
      </c>
      <c r="X16">
        <v>1.238721</v>
      </c>
      <c r="Y16">
        <v>1.2985850000000001</v>
      </c>
      <c r="Z16">
        <v>1.359146</v>
      </c>
      <c r="AA16">
        <v>1.422839</v>
      </c>
      <c r="AB16">
        <v>1.487781</v>
      </c>
      <c r="AC16">
        <v>1.555866</v>
      </c>
      <c r="AD16">
        <v>1.6260490000000001</v>
      </c>
      <c r="AE16" s="4" t="e">
        <v>#DIV/0!</v>
      </c>
    </row>
    <row r="17" spans="1:31" x14ac:dyDescent="0.25">
      <c r="A17" t="s">
        <v>29</v>
      </c>
      <c r="B17" s="6" t="s">
        <v>46</v>
      </c>
      <c r="C17" t="s">
        <v>31</v>
      </c>
      <c r="D17">
        <v>152.61875900000001</v>
      </c>
      <c r="E17">
        <v>156.75060999999999</v>
      </c>
      <c r="F17">
        <v>154.16279599999999</v>
      </c>
      <c r="G17">
        <v>158.205826</v>
      </c>
      <c r="H17">
        <v>155.51997399999999</v>
      </c>
      <c r="I17">
        <v>158.016693</v>
      </c>
      <c r="J17">
        <v>162.36921699999999</v>
      </c>
      <c r="K17">
        <v>165.28185999999999</v>
      </c>
      <c r="L17">
        <v>173.13095100000001</v>
      </c>
      <c r="M17">
        <v>184.794861</v>
      </c>
      <c r="N17">
        <v>181.127487</v>
      </c>
      <c r="O17">
        <v>182.136932</v>
      </c>
      <c r="P17">
        <v>187.125092</v>
      </c>
      <c r="Q17">
        <v>190.74614</v>
      </c>
      <c r="R17">
        <v>193.86234999999999</v>
      </c>
      <c r="S17">
        <v>196.749695</v>
      </c>
      <c r="T17">
        <v>200.30981399999999</v>
      </c>
      <c r="U17">
        <v>204.3741</v>
      </c>
      <c r="V17">
        <v>208.99232499999999</v>
      </c>
      <c r="W17">
        <v>211.66461200000001</v>
      </c>
      <c r="X17">
        <v>218.86428799999999</v>
      </c>
      <c r="Y17">
        <v>223.43173200000001</v>
      </c>
      <c r="Z17">
        <v>228.071854</v>
      </c>
      <c r="AA17">
        <v>229.238922</v>
      </c>
      <c r="AB17">
        <v>237.679092</v>
      </c>
      <c r="AC17">
        <v>242.90722700000001</v>
      </c>
      <c r="AD17">
        <v>246.82226600000001</v>
      </c>
      <c r="AE17" s="4">
        <v>0.61724723498767275</v>
      </c>
    </row>
    <row r="18" spans="1:31" x14ac:dyDescent="0.25">
      <c r="A18" t="s">
        <v>75</v>
      </c>
      <c r="B18" t="s">
        <v>47</v>
      </c>
      <c r="C18" t="s">
        <v>48</v>
      </c>
      <c r="D18">
        <v>14.319057000000001</v>
      </c>
      <c r="E18">
        <v>14.151052</v>
      </c>
      <c r="F18">
        <v>13.556093000000001</v>
      </c>
      <c r="G18">
        <v>13.025912999999999</v>
      </c>
      <c r="H18">
        <v>12.606004</v>
      </c>
      <c r="I18">
        <v>12.563119</v>
      </c>
      <c r="J18">
        <v>12.59455</v>
      </c>
      <c r="K18">
        <v>12.665998</v>
      </c>
      <c r="L18">
        <v>12.867765</v>
      </c>
      <c r="M18">
        <v>12.767575000000001</v>
      </c>
      <c r="N18">
        <v>12.593958000000001</v>
      </c>
      <c r="O18">
        <v>12.586883</v>
      </c>
      <c r="P18">
        <v>12.597571</v>
      </c>
      <c r="Q18">
        <v>12.686532</v>
      </c>
      <c r="R18">
        <v>12.662101</v>
      </c>
      <c r="S18">
        <v>12.592173000000001</v>
      </c>
      <c r="T18">
        <v>12.536528000000001</v>
      </c>
      <c r="U18">
        <v>12.462287999999999</v>
      </c>
      <c r="V18">
        <v>12.444274999999999</v>
      </c>
      <c r="W18">
        <v>12.664272</v>
      </c>
      <c r="X18">
        <v>12.958247</v>
      </c>
      <c r="Y18">
        <v>13.012012</v>
      </c>
      <c r="Z18">
        <v>12.955161</v>
      </c>
      <c r="AA18">
        <v>12.958261</v>
      </c>
      <c r="AB18">
        <v>12.935104000000001</v>
      </c>
      <c r="AC18">
        <v>12.913463999999999</v>
      </c>
      <c r="AD18">
        <v>12.93646</v>
      </c>
      <c r="AE18" s="4" cm="1">
        <f t="array" ref="AE18:AE22">(AD18:AD22-D18:D22)/D18:D22</f>
        <v>-9.655642826200081E-2</v>
      </c>
    </row>
    <row r="19" spans="1:31" x14ac:dyDescent="0.25">
      <c r="A19" t="s">
        <v>75</v>
      </c>
      <c r="B19" t="s">
        <v>49</v>
      </c>
      <c r="C19" t="s">
        <v>48</v>
      </c>
      <c r="D19">
        <v>11.816272</v>
      </c>
      <c r="E19">
        <v>11.643580999999999</v>
      </c>
      <c r="F19">
        <v>11.113137999999999</v>
      </c>
      <c r="G19">
        <v>10.610548</v>
      </c>
      <c r="H19">
        <v>10.239565000000001</v>
      </c>
      <c r="I19">
        <v>10.181832999999999</v>
      </c>
      <c r="J19">
        <v>10.195016000000001</v>
      </c>
      <c r="K19">
        <v>10.236871000000001</v>
      </c>
      <c r="L19">
        <v>10.404284000000001</v>
      </c>
      <c r="M19">
        <v>10.23677</v>
      </c>
      <c r="N19">
        <v>10.019899000000001</v>
      </c>
      <c r="O19">
        <v>9.9937860000000001</v>
      </c>
      <c r="P19">
        <v>9.9773460000000007</v>
      </c>
      <c r="Q19">
        <v>10.046473000000001</v>
      </c>
      <c r="R19">
        <v>9.9920430000000007</v>
      </c>
      <c r="S19">
        <v>9.9005530000000004</v>
      </c>
      <c r="T19">
        <v>9.8125250000000008</v>
      </c>
      <c r="U19">
        <v>9.7102900000000005</v>
      </c>
      <c r="V19">
        <v>9.6672309999999992</v>
      </c>
      <c r="W19">
        <v>9.8727459999999994</v>
      </c>
      <c r="X19">
        <v>10.126118</v>
      </c>
      <c r="Y19">
        <v>10.124280000000001</v>
      </c>
      <c r="Z19">
        <v>10.031157</v>
      </c>
      <c r="AA19">
        <v>9.9989220000000003</v>
      </c>
      <c r="AB19">
        <v>9.9275739999999999</v>
      </c>
      <c r="AC19">
        <v>9.8661290000000008</v>
      </c>
      <c r="AD19">
        <v>9.8478980000000007</v>
      </c>
      <c r="AE19" s="4">
        <v>-0.16658164267037853</v>
      </c>
    </row>
    <row r="20" spans="1:31" x14ac:dyDescent="0.25">
      <c r="A20" t="s">
        <v>75</v>
      </c>
      <c r="B20" t="s">
        <v>50</v>
      </c>
      <c r="C20" t="s">
        <v>48</v>
      </c>
      <c r="D20">
        <v>7.3005079999999998</v>
      </c>
      <c r="E20">
        <v>7.360957</v>
      </c>
      <c r="F20">
        <v>6.9180200000000003</v>
      </c>
      <c r="G20">
        <v>6.5165839999999999</v>
      </c>
      <c r="H20">
        <v>6.2621669999999998</v>
      </c>
      <c r="I20">
        <v>6.2301760000000002</v>
      </c>
      <c r="J20">
        <v>6.2607429999999997</v>
      </c>
      <c r="K20">
        <v>6.3319510000000001</v>
      </c>
      <c r="L20">
        <v>6.5196199999999997</v>
      </c>
      <c r="M20">
        <v>6.4055489999999997</v>
      </c>
      <c r="N20">
        <v>6.3186809999999998</v>
      </c>
      <c r="O20">
        <v>6.3712499999999999</v>
      </c>
      <c r="P20">
        <v>6.3935380000000004</v>
      </c>
      <c r="Q20">
        <v>6.4758649999999998</v>
      </c>
      <c r="R20">
        <v>6.4470599999999996</v>
      </c>
      <c r="S20">
        <v>6.3967890000000001</v>
      </c>
      <c r="T20">
        <v>6.3473379999999997</v>
      </c>
      <c r="U20">
        <v>6.2812939999999999</v>
      </c>
      <c r="V20">
        <v>6.2590779999999997</v>
      </c>
      <c r="W20">
        <v>6.4409150000000004</v>
      </c>
      <c r="X20">
        <v>6.6307270000000003</v>
      </c>
      <c r="Y20">
        <v>6.6099490000000003</v>
      </c>
      <c r="Z20">
        <v>6.5356350000000001</v>
      </c>
      <c r="AA20">
        <v>6.5128659999999998</v>
      </c>
      <c r="AB20">
        <v>6.4506459999999999</v>
      </c>
      <c r="AC20">
        <v>6.4093260000000001</v>
      </c>
      <c r="AD20">
        <v>6.3980740000000003</v>
      </c>
      <c r="AE20" s="4">
        <v>-0.1236124938154988</v>
      </c>
    </row>
    <row r="21" spans="1:31" x14ac:dyDescent="0.25">
      <c r="A21" t="s">
        <v>75</v>
      </c>
      <c r="B21" t="s">
        <v>51</v>
      </c>
      <c r="C21" t="s">
        <v>48</v>
      </c>
      <c r="D21">
        <v>12.399124</v>
      </c>
      <c r="E21">
        <v>12.321393</v>
      </c>
      <c r="F21">
        <v>11.725171</v>
      </c>
      <c r="G21">
        <v>11.175858</v>
      </c>
      <c r="H21">
        <v>10.712555</v>
      </c>
      <c r="I21">
        <v>10.623246999999999</v>
      </c>
      <c r="J21">
        <v>10.616462</v>
      </c>
      <c r="K21">
        <v>10.637777</v>
      </c>
      <c r="L21">
        <v>10.777367999999999</v>
      </c>
      <c r="M21">
        <v>10.653479000000001</v>
      </c>
      <c r="N21">
        <v>10.428233000000001</v>
      </c>
      <c r="O21">
        <v>10.373963</v>
      </c>
      <c r="P21">
        <v>10.353769</v>
      </c>
      <c r="Q21">
        <v>10.405588</v>
      </c>
      <c r="R21">
        <v>10.357804</v>
      </c>
      <c r="S21">
        <v>10.25751</v>
      </c>
      <c r="T21">
        <v>10.168068999999999</v>
      </c>
      <c r="U21">
        <v>10.061021</v>
      </c>
      <c r="V21">
        <v>10.006145</v>
      </c>
      <c r="W21">
        <v>10.167649000000001</v>
      </c>
      <c r="X21">
        <v>10.409955999999999</v>
      </c>
      <c r="Y21">
        <v>10.429494</v>
      </c>
      <c r="Z21">
        <v>10.333437</v>
      </c>
      <c r="AA21">
        <v>10.290585</v>
      </c>
      <c r="AB21">
        <v>10.226629000000001</v>
      </c>
      <c r="AC21">
        <v>10.159737</v>
      </c>
      <c r="AD21">
        <v>10.136659999999999</v>
      </c>
      <c r="AE21" s="4">
        <v>-0.18246966479244833</v>
      </c>
    </row>
    <row r="22" spans="1:31" x14ac:dyDescent="0.25">
      <c r="A22" t="s">
        <v>75</v>
      </c>
      <c r="B22" t="s">
        <v>52</v>
      </c>
      <c r="C22" t="s">
        <v>48</v>
      </c>
      <c r="D22">
        <v>12.070852</v>
      </c>
      <c r="E22">
        <v>11.876331</v>
      </c>
      <c r="F22">
        <v>11.340576</v>
      </c>
      <c r="G22">
        <v>10.858669000000001</v>
      </c>
      <c r="H22">
        <v>10.505418000000001</v>
      </c>
      <c r="I22">
        <v>10.466777</v>
      </c>
      <c r="J22">
        <v>10.491835999999999</v>
      </c>
      <c r="K22">
        <v>10.548185999999999</v>
      </c>
      <c r="L22">
        <v>10.723344000000001</v>
      </c>
      <c r="M22">
        <v>10.580945</v>
      </c>
      <c r="N22">
        <v>10.388083999999999</v>
      </c>
      <c r="O22">
        <v>10.369336000000001</v>
      </c>
      <c r="P22">
        <v>10.362619</v>
      </c>
      <c r="Q22">
        <v>10.437939999999999</v>
      </c>
      <c r="R22">
        <v>10.395956999999999</v>
      </c>
      <c r="S22">
        <v>10.318194</v>
      </c>
      <c r="T22">
        <v>10.245189999999999</v>
      </c>
      <c r="U22">
        <v>10.157171999999999</v>
      </c>
      <c r="V22">
        <v>10.126187</v>
      </c>
      <c r="W22">
        <v>10.331343</v>
      </c>
      <c r="X22">
        <v>10.587861</v>
      </c>
      <c r="Y22">
        <v>10.602563</v>
      </c>
      <c r="Z22">
        <v>10.527186</v>
      </c>
      <c r="AA22">
        <v>10.510329</v>
      </c>
      <c r="AB22">
        <v>10.458330999999999</v>
      </c>
      <c r="AC22">
        <v>10.412347</v>
      </c>
      <c r="AD22">
        <v>10.408044</v>
      </c>
      <c r="AE22" s="4">
        <v>-0.13775398787094731</v>
      </c>
    </row>
    <row r="23" spans="1:31" x14ac:dyDescent="0.25">
      <c r="A23" t="s">
        <v>74</v>
      </c>
      <c r="B23" t="s">
        <v>47</v>
      </c>
      <c r="C23" t="s">
        <v>53</v>
      </c>
      <c r="D23">
        <v>14.319057000000001</v>
      </c>
      <c r="E23">
        <v>14.441376999999999</v>
      </c>
      <c r="F23">
        <v>14.067834</v>
      </c>
      <c r="G23">
        <v>13.742933000000001</v>
      </c>
      <c r="H23">
        <v>13.551042000000001</v>
      </c>
      <c r="I23">
        <v>13.744502000000001</v>
      </c>
      <c r="J23">
        <v>14.036353999999999</v>
      </c>
      <c r="K23">
        <v>14.40619</v>
      </c>
      <c r="L23">
        <v>14.944943</v>
      </c>
      <c r="M23">
        <v>15.151294999999999</v>
      </c>
      <c r="N23">
        <v>15.276180999999999</v>
      </c>
      <c r="O23">
        <v>15.598598000000001</v>
      </c>
      <c r="P23">
        <v>15.934939999999999</v>
      </c>
      <c r="Q23">
        <v>16.381235</v>
      </c>
      <c r="R23">
        <v>16.687467999999999</v>
      </c>
      <c r="S23">
        <v>16.935193999999999</v>
      </c>
      <c r="T23">
        <v>17.215094000000001</v>
      </c>
      <c r="U23">
        <v>17.478594000000001</v>
      </c>
      <c r="V23">
        <v>17.833998000000001</v>
      </c>
      <c r="W23">
        <v>18.553367999999999</v>
      </c>
      <c r="X23">
        <v>19.406866000000001</v>
      </c>
      <c r="Y23">
        <v>19.927088000000001</v>
      </c>
      <c r="Z23">
        <v>20.288744000000001</v>
      </c>
      <c r="AA23">
        <v>20.756338</v>
      </c>
      <c r="AB23">
        <v>21.191687000000002</v>
      </c>
      <c r="AC23">
        <v>21.633986</v>
      </c>
      <c r="AD23">
        <v>22.158062000000001</v>
      </c>
      <c r="AE23" s="4" cm="1">
        <f t="array" ref="AE23:AE27">(AD23:AD27-D23:D27)/D23:D27</f>
        <v>0.54745260110355032</v>
      </c>
    </row>
    <row r="24" spans="1:31" x14ac:dyDescent="0.25">
      <c r="A24" t="s">
        <v>74</v>
      </c>
      <c r="B24" t="s">
        <v>49</v>
      </c>
      <c r="C24" t="s">
        <v>53</v>
      </c>
      <c r="D24">
        <v>11.816272</v>
      </c>
      <c r="E24">
        <v>11.882462</v>
      </c>
      <c r="F24">
        <v>11.532658</v>
      </c>
      <c r="G24">
        <v>11.194613</v>
      </c>
      <c r="H24">
        <v>11.007197</v>
      </c>
      <c r="I24">
        <v>11.139291</v>
      </c>
      <c r="J24">
        <v>11.362124</v>
      </c>
      <c r="K24">
        <v>11.643323000000001</v>
      </c>
      <c r="L24">
        <v>12.083796</v>
      </c>
      <c r="M24">
        <v>12.147985</v>
      </c>
      <c r="N24">
        <v>12.153907</v>
      </c>
      <c r="O24">
        <v>12.385040999999999</v>
      </c>
      <c r="P24">
        <v>12.620561</v>
      </c>
      <c r="Q24">
        <v>12.97231</v>
      </c>
      <c r="R24">
        <v>13.168578999999999</v>
      </c>
      <c r="S24">
        <v>13.315238000000001</v>
      </c>
      <c r="T24">
        <v>13.474506999999999</v>
      </c>
      <c r="U24">
        <v>13.618865</v>
      </c>
      <c r="V24">
        <v>13.854191999999999</v>
      </c>
      <c r="W24">
        <v>14.463737</v>
      </c>
      <c r="X24">
        <v>15.165338999999999</v>
      </c>
      <c r="Y24">
        <v>15.504706000000001</v>
      </c>
      <c r="Z24">
        <v>15.709538</v>
      </c>
      <c r="AA24">
        <v>16.016117000000001</v>
      </c>
      <c r="AB24">
        <v>16.264424999999999</v>
      </c>
      <c r="AC24">
        <v>16.528770000000002</v>
      </c>
      <c r="AD24">
        <v>16.867853</v>
      </c>
      <c r="AE24" s="4">
        <v>0.42751055493644702</v>
      </c>
    </row>
    <row r="25" spans="1:31" x14ac:dyDescent="0.25">
      <c r="A25" t="s">
        <v>74</v>
      </c>
      <c r="B25" t="s">
        <v>50</v>
      </c>
      <c r="C25" t="s">
        <v>53</v>
      </c>
      <c r="D25">
        <v>7.3005079999999998</v>
      </c>
      <c r="E25">
        <v>7.5119740000000004</v>
      </c>
      <c r="F25">
        <v>7.1791739999999997</v>
      </c>
      <c r="G25">
        <v>6.8752940000000002</v>
      </c>
      <c r="H25">
        <v>6.7316250000000002</v>
      </c>
      <c r="I25">
        <v>6.8160369999999997</v>
      </c>
      <c r="J25">
        <v>6.9774630000000002</v>
      </c>
      <c r="K25">
        <v>7.2019029999999997</v>
      </c>
      <c r="L25">
        <v>7.5720499999999999</v>
      </c>
      <c r="M25">
        <v>7.6014720000000002</v>
      </c>
      <c r="N25">
        <v>7.6644139999999998</v>
      </c>
      <c r="O25">
        <v>7.8957249999999997</v>
      </c>
      <c r="P25">
        <v>8.0873249999999999</v>
      </c>
      <c r="Q25">
        <v>8.361834</v>
      </c>
      <c r="R25">
        <v>8.4966240000000006</v>
      </c>
      <c r="S25">
        <v>8.6030309999999997</v>
      </c>
      <c r="T25">
        <v>8.7161310000000007</v>
      </c>
      <c r="U25">
        <v>8.8096329999999998</v>
      </c>
      <c r="V25">
        <v>8.9699390000000001</v>
      </c>
      <c r="W25">
        <v>9.4360479999999995</v>
      </c>
      <c r="X25">
        <v>9.9304819999999996</v>
      </c>
      <c r="Y25">
        <v>10.122726</v>
      </c>
      <c r="Z25">
        <v>10.235289</v>
      </c>
      <c r="AA25">
        <v>10.432206000000001</v>
      </c>
      <c r="AB25">
        <v>10.568146</v>
      </c>
      <c r="AC25">
        <v>10.737572999999999</v>
      </c>
      <c r="AD25">
        <v>10.958864</v>
      </c>
      <c r="AE25" s="4">
        <v>0.50110978578477017</v>
      </c>
    </row>
    <row r="26" spans="1:31" x14ac:dyDescent="0.25">
      <c r="A26" t="s">
        <v>74</v>
      </c>
      <c r="B26" t="s">
        <v>51</v>
      </c>
      <c r="C26" t="s">
        <v>53</v>
      </c>
      <c r="D26">
        <v>12.399124</v>
      </c>
      <c r="E26">
        <v>12.57418</v>
      </c>
      <c r="F26">
        <v>12.167795</v>
      </c>
      <c r="G26">
        <v>11.791039</v>
      </c>
      <c r="H26">
        <v>11.515646</v>
      </c>
      <c r="I26">
        <v>11.622213</v>
      </c>
      <c r="J26">
        <v>11.831818</v>
      </c>
      <c r="K26">
        <v>12.099309999999999</v>
      </c>
      <c r="L26">
        <v>12.517104</v>
      </c>
      <c r="M26">
        <v>12.642495</v>
      </c>
      <c r="N26">
        <v>12.649206</v>
      </c>
      <c r="O26">
        <v>12.856185999999999</v>
      </c>
      <c r="P26">
        <v>13.096705999999999</v>
      </c>
      <c r="Q26">
        <v>13.43601</v>
      </c>
      <c r="R26">
        <v>13.65062</v>
      </c>
      <c r="S26">
        <v>13.795310000000001</v>
      </c>
      <c r="T26">
        <v>13.962738999999999</v>
      </c>
      <c r="U26">
        <v>14.110771</v>
      </c>
      <c r="V26">
        <v>14.339893999999999</v>
      </c>
      <c r="W26">
        <v>14.895773999999999</v>
      </c>
      <c r="X26">
        <v>15.590427999999999</v>
      </c>
      <c r="Y26">
        <v>15.972122000000001</v>
      </c>
      <c r="Z26">
        <v>16.182928</v>
      </c>
      <c r="AA26">
        <v>16.483294999999998</v>
      </c>
      <c r="AB26">
        <v>16.754370000000002</v>
      </c>
      <c r="AC26">
        <v>17.020652999999999</v>
      </c>
      <c r="AD26">
        <v>17.362455000000001</v>
      </c>
      <c r="AE26" s="4">
        <v>0.40029690807189283</v>
      </c>
    </row>
    <row r="27" spans="1:31" x14ac:dyDescent="0.25">
      <c r="A27" t="s">
        <v>74</v>
      </c>
      <c r="B27" t="s">
        <v>52</v>
      </c>
      <c r="C27" t="s">
        <v>53</v>
      </c>
      <c r="D27">
        <v>12.070852</v>
      </c>
      <c r="E27">
        <v>12.119987</v>
      </c>
      <c r="F27">
        <v>11.768682</v>
      </c>
      <c r="G27">
        <v>11.456391</v>
      </c>
      <c r="H27">
        <v>11.292980999999999</v>
      </c>
      <c r="I27">
        <v>11.451029999999999</v>
      </c>
      <c r="J27">
        <v>11.692924</v>
      </c>
      <c r="K27">
        <v>11.99741</v>
      </c>
      <c r="L27">
        <v>12.454359</v>
      </c>
      <c r="M27">
        <v>12.556418000000001</v>
      </c>
      <c r="N27">
        <v>12.600507</v>
      </c>
      <c r="O27">
        <v>12.85045</v>
      </c>
      <c r="P27">
        <v>13.107901</v>
      </c>
      <c r="Q27">
        <v>13.477783000000001</v>
      </c>
      <c r="R27">
        <v>13.700901</v>
      </c>
      <c r="S27">
        <v>13.876925</v>
      </c>
      <c r="T27">
        <v>14.068641</v>
      </c>
      <c r="U27">
        <v>14.245625</v>
      </c>
      <c r="V27">
        <v>14.511927999999999</v>
      </c>
      <c r="W27">
        <v>15.135589</v>
      </c>
      <c r="X27">
        <v>15.856866999999999</v>
      </c>
      <c r="Y27">
        <v>16.237166999999999</v>
      </c>
      <c r="Z27">
        <v>16.486355</v>
      </c>
      <c r="AA27">
        <v>16.835279</v>
      </c>
      <c r="AB27">
        <v>17.133967999999999</v>
      </c>
      <c r="AC27">
        <v>17.443850999999999</v>
      </c>
      <c r="AD27">
        <v>17.827293000000001</v>
      </c>
      <c r="AE27" s="4">
        <v>0.4768877126486184</v>
      </c>
    </row>
    <row r="28" spans="1:31" x14ac:dyDescent="0.25">
      <c r="A28" t="s">
        <v>76</v>
      </c>
      <c r="B28" t="s">
        <v>54</v>
      </c>
      <c r="C28" t="s">
        <v>48</v>
      </c>
      <c r="D28">
        <v>7.5309840000000001</v>
      </c>
      <c r="E28">
        <v>7.3129220000000004</v>
      </c>
      <c r="F28">
        <v>6.6679190000000004</v>
      </c>
      <c r="G28">
        <v>6.1214570000000004</v>
      </c>
      <c r="H28">
        <v>5.7456529999999999</v>
      </c>
      <c r="I28">
        <v>5.6880129999999998</v>
      </c>
      <c r="J28">
        <v>5.7031910000000003</v>
      </c>
      <c r="K28">
        <v>5.7460319999999996</v>
      </c>
      <c r="L28">
        <v>5.8731869999999997</v>
      </c>
      <c r="M28">
        <v>5.6615149999999996</v>
      </c>
      <c r="N28">
        <v>5.4524990000000004</v>
      </c>
      <c r="O28">
        <v>5.4611729999999996</v>
      </c>
      <c r="P28">
        <v>5.4631930000000004</v>
      </c>
      <c r="Q28">
        <v>5.534465</v>
      </c>
      <c r="R28">
        <v>5.4939840000000002</v>
      </c>
      <c r="S28">
        <v>5.4229370000000001</v>
      </c>
      <c r="T28">
        <v>5.3554329999999997</v>
      </c>
      <c r="U28">
        <v>5.261317</v>
      </c>
      <c r="V28">
        <v>5.223058</v>
      </c>
      <c r="W28">
        <v>5.4160560000000002</v>
      </c>
      <c r="X28">
        <v>5.6513920000000004</v>
      </c>
      <c r="Y28">
        <v>5.6404839999999998</v>
      </c>
      <c r="Z28">
        <v>5.5357079999999996</v>
      </c>
      <c r="AA28">
        <v>5.4888940000000002</v>
      </c>
      <c r="AB28">
        <v>5.4176890000000002</v>
      </c>
      <c r="AC28">
        <v>5.3578099999999997</v>
      </c>
      <c r="AD28">
        <v>5.343</v>
      </c>
      <c r="AE28" s="4" cm="1">
        <f t="array" ref="AE28:AE30">(AD28:AD30-D28:D30)/D28:D30</f>
        <v>-0.29053095850422733</v>
      </c>
    </row>
    <row r="29" spans="1:31" x14ac:dyDescent="0.25">
      <c r="A29" t="s">
        <v>76</v>
      </c>
      <c r="B29" t="s">
        <v>55</v>
      </c>
      <c r="C29" t="s">
        <v>48</v>
      </c>
      <c r="D29">
        <v>1.3787119999999999</v>
      </c>
      <c r="E29">
        <v>1.4098809999999999</v>
      </c>
      <c r="F29">
        <v>1.488788</v>
      </c>
      <c r="G29">
        <v>1.533134</v>
      </c>
      <c r="H29">
        <v>1.541067</v>
      </c>
      <c r="I29">
        <v>1.5458400000000001</v>
      </c>
      <c r="J29">
        <v>1.5473870000000001</v>
      </c>
      <c r="K29">
        <v>1.557447</v>
      </c>
      <c r="L29">
        <v>1.60842</v>
      </c>
      <c r="M29">
        <v>1.6839230000000001</v>
      </c>
      <c r="N29">
        <v>1.708467</v>
      </c>
      <c r="O29">
        <v>1.6888920000000001</v>
      </c>
      <c r="P29">
        <v>1.6847859999999999</v>
      </c>
      <c r="Q29">
        <v>1.691724</v>
      </c>
      <c r="R29">
        <v>1.6893130000000001</v>
      </c>
      <c r="S29">
        <v>1.6770799999999999</v>
      </c>
      <c r="T29">
        <v>1.666477</v>
      </c>
      <c r="U29">
        <v>1.666922</v>
      </c>
      <c r="V29">
        <v>1.666269</v>
      </c>
      <c r="W29">
        <v>1.6674789999999999</v>
      </c>
      <c r="X29">
        <v>1.676785</v>
      </c>
      <c r="Y29">
        <v>1.6897169999999999</v>
      </c>
      <c r="Z29">
        <v>1.704942</v>
      </c>
      <c r="AA29">
        <v>1.720807</v>
      </c>
      <c r="AB29">
        <v>1.726526</v>
      </c>
      <c r="AC29">
        <v>1.727614</v>
      </c>
      <c r="AD29">
        <v>1.725395</v>
      </c>
      <c r="AE29" s="4">
        <v>0.25145425585619047</v>
      </c>
    </row>
    <row r="30" spans="1:31" x14ac:dyDescent="0.25">
      <c r="A30" t="s">
        <v>76</v>
      </c>
      <c r="B30" t="s">
        <v>56</v>
      </c>
      <c r="C30" t="s">
        <v>48</v>
      </c>
      <c r="D30">
        <v>3.1611560000000001</v>
      </c>
      <c r="E30">
        <v>3.1535280000000001</v>
      </c>
      <c r="F30">
        <v>3.1838700000000002</v>
      </c>
      <c r="G30">
        <v>3.2040769999999998</v>
      </c>
      <c r="H30">
        <v>3.2186970000000001</v>
      </c>
      <c r="I30">
        <v>3.2329249999999998</v>
      </c>
      <c r="J30">
        <v>3.2412570000000001</v>
      </c>
      <c r="K30">
        <v>3.244707</v>
      </c>
      <c r="L30">
        <v>3.2417379999999998</v>
      </c>
      <c r="M30">
        <v>3.2355070000000001</v>
      </c>
      <c r="N30">
        <v>3.2271179999999999</v>
      </c>
      <c r="O30">
        <v>3.2192699999999999</v>
      </c>
      <c r="P30">
        <v>3.2146400000000002</v>
      </c>
      <c r="Q30">
        <v>3.2117499999999999</v>
      </c>
      <c r="R30">
        <v>3.2126610000000002</v>
      </c>
      <c r="S30">
        <v>3.218178</v>
      </c>
      <c r="T30">
        <v>3.2232799999999999</v>
      </c>
      <c r="U30">
        <v>3.2289319999999999</v>
      </c>
      <c r="V30">
        <v>3.2368610000000002</v>
      </c>
      <c r="W30">
        <v>3.247808</v>
      </c>
      <c r="X30">
        <v>3.259684</v>
      </c>
      <c r="Y30">
        <v>3.2723620000000002</v>
      </c>
      <c r="Z30">
        <v>3.2865359999999999</v>
      </c>
      <c r="AA30">
        <v>3.3006280000000001</v>
      </c>
      <c r="AB30">
        <v>3.3141159999999998</v>
      </c>
      <c r="AC30">
        <v>3.3269220000000002</v>
      </c>
      <c r="AD30">
        <v>3.3396479999999999</v>
      </c>
      <c r="AE30" s="4">
        <v>5.6464154252431661E-2</v>
      </c>
    </row>
    <row r="31" spans="1:31" x14ac:dyDescent="0.25">
      <c r="A31" t="s">
        <v>77</v>
      </c>
      <c r="B31" t="s">
        <v>54</v>
      </c>
      <c r="C31" t="s">
        <v>53</v>
      </c>
      <c r="D31">
        <v>7.5309840000000001</v>
      </c>
      <c r="E31">
        <v>7.4629539999999999</v>
      </c>
      <c r="F31">
        <v>6.919632</v>
      </c>
      <c r="G31">
        <v>6.4584169999999999</v>
      </c>
      <c r="H31">
        <v>6.1763899999999996</v>
      </c>
      <c r="I31">
        <v>6.2228890000000003</v>
      </c>
      <c r="J31">
        <v>6.3560840000000001</v>
      </c>
      <c r="K31">
        <v>6.5354840000000003</v>
      </c>
      <c r="L31">
        <v>6.8212659999999996</v>
      </c>
      <c r="M31">
        <v>6.7185249999999996</v>
      </c>
      <c r="N31">
        <v>6.6137550000000003</v>
      </c>
      <c r="O31">
        <v>6.7678900000000004</v>
      </c>
      <c r="P31">
        <v>6.9105109999999996</v>
      </c>
      <c r="Q31">
        <v>7.1462690000000002</v>
      </c>
      <c r="R31">
        <v>7.240558</v>
      </c>
      <c r="S31">
        <v>7.2933000000000003</v>
      </c>
      <c r="T31">
        <v>7.3540520000000003</v>
      </c>
      <c r="U31">
        <v>7.3790959999999997</v>
      </c>
      <c r="V31">
        <v>7.4852090000000002</v>
      </c>
      <c r="W31">
        <v>7.9346120000000004</v>
      </c>
      <c r="X31">
        <v>8.4637829999999994</v>
      </c>
      <c r="Y31">
        <v>8.6380499999999998</v>
      </c>
      <c r="Z31">
        <v>8.6693300000000004</v>
      </c>
      <c r="AA31">
        <v>8.7920230000000004</v>
      </c>
      <c r="AB31">
        <v>8.875845</v>
      </c>
      <c r="AC31">
        <v>8.9759639999999994</v>
      </c>
      <c r="AD31">
        <v>9.1516929999999999</v>
      </c>
      <c r="AE31" s="4" cm="1">
        <f t="array" ref="AE31:AE33">(AD31:AD33-D31:D33)/D31:D33</f>
        <v>0.21520547646894478</v>
      </c>
    </row>
    <row r="32" spans="1:31" x14ac:dyDescent="0.25">
      <c r="A32" t="s">
        <v>77</v>
      </c>
      <c r="B32" t="s">
        <v>55</v>
      </c>
      <c r="C32" t="s">
        <v>53</v>
      </c>
      <c r="D32">
        <v>1.3787119999999999</v>
      </c>
      <c r="E32">
        <v>1.438806</v>
      </c>
      <c r="F32">
        <v>1.5449889999999999</v>
      </c>
      <c r="G32">
        <v>1.617526</v>
      </c>
      <c r="H32">
        <v>1.6565970000000001</v>
      </c>
      <c r="I32">
        <v>1.6912039999999999</v>
      </c>
      <c r="J32">
        <v>1.724529</v>
      </c>
      <c r="K32">
        <v>1.7714259999999999</v>
      </c>
      <c r="L32">
        <v>1.8680589999999999</v>
      </c>
      <c r="M32">
        <v>1.998313</v>
      </c>
      <c r="N32">
        <v>2.0723310000000001</v>
      </c>
      <c r="O32">
        <v>2.093</v>
      </c>
      <c r="P32">
        <v>2.1311230000000001</v>
      </c>
      <c r="Q32">
        <v>2.1844049999999999</v>
      </c>
      <c r="R32">
        <v>2.2263570000000001</v>
      </c>
      <c r="S32">
        <v>2.255503</v>
      </c>
      <c r="T32">
        <v>2.2883969999999998</v>
      </c>
      <c r="U32">
        <v>2.3378899999999998</v>
      </c>
      <c r="V32">
        <v>2.3879440000000001</v>
      </c>
      <c r="W32">
        <v>2.4428839999999998</v>
      </c>
      <c r="X32">
        <v>2.5112299999999999</v>
      </c>
      <c r="Y32">
        <v>2.5876960000000002</v>
      </c>
      <c r="Z32">
        <v>2.6700650000000001</v>
      </c>
      <c r="AA32">
        <v>2.7563620000000002</v>
      </c>
      <c r="AB32">
        <v>2.8285819999999999</v>
      </c>
      <c r="AC32">
        <v>2.894279</v>
      </c>
      <c r="AD32">
        <v>2.9553229999999999</v>
      </c>
      <c r="AE32" s="4">
        <v>1.1435390422365221</v>
      </c>
    </row>
    <row r="33" spans="1:31" x14ac:dyDescent="0.25">
      <c r="A33" t="s">
        <v>77</v>
      </c>
      <c r="B33" t="s">
        <v>56</v>
      </c>
      <c r="C33" t="s">
        <v>53</v>
      </c>
      <c r="D33">
        <v>3.1611560000000001</v>
      </c>
      <c r="E33">
        <v>3.218226</v>
      </c>
      <c r="F33">
        <v>3.3040609999999999</v>
      </c>
      <c r="G33">
        <v>3.3804479999999999</v>
      </c>
      <c r="H33">
        <v>3.4599950000000002</v>
      </c>
      <c r="I33">
        <v>3.5369359999999999</v>
      </c>
      <c r="J33">
        <v>3.612311</v>
      </c>
      <c r="K33">
        <v>3.6905000000000001</v>
      </c>
      <c r="L33">
        <v>3.7650350000000001</v>
      </c>
      <c r="M33">
        <v>3.8395790000000001</v>
      </c>
      <c r="N33">
        <v>3.9144190000000001</v>
      </c>
      <c r="O33">
        <v>3.9895580000000002</v>
      </c>
      <c r="P33">
        <v>4.0662669999999999</v>
      </c>
      <c r="Q33">
        <v>4.1471090000000004</v>
      </c>
      <c r="R33">
        <v>4.2339869999999999</v>
      </c>
      <c r="S33">
        <v>4.3281219999999996</v>
      </c>
      <c r="T33">
        <v>4.4261920000000003</v>
      </c>
      <c r="U33">
        <v>4.5286390000000001</v>
      </c>
      <c r="V33">
        <v>4.6387739999999997</v>
      </c>
      <c r="W33">
        <v>4.7580920000000004</v>
      </c>
      <c r="X33">
        <v>4.8818530000000004</v>
      </c>
      <c r="Y33">
        <v>5.0114200000000002</v>
      </c>
      <c r="Z33">
        <v>5.14696</v>
      </c>
      <c r="AA33">
        <v>5.2868940000000002</v>
      </c>
      <c r="AB33">
        <v>5.4295419999999996</v>
      </c>
      <c r="AC33">
        <v>5.5736080000000001</v>
      </c>
      <c r="AD33">
        <v>5.7202760000000001</v>
      </c>
      <c r="AE33" s="4">
        <v>0.80955194871749447</v>
      </c>
    </row>
    <row r="34" spans="1:31" x14ac:dyDescent="0.25">
      <c r="A34" t="s">
        <v>57</v>
      </c>
      <c r="B34" t="s">
        <v>58</v>
      </c>
      <c r="C34" t="s">
        <v>59</v>
      </c>
      <c r="D34">
        <v>13.377323000000001</v>
      </c>
      <c r="E34">
        <v>13.861848999999999</v>
      </c>
      <c r="F34">
        <v>10.345542999999999</v>
      </c>
      <c r="G34">
        <v>9.2101430000000004</v>
      </c>
      <c r="H34">
        <v>9.1978580000000001</v>
      </c>
      <c r="I34">
        <v>9.4197360000000003</v>
      </c>
      <c r="J34">
        <v>9.4017009999999992</v>
      </c>
      <c r="K34">
        <v>9.4218860000000006</v>
      </c>
      <c r="L34">
        <v>6.4341939999999997</v>
      </c>
      <c r="M34">
        <v>4.9752720000000004</v>
      </c>
      <c r="N34">
        <v>4.430377</v>
      </c>
      <c r="O34">
        <v>4.5608380000000004</v>
      </c>
      <c r="P34">
        <v>4.5347289999999996</v>
      </c>
      <c r="Q34">
        <v>4.376887</v>
      </c>
      <c r="R34">
        <v>4.4688879999999997</v>
      </c>
      <c r="S34">
        <v>4.3959760000000001</v>
      </c>
      <c r="T34">
        <v>4.4468870000000003</v>
      </c>
      <c r="U34">
        <v>4.5525779999999996</v>
      </c>
      <c r="V34">
        <v>4.8006489999999999</v>
      </c>
      <c r="W34">
        <v>4.7879189999999996</v>
      </c>
      <c r="X34">
        <v>4.9442159999999999</v>
      </c>
      <c r="Y34">
        <v>5.3758860000000004</v>
      </c>
      <c r="Z34">
        <v>5.1305110000000003</v>
      </c>
      <c r="AA34">
        <v>4.7461789999999997</v>
      </c>
      <c r="AB34">
        <v>5.2029930000000002</v>
      </c>
      <c r="AC34">
        <v>5.5722269999999998</v>
      </c>
      <c r="AD34">
        <v>5.8752810000000002</v>
      </c>
      <c r="AE34" s="4" cm="1">
        <f t="array" ref="AE34:AE38">(AD34:AD38-D34:D38)/D34:D38</f>
        <v>-0.56080293493698252</v>
      </c>
    </row>
    <row r="35" spans="1:31" x14ac:dyDescent="0.25">
      <c r="A35" t="s">
        <v>57</v>
      </c>
      <c r="B35" t="s">
        <v>60</v>
      </c>
      <c r="C35" t="s">
        <v>59</v>
      </c>
      <c r="D35">
        <v>49.050220000000003</v>
      </c>
      <c r="E35">
        <v>50.826740000000001</v>
      </c>
      <c r="F35">
        <v>37.933666000000002</v>
      </c>
      <c r="G35">
        <v>33.770511999999997</v>
      </c>
      <c r="H35">
        <v>33.725482999999997</v>
      </c>
      <c r="I35">
        <v>34.539036000000003</v>
      </c>
      <c r="J35">
        <v>34.472907999999997</v>
      </c>
      <c r="K35">
        <v>34.546913000000004</v>
      </c>
      <c r="L35">
        <v>23.592039</v>
      </c>
      <c r="M35">
        <v>18.242654999999999</v>
      </c>
      <c r="N35">
        <v>16.244709</v>
      </c>
      <c r="O35">
        <v>16.723053</v>
      </c>
      <c r="P35">
        <v>16.627331000000002</v>
      </c>
      <c r="Q35">
        <v>16.048577999999999</v>
      </c>
      <c r="R35">
        <v>16.385925</v>
      </c>
      <c r="S35">
        <v>16.118577999999999</v>
      </c>
      <c r="T35">
        <v>16.305250000000001</v>
      </c>
      <c r="U35">
        <v>16.692782999999999</v>
      </c>
      <c r="V35">
        <v>17.602367000000001</v>
      </c>
      <c r="W35">
        <v>17.555695</v>
      </c>
      <c r="X35">
        <v>18.128789999999999</v>
      </c>
      <c r="Y35">
        <v>19.711575</v>
      </c>
      <c r="Z35">
        <v>18.811866999999999</v>
      </c>
      <c r="AA35">
        <v>17.402645</v>
      </c>
      <c r="AB35">
        <v>19.077621000000001</v>
      </c>
      <c r="AC35">
        <v>20.431488000000002</v>
      </c>
      <c r="AD35">
        <v>21.542683</v>
      </c>
      <c r="AE35" s="4">
        <v>-0.56080353971908792</v>
      </c>
    </row>
    <row r="36" spans="1:31" x14ac:dyDescent="0.25">
      <c r="A36" t="s">
        <v>57</v>
      </c>
      <c r="B36" t="s">
        <v>61</v>
      </c>
      <c r="C36" t="s">
        <v>59</v>
      </c>
      <c r="D36">
        <v>3.7699999999999999E-3</v>
      </c>
      <c r="E36">
        <v>4.9529999999999999E-3</v>
      </c>
      <c r="F36">
        <v>3.5999999999999999E-3</v>
      </c>
      <c r="G36">
        <v>2.6340000000000001E-3</v>
      </c>
      <c r="H36">
        <v>3.117E-3</v>
      </c>
      <c r="I36">
        <v>2.8180000000000002E-3</v>
      </c>
      <c r="J36">
        <v>1.836E-3</v>
      </c>
      <c r="K36">
        <v>1.5070000000000001E-3</v>
      </c>
      <c r="L36">
        <v>5.0000000000000002E-5</v>
      </c>
      <c r="M36">
        <v>6.0000000000000002E-5</v>
      </c>
      <c r="N36">
        <v>6.4999999999999994E-5</v>
      </c>
      <c r="O36">
        <v>7.3999999999999996E-5</v>
      </c>
      <c r="P36">
        <v>8.5000000000000006E-5</v>
      </c>
      <c r="Q36">
        <v>1.1E-4</v>
      </c>
      <c r="R36">
        <v>1.18E-4</v>
      </c>
      <c r="S36">
        <v>6.8300000000000001E-4</v>
      </c>
      <c r="T36">
        <v>7.1699999999999997E-4</v>
      </c>
      <c r="U36">
        <v>7.5100000000000004E-4</v>
      </c>
      <c r="V36">
        <v>7.8799999999999996E-4</v>
      </c>
      <c r="W36">
        <v>8.2299999999999995E-4</v>
      </c>
      <c r="X36">
        <v>8.4800000000000001E-4</v>
      </c>
      <c r="Y36">
        <v>8.7000000000000001E-4</v>
      </c>
      <c r="Z36">
        <v>8.92E-4</v>
      </c>
      <c r="AA36">
        <v>9.1399999999999999E-4</v>
      </c>
      <c r="AB36">
        <v>9.2900000000000003E-4</v>
      </c>
      <c r="AC36">
        <v>9.2900000000000003E-4</v>
      </c>
      <c r="AD36">
        <v>9.3499999999999996E-4</v>
      </c>
      <c r="AE36" s="4">
        <v>-0.75198938992042441</v>
      </c>
    </row>
    <row r="37" spans="1:31" x14ac:dyDescent="0.25">
      <c r="A37" t="s">
        <v>57</v>
      </c>
      <c r="B37" t="s">
        <v>62</v>
      </c>
      <c r="C37" t="s">
        <v>59</v>
      </c>
      <c r="D37">
        <v>3.9524999999999998E-2</v>
      </c>
      <c r="E37">
        <v>4.5011000000000002E-2</v>
      </c>
      <c r="F37">
        <v>3.0787999999999999E-2</v>
      </c>
      <c r="G37">
        <v>2.5884999999999998E-2</v>
      </c>
      <c r="H37">
        <v>2.7045E-2</v>
      </c>
      <c r="I37">
        <v>2.7189999999999999E-2</v>
      </c>
      <c r="J37">
        <v>2.8521000000000001E-2</v>
      </c>
      <c r="K37">
        <v>2.7470999999999999E-2</v>
      </c>
      <c r="L37">
        <v>9.1240000000000002E-3</v>
      </c>
      <c r="M37">
        <v>7.391E-3</v>
      </c>
      <c r="N37">
        <v>6.7130000000000002E-3</v>
      </c>
      <c r="O37">
        <v>7.0689999999999998E-3</v>
      </c>
      <c r="P37">
        <v>7.0270000000000003E-3</v>
      </c>
      <c r="Q37">
        <v>6.5620000000000001E-3</v>
      </c>
      <c r="R37">
        <v>6.7730000000000004E-3</v>
      </c>
      <c r="S37">
        <v>6.43E-3</v>
      </c>
      <c r="T37">
        <v>6.7219999999999997E-3</v>
      </c>
      <c r="U37">
        <v>6.6150000000000002E-3</v>
      </c>
      <c r="V37">
        <v>7.5989999999999999E-3</v>
      </c>
      <c r="W37">
        <v>7.4510000000000002E-3</v>
      </c>
      <c r="X37">
        <v>7.6519999999999999E-3</v>
      </c>
      <c r="Y37">
        <v>7.3829999999999998E-3</v>
      </c>
      <c r="Z37">
        <v>6.522E-3</v>
      </c>
      <c r="AA37">
        <v>5.7959999999999999E-3</v>
      </c>
      <c r="AB37">
        <v>5.8820000000000001E-3</v>
      </c>
      <c r="AC37">
        <v>6.7600000000000004E-3</v>
      </c>
      <c r="AD37">
        <v>7.0159999999999997E-3</v>
      </c>
      <c r="AE37" s="4">
        <v>-0.82249209361163811</v>
      </c>
    </row>
    <row r="38" spans="1:31" x14ac:dyDescent="0.25">
      <c r="A38" t="s">
        <v>57</v>
      </c>
      <c r="B38" t="s">
        <v>63</v>
      </c>
      <c r="C38" t="s">
        <v>64</v>
      </c>
      <c r="D38">
        <v>5.5454999999999997E-2</v>
      </c>
      <c r="E38">
        <v>7.0489999999999997E-2</v>
      </c>
      <c r="F38">
        <v>4.0969999999999999E-2</v>
      </c>
      <c r="G38">
        <v>3.1078999999999999E-2</v>
      </c>
      <c r="H38">
        <v>3.8592000000000001E-2</v>
      </c>
      <c r="I38">
        <v>3.7081999999999997E-2</v>
      </c>
      <c r="J38">
        <v>2.8594000000000001E-2</v>
      </c>
      <c r="K38">
        <v>2.2707999999999999E-2</v>
      </c>
      <c r="L38">
        <v>3.0000000000000001E-6</v>
      </c>
      <c r="M38">
        <v>9.9999999999999995E-7</v>
      </c>
      <c r="N38">
        <v>9.9999999999999995E-7</v>
      </c>
      <c r="O38">
        <v>9.9999999999999995E-7</v>
      </c>
      <c r="P38">
        <v>9.9999999999999995E-7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 s="4">
        <v>-1</v>
      </c>
    </row>
    <row r="39" spans="1:31" x14ac:dyDescent="0.25">
      <c r="A39" t="s">
        <v>65</v>
      </c>
      <c r="B39" t="s">
        <v>66</v>
      </c>
      <c r="C39" t="s">
        <v>71</v>
      </c>
      <c r="D39" cm="1">
        <f t="array" ref="D39:D42">907185*D34:D37*10^6/(D17*10^9)</f>
        <v>79.516481756708558</v>
      </c>
      <c r="E39" cm="1">
        <f t="array" ref="E39:E42">907185*E34:E37*10^6/(E17*10^9)</f>
        <v>80.22464145476053</v>
      </c>
      <c r="F39" cm="1">
        <f t="array" ref="F39:F42">907185*F34:F37*10^6/(F17*10^9)</f>
        <v>60.879289101989286</v>
      </c>
      <c r="G39" cm="1">
        <f t="array" ref="G39:G42">907185*G34:G37*10^6/(G17*10^9)</f>
        <v>52.812869087735116</v>
      </c>
      <c r="H39" cm="1">
        <f t="array" ref="H39:H42">907185*H34:H37*10^6/(H17*10^9)</f>
        <v>53.653293497399893</v>
      </c>
      <c r="I39" cm="1">
        <f t="array" ref="I39:I42">907185*I34:I37*10^6/(I17*10^9)</f>
        <v>54.079369976183472</v>
      </c>
      <c r="J39" cm="1">
        <f t="array" ref="J39:J42">907185*J34:J37*10^6/(J17*10^9)</f>
        <v>52.528935467398355</v>
      </c>
      <c r="K39" cm="1">
        <f t="array" ref="K39:K42">907185*K34:K37*10^6/(K17*10^9)</f>
        <v>51.714045636405601</v>
      </c>
      <c r="L39" cm="1">
        <f t="array" ref="L39:L42">907185*L34:L37*10^6/(L17*10^9)</f>
        <v>33.714389311533324</v>
      </c>
      <c r="M39" cm="1">
        <f t="array" ref="M39:M42">907185*M34:M37*10^6/(M17*10^9)</f>
        <v>24.424337911214966</v>
      </c>
      <c r="N39" cm="1">
        <f t="array" ref="N39:N42">907185*N34:N37*10^6/(N17*10^9)</f>
        <v>22.189738428519135</v>
      </c>
      <c r="O39" cm="1">
        <f t="array" ref="O39:O42">907185*O34:O37*10^6/(O17*10^9)</f>
        <v>22.716556030657198</v>
      </c>
      <c r="P39" cm="1">
        <f t="array" ref="P39:P42">907185*P34:P37*10^6/(P17*10^9)</f>
        <v>21.984428084422795</v>
      </c>
      <c r="Q39" cm="1">
        <f t="array" ref="Q39:Q42">907185*Q34:Q37*10^6/(Q17*10^9)</f>
        <v>20.816391005841584</v>
      </c>
      <c r="R39" cm="1">
        <f t="array" ref="R39:R42">907185*R34:R37*10^6/(R17*10^9)</f>
        <v>20.912302777099317</v>
      </c>
      <c r="S39" cm="1">
        <f t="array" ref="S39:S42">907185*S34:S37*10^6/(S17*10^9)</f>
        <v>20.269223225784419</v>
      </c>
      <c r="T39" cm="1">
        <f t="array" ref="T39:T42">907185*T34:T37*10^6/(T17*10^9)</f>
        <v>20.139548345319717</v>
      </c>
      <c r="U39" cm="1">
        <f t="array" ref="U39:U42">907185*U34:U37*10^6/(U17*10^9)</f>
        <v>20.208189163548607</v>
      </c>
      <c r="V39" cm="1">
        <f t="array" ref="V39:V42">907185*V34:V37*10^6/(V17*10^9)</f>
        <v>20.838453101399775</v>
      </c>
      <c r="W39" cm="1">
        <f t="array" ref="W39:W42">907185*W34:W37*10^6/(W17*10^9)</f>
        <v>20.520805329589056</v>
      </c>
      <c r="X39" cm="1">
        <f t="array" ref="X39:X42">907185*X34:X37*10^6/(X17*10^9)</f>
        <v>20.493606485312032</v>
      </c>
      <c r="Y39" cm="1">
        <f t="array" ref="Y39:Y42">907185*Y34:Y37*10^6/(Y17*10^9)</f>
        <v>21.827352351679398</v>
      </c>
      <c r="Z39" cm="1">
        <f t="array" ref="Z39:Z42">907185*Z34:Z37*10^6/(Z17*10^9)</f>
        <v>20.407264377019533</v>
      </c>
      <c r="AA39" cm="1">
        <f t="array" ref="AA39:AA42">907185*AA34:AA37*10^6/(AA17*10^9)</f>
        <v>18.782422978393694</v>
      </c>
      <c r="AB39" cm="1">
        <f t="array" ref="AB39:AB42">907185*AB34:AB37*10^6/(AB17*10^9)</f>
        <v>19.859034149730764</v>
      </c>
      <c r="AC39" cm="1">
        <f t="array" ref="AC39:AC42">907185*AC34:AC37*10^6/(AC17*10^9)</f>
        <v>20.81058193873746</v>
      </c>
      <c r="AD39" cm="1">
        <f t="array" ref="AD39:AD42">907185*AD34:AD37*10^6/(AD17*10^9)</f>
        <v>21.59435159705162</v>
      </c>
      <c r="AE39" s="4" cm="1">
        <f t="array" ref="AE39:AE43">(AD39:AD43-D39:D43)/D39:D43</f>
        <v>-0.72842923731054321</v>
      </c>
    </row>
    <row r="40" spans="1:31" x14ac:dyDescent="0.25">
      <c r="A40" t="s">
        <v>65</v>
      </c>
      <c r="B40" t="s">
        <v>67</v>
      </c>
      <c r="C40" t="s">
        <v>71</v>
      </c>
      <c r="D40">
        <v>291.56064511506088</v>
      </c>
      <c r="E40">
        <v>294.15678909893876</v>
      </c>
      <c r="F40">
        <v>223.22410907888568</v>
      </c>
      <c r="G40">
        <v>193.64711593313888</v>
      </c>
      <c r="H40">
        <v>196.72876421233838</v>
      </c>
      <c r="I40">
        <v>198.29104621028867</v>
      </c>
      <c r="J40">
        <v>192.60612092487949</v>
      </c>
      <c r="K40">
        <v>189.61815452648588</v>
      </c>
      <c r="L40">
        <v>123.6193977829822</v>
      </c>
      <c r="M40">
        <v>89.555861492138575</v>
      </c>
      <c r="N40">
        <v>81.36234084760973</v>
      </c>
      <c r="O40">
        <v>83.293940823627139</v>
      </c>
      <c r="P40">
        <v>80.609527626765313</v>
      </c>
      <c r="Q40">
        <v>76.326730558898845</v>
      </c>
      <c r="R40">
        <v>76.67845443493799</v>
      </c>
      <c r="S40">
        <v>74.320482087303873</v>
      </c>
      <c r="T40">
        <v>73.845000032050365</v>
      </c>
      <c r="U40">
        <v>74.096680283142533</v>
      </c>
      <c r="V40">
        <v>76.407606388870974</v>
      </c>
      <c r="W40">
        <v>75.242918587519952</v>
      </c>
      <c r="X40">
        <v>75.143215489545739</v>
      </c>
      <c r="Y40">
        <v>80.033596867856716</v>
      </c>
      <c r="Z40">
        <v>74.826609531551398</v>
      </c>
      <c r="AA40">
        <v>68.868839403829512</v>
      </c>
      <c r="AB40">
        <v>72.81638221205003</v>
      </c>
      <c r="AC40">
        <v>76.305426027032127</v>
      </c>
      <c r="AD40">
        <v>79.179237732770019</v>
      </c>
      <c r="AE40" s="4">
        <v>-0.72842961126827355</v>
      </c>
    </row>
    <row r="41" spans="1:31" x14ac:dyDescent="0.25">
      <c r="A41" t="s">
        <v>65</v>
      </c>
      <c r="B41" t="s">
        <v>68</v>
      </c>
      <c r="C41" t="s">
        <v>71</v>
      </c>
      <c r="D41">
        <v>2.2409351723270139E-2</v>
      </c>
      <c r="E41">
        <v>2.8665198208798041E-2</v>
      </c>
      <c r="F41">
        <v>2.1184527556181585E-2</v>
      </c>
      <c r="G41">
        <v>1.5103901989045586E-2</v>
      </c>
      <c r="H41">
        <v>1.8182202403145976E-2</v>
      </c>
      <c r="I41">
        <v>1.6178337120369934E-2</v>
      </c>
      <c r="J41">
        <v>1.0258050699351467E-2</v>
      </c>
      <c r="K41">
        <v>8.2714932842599901E-3</v>
      </c>
      <c r="L41">
        <v>2.6199388230704055E-4</v>
      </c>
      <c r="M41">
        <v>2.9454877535799005E-4</v>
      </c>
      <c r="N41">
        <v>3.2555536421702795E-4</v>
      </c>
      <c r="O41">
        <v>3.6857813109534524E-4</v>
      </c>
      <c r="P41">
        <v>4.1208116012576227E-4</v>
      </c>
      <c r="Q41">
        <v>5.2315789981385733E-4</v>
      </c>
      <c r="R41">
        <v>5.5218473313668173E-4</v>
      </c>
      <c r="S41">
        <v>3.1492163431307988E-3</v>
      </c>
      <c r="T41">
        <v>3.247228041457819E-3</v>
      </c>
      <c r="U41">
        <v>3.3335727716966093E-3</v>
      </c>
      <c r="V41">
        <v>3.4205169017570381E-3</v>
      </c>
      <c r="W41">
        <v>3.527340956739618E-3</v>
      </c>
      <c r="X41">
        <v>3.5149310425646053E-3</v>
      </c>
      <c r="Y41">
        <v>3.5324031324252547E-3</v>
      </c>
      <c r="Z41">
        <v>3.5480442054020398E-3</v>
      </c>
      <c r="AA41">
        <v>3.6170432261934996E-3</v>
      </c>
      <c r="AB41">
        <v>3.5458519212114795E-3</v>
      </c>
      <c r="AC41">
        <v>3.469533926217848E-3</v>
      </c>
      <c r="AD41">
        <v>3.4365537143233255E-3</v>
      </c>
      <c r="AE41" s="4">
        <v>-0.84664644668168754</v>
      </c>
    </row>
    <row r="42" spans="1:31" x14ac:dyDescent="0.25">
      <c r="A42" t="s">
        <v>65</v>
      </c>
      <c r="B42" t="s">
        <v>69</v>
      </c>
      <c r="C42" t="s">
        <v>71</v>
      </c>
      <c r="D42">
        <v>0.2349415455868043</v>
      </c>
      <c r="E42">
        <v>0.26049853353042773</v>
      </c>
      <c r="F42">
        <v>0.18117478733325518</v>
      </c>
      <c r="G42">
        <v>0.14842995557571945</v>
      </c>
      <c r="H42">
        <v>0.15775991786752741</v>
      </c>
      <c r="I42">
        <v>0.15609971125012723</v>
      </c>
      <c r="J42">
        <v>0.1593517777757098</v>
      </c>
      <c r="K42">
        <v>0.15078048574114547</v>
      </c>
      <c r="L42">
        <v>4.7808643643388764E-2</v>
      </c>
      <c r="M42">
        <v>3.628349997784841E-2</v>
      </c>
      <c r="N42">
        <v>3.3622356307521681E-2</v>
      </c>
      <c r="O42">
        <v>3.5209173090716167E-2</v>
      </c>
      <c r="P42">
        <v>3.4066991908279193E-2</v>
      </c>
      <c r="Q42">
        <v>3.1208746714350286E-2</v>
      </c>
      <c r="R42">
        <v>3.1694467775718181E-2</v>
      </c>
      <c r="S42">
        <v>2.9647820038552028E-2</v>
      </c>
      <c r="T42">
        <v>3.0443329002342343E-2</v>
      </c>
      <c r="U42">
        <v>2.9362961231388908E-2</v>
      </c>
      <c r="V42">
        <v>3.2985416163009811E-2</v>
      </c>
      <c r="W42">
        <v>3.1934650630214938E-2</v>
      </c>
      <c r="X42">
        <v>3.1717278700123065E-2</v>
      </c>
      <c r="Y42">
        <v>2.9976703823788104E-2</v>
      </c>
      <c r="Z42">
        <v>2.5942090030977694E-2</v>
      </c>
      <c r="AA42">
        <v>2.2936961202426175E-2</v>
      </c>
      <c r="AB42">
        <v>2.2450700754107558E-2</v>
      </c>
      <c r="AC42">
        <v>2.524655472683816E-2</v>
      </c>
      <c r="AD42">
        <v>2.5787016962237921E-2</v>
      </c>
      <c r="AE42" s="4">
        <v>-0.89024071116144787</v>
      </c>
    </row>
    <row r="43" spans="1:31" x14ac:dyDescent="0.25">
      <c r="A43" t="s">
        <v>65</v>
      </c>
      <c r="B43" t="s">
        <v>70</v>
      </c>
      <c r="C43" t="s">
        <v>71</v>
      </c>
      <c r="D43">
        <f>907185*D38/(D17*10^9)</f>
        <v>3.2963145883659032E-7</v>
      </c>
      <c r="E43">
        <f>907185*E38/(E17*10^9)</f>
        <v>4.0795675787162803E-7</v>
      </c>
      <c r="F43">
        <f>907185*F38/(F17*10^9)</f>
        <v>2.4109169277132207E-7</v>
      </c>
      <c r="G43">
        <f>907185*G38/(G17*10^9)</f>
        <v>1.7821342821471062E-7</v>
      </c>
      <c r="H43">
        <f>907185*H38/(H17*10^9)</f>
        <v>2.2511631541296426E-7</v>
      </c>
      <c r="I43">
        <f>907185*I38/(I17*10^9)</f>
        <v>2.1289038222056701E-7</v>
      </c>
      <c r="J43">
        <f>907185*J38/(J17*10^9)</f>
        <v>1.5975964144730711E-7</v>
      </c>
      <c r="K43">
        <f>907185*K38/(K17*10^9)</f>
        <v>1.2463773689381278E-7</v>
      </c>
      <c r="L43">
        <f>907185*L38/(L17*10^9)</f>
        <v>1.5719632938422433E-11</v>
      </c>
      <c r="M43">
        <f>907185*M38/(M17*10^9)</f>
        <v>4.9091462559665004E-12</v>
      </c>
      <c r="N43">
        <f>907185*N38/(N17*10^9)</f>
        <v>5.0085440648773533E-12</v>
      </c>
      <c r="O43">
        <f>907185*O38/(O17*10^9)</f>
        <v>4.980785555342504E-12</v>
      </c>
      <c r="P43">
        <f>907185*P38/(P17*10^9)</f>
        <v>4.8480136485383793E-12</v>
      </c>
      <c r="Q43">
        <f>907185*Q38/(Q17*10^9)</f>
        <v>0</v>
      </c>
      <c r="R43">
        <f>907185*R38/(R17*10^9)</f>
        <v>0</v>
      </c>
      <c r="S43">
        <f>907185*S38/(S17*10^9)</f>
        <v>0</v>
      </c>
      <c r="T43">
        <f>907185*T38/(T17*10^9)</f>
        <v>0</v>
      </c>
      <c r="U43">
        <f>907185*U38/(U17*10^9)</f>
        <v>0</v>
      </c>
      <c r="V43">
        <f>907185*V38/(V17*10^9)</f>
        <v>0</v>
      </c>
      <c r="W43">
        <f>907185*W38/(W17*10^9)</f>
        <v>0</v>
      </c>
      <c r="X43">
        <f>907185*X38/(X17*10^9)</f>
        <v>0</v>
      </c>
      <c r="Y43">
        <f>907185*Y38/(Y17*10^9)</f>
        <v>0</v>
      </c>
      <c r="Z43">
        <f>907185*Z38/(Z17*10^9)</f>
        <v>0</v>
      </c>
      <c r="AA43">
        <f>907185*AA38/(AA17*10^9)</f>
        <v>0</v>
      </c>
      <c r="AB43">
        <f>907185*AB38/(AB17*10^9)</f>
        <v>0</v>
      </c>
      <c r="AC43">
        <f>907185*AC38/(AC17*10^9)</f>
        <v>0</v>
      </c>
      <c r="AD43">
        <f>907185*AD38/(AD17*10^9)</f>
        <v>0</v>
      </c>
      <c r="AE43" s="4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FRCC</vt:lpstr>
      <vt:lpstr>ISNE</vt:lpstr>
      <vt:lpstr>NYCW</vt:lpstr>
      <vt:lpstr>PJMC</vt:lpstr>
      <vt:lpstr>PJMD</vt:lpstr>
      <vt:lpstr>PJME</vt:lpstr>
      <vt:lpstr>SRCE</vt:lpstr>
      <vt:lpstr>SRSE</vt:lpstr>
      <vt:lpstr>TRE</vt:lpstr>
      <vt:lpstr>BASN</vt:lpstr>
      <vt:lpstr>CANO</vt:lpstr>
      <vt:lpstr>CASO</vt:lpstr>
      <vt:lpstr>RMRG</vt:lpstr>
      <vt:lpstr>SRSG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Aboud Beroual</cp:lastModifiedBy>
  <dcterms:created xsi:type="dcterms:W3CDTF">2025-06-17T15:59:50Z</dcterms:created>
  <dcterms:modified xsi:type="dcterms:W3CDTF">2025-07-07T23:04:28Z</dcterms:modified>
</cp:coreProperties>
</file>