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bboud\Desktop\hydrogen-dashboard\data\"/>
    </mc:Choice>
  </mc:AlternateContent>
  <xr:revisionPtr revIDLastSave="0" documentId="13_ncr:1_{E099E981-EA05-49C2-A3D6-948D09AD456E}" xr6:coauthVersionLast="47" xr6:coauthVersionMax="47" xr10:uidLastSave="{00000000-0000-0000-0000-000000000000}"/>
  <bookViews>
    <workbookView xWindow="12690" yWindow="0" windowWidth="13020" windowHeight="20985" tabRatio="1000" firstSheet="4" xr2:uid="{00000000-000D-0000-FFFF-FFFF00000000}"/>
  </bookViews>
  <sheets>
    <sheet name="FRCC" sheetId="1" r:id="rId1"/>
    <sheet name="ISNE" sheetId="2" r:id="rId2"/>
    <sheet name="NYCW" sheetId="3" r:id="rId3"/>
    <sheet name="PJMC" sheetId="4" r:id="rId4"/>
    <sheet name="PJMD" sheetId="5" r:id="rId5"/>
    <sheet name="PJME" sheetId="6" r:id="rId6"/>
    <sheet name="SRCE" sheetId="7" r:id="rId7"/>
    <sheet name="SRSE" sheetId="8" r:id="rId8"/>
    <sheet name="TRE" sheetId="9" r:id="rId9"/>
    <sheet name="BASN" sheetId="10" r:id="rId10"/>
    <sheet name="CANO" sheetId="11" r:id="rId11"/>
    <sheet name="CASO" sheetId="12" r:id="rId12"/>
    <sheet name="RMRG" sheetId="13" r:id="rId13"/>
    <sheet name="SRSG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4" i="2" l="1" a="1"/>
  <c r="AE34" i="2" s="1"/>
  <c r="AE31" i="2" a="1"/>
  <c r="AE31" i="2" s="1"/>
  <c r="AE28" i="2" a="1"/>
  <c r="AE28" i="2" s="1"/>
  <c r="AE23" i="2" a="1"/>
  <c r="AE23" i="2" s="1"/>
  <c r="AE18" i="2" a="1"/>
  <c r="AE18" i="2" s="1"/>
  <c r="AE2" i="2" a="1"/>
  <c r="AE2" i="2" s="1"/>
  <c r="AE34" i="3" a="1"/>
  <c r="AE34" i="3" s="1"/>
  <c r="AE31" i="3" a="1"/>
  <c r="AE31" i="3" s="1"/>
  <c r="AE28" i="3" a="1"/>
  <c r="AE28" i="3" s="1"/>
  <c r="AE23" i="3" a="1"/>
  <c r="AE23" i="3" s="1"/>
  <c r="AE18" i="3" a="1"/>
  <c r="AE18" i="3" s="1"/>
  <c r="AE2" i="3" a="1"/>
  <c r="AE2" i="3" s="1"/>
  <c r="AE34" i="4" a="1"/>
  <c r="AE34" i="4" s="1"/>
  <c r="AE31" i="4" a="1"/>
  <c r="AE31" i="4" s="1"/>
  <c r="AE28" i="4" a="1"/>
  <c r="AE28" i="4" s="1"/>
  <c r="AE23" i="4" a="1"/>
  <c r="AE23" i="4" s="1"/>
  <c r="AE18" i="4" a="1"/>
  <c r="AE18" i="4" s="1"/>
  <c r="AE2" i="4" a="1"/>
  <c r="AE2" i="4" s="1"/>
  <c r="AE34" i="5" a="1"/>
  <c r="AE34" i="5" s="1"/>
  <c r="AE31" i="5" a="1"/>
  <c r="AE31" i="5" s="1"/>
  <c r="AE28" i="5" a="1"/>
  <c r="AE28" i="5" s="1"/>
  <c r="AE23" i="5" a="1"/>
  <c r="AE23" i="5" s="1"/>
  <c r="AE18" i="5" a="1"/>
  <c r="AE18" i="5" s="1"/>
  <c r="AE2" i="5" a="1"/>
  <c r="AE2" i="5" s="1"/>
  <c r="AE34" i="6" a="1"/>
  <c r="AE34" i="6" s="1"/>
  <c r="AE31" i="6" a="1"/>
  <c r="AE31" i="6" s="1"/>
  <c r="AE28" i="6" a="1"/>
  <c r="AE28" i="6" s="1"/>
  <c r="AE23" i="6" a="1"/>
  <c r="AE23" i="6" s="1"/>
  <c r="AE18" i="6" a="1"/>
  <c r="AE18" i="6" s="1"/>
  <c r="AE2" i="6" a="1"/>
  <c r="AE2" i="6" s="1"/>
  <c r="AE34" i="7" a="1"/>
  <c r="AE34" i="7" s="1"/>
  <c r="AE31" i="7" a="1"/>
  <c r="AE31" i="7" s="1"/>
  <c r="AE28" i="7" a="1"/>
  <c r="AE28" i="7" s="1"/>
  <c r="AE23" i="7" a="1"/>
  <c r="AE23" i="7" s="1"/>
  <c r="AE18" i="7" a="1"/>
  <c r="AE18" i="7" s="1"/>
  <c r="AE2" i="7" a="1"/>
  <c r="AE2" i="7" s="1"/>
  <c r="AE34" i="8" a="1"/>
  <c r="AE34" i="8" s="1"/>
  <c r="AE31" i="8" a="1"/>
  <c r="AE31" i="8" s="1"/>
  <c r="AE28" i="8" a="1"/>
  <c r="AE28" i="8" s="1"/>
  <c r="AE23" i="8" a="1"/>
  <c r="AE23" i="8" s="1"/>
  <c r="AE18" i="8" a="1"/>
  <c r="AE18" i="8" s="1"/>
  <c r="AE2" i="8" a="1"/>
  <c r="AE2" i="8" s="1"/>
  <c r="AE34" i="9" a="1"/>
  <c r="AE34" i="9" s="1"/>
  <c r="AE31" i="9" a="1"/>
  <c r="AE31" i="9" s="1"/>
  <c r="AE28" i="9" a="1"/>
  <c r="AE28" i="9" s="1"/>
  <c r="AE23" i="9" a="1"/>
  <c r="AE23" i="9" s="1"/>
  <c r="AE18" i="9" a="1"/>
  <c r="AE18" i="9" s="1"/>
  <c r="AE2" i="9" a="1"/>
  <c r="AE2" i="9" s="1"/>
  <c r="AE34" i="10" a="1"/>
  <c r="AE34" i="10" s="1"/>
  <c r="AE31" i="10" a="1"/>
  <c r="AE31" i="10" s="1"/>
  <c r="AE28" i="10" a="1"/>
  <c r="AE28" i="10" s="1"/>
  <c r="AE23" i="10" a="1"/>
  <c r="AE23" i="10" s="1"/>
  <c r="AE18" i="10" a="1"/>
  <c r="AE18" i="10" s="1"/>
  <c r="AE2" i="10" a="1"/>
  <c r="AE2" i="10" s="1"/>
  <c r="AE34" i="11" a="1"/>
  <c r="AE34" i="11" s="1"/>
  <c r="AE31" i="11" a="1"/>
  <c r="AE31" i="11" s="1"/>
  <c r="AE28" i="11" a="1"/>
  <c r="AE28" i="11" s="1"/>
  <c r="AE23" i="11" a="1"/>
  <c r="AE23" i="11" s="1"/>
  <c r="AE18" i="11" a="1"/>
  <c r="AE18" i="11" s="1"/>
  <c r="AE2" i="11" a="1"/>
  <c r="AE2" i="11" s="1"/>
  <c r="AE34" i="12" a="1"/>
  <c r="AE34" i="12" s="1"/>
  <c r="AE31" i="12" a="1"/>
  <c r="AE31" i="12" s="1"/>
  <c r="AE28" i="12" a="1"/>
  <c r="AE28" i="12" s="1"/>
  <c r="AE23" i="12" a="1"/>
  <c r="AE23" i="12" s="1"/>
  <c r="AE18" i="12" a="1"/>
  <c r="AE18" i="12" s="1"/>
  <c r="AE2" i="12" a="1"/>
  <c r="AE2" i="12" s="1"/>
  <c r="AE34" i="13" a="1"/>
  <c r="AE34" i="13" s="1"/>
  <c r="AE31" i="13" a="1"/>
  <c r="AE31" i="13" s="1"/>
  <c r="AE28" i="13" a="1"/>
  <c r="AE28" i="13" s="1"/>
  <c r="AE23" i="13" a="1"/>
  <c r="AE23" i="13" s="1"/>
  <c r="AE18" i="13" a="1"/>
  <c r="AE18" i="13" s="1"/>
  <c r="AE2" i="13" a="1"/>
  <c r="AE2" i="13" s="1"/>
  <c r="AE34" i="14" a="1"/>
  <c r="AE34" i="14" s="1"/>
  <c r="AE31" i="14" a="1"/>
  <c r="AE31" i="14" s="1"/>
  <c r="AE28" i="14" a="1"/>
  <c r="AE28" i="14" s="1"/>
  <c r="AE23" i="14" a="1"/>
  <c r="AE23" i="14" s="1"/>
  <c r="AE18" i="14" a="1"/>
  <c r="AE18" i="14" s="1"/>
  <c r="AE2" i="14" a="1"/>
  <c r="AE2" i="14" s="1"/>
  <c r="AE34" i="1" a="1"/>
  <c r="AE34" i="1" s="1"/>
  <c r="AE31" i="1" a="1"/>
  <c r="AE31" i="1" s="1"/>
  <c r="AE28" i="1" a="1"/>
  <c r="AE28" i="1" s="1"/>
  <c r="AE23" i="1" a="1"/>
  <c r="AE23" i="1" s="1"/>
  <c r="AE18" i="1" a="1"/>
  <c r="AE18" i="1" s="1"/>
  <c r="AE2" i="1" a="1"/>
  <c r="AE2" i="1" s="1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AD39" i="2" a="1"/>
  <c r="AD39" i="2" s="1"/>
  <c r="AC39" i="2" a="1"/>
  <c r="AC39" i="2" s="1"/>
  <c r="AB39" i="2" a="1"/>
  <c r="AB39" i="2" s="1"/>
  <c r="AA39" i="2" a="1"/>
  <c r="AA39" i="2" s="1"/>
  <c r="Z39" i="2" a="1"/>
  <c r="Z39" i="2" s="1"/>
  <c r="Y39" i="2" a="1"/>
  <c r="Y39" i="2" s="1"/>
  <c r="X39" i="2" a="1"/>
  <c r="X39" i="2" s="1"/>
  <c r="W39" i="2" a="1"/>
  <c r="W39" i="2" s="1"/>
  <c r="V39" i="2" a="1"/>
  <c r="V39" i="2" s="1"/>
  <c r="U39" i="2" a="1"/>
  <c r="U39" i="2" s="1"/>
  <c r="T39" i="2" a="1"/>
  <c r="T39" i="2" s="1"/>
  <c r="S39" i="2" a="1"/>
  <c r="S39" i="2" s="1"/>
  <c r="R39" i="2" a="1"/>
  <c r="R39" i="2" s="1"/>
  <c r="Q39" i="2" a="1"/>
  <c r="Q39" i="2" s="1"/>
  <c r="P39" i="2" a="1"/>
  <c r="P39" i="2" s="1"/>
  <c r="O39" i="2" a="1"/>
  <c r="O39" i="2" s="1"/>
  <c r="N39" i="2" a="1"/>
  <c r="N39" i="2" s="1"/>
  <c r="M39" i="2" a="1"/>
  <c r="M39" i="2" s="1"/>
  <c r="L39" i="2" a="1"/>
  <c r="L39" i="2" s="1"/>
  <c r="K39" i="2" a="1"/>
  <c r="K39" i="2" s="1"/>
  <c r="J39" i="2" a="1"/>
  <c r="J39" i="2" s="1"/>
  <c r="I39" i="2" a="1"/>
  <c r="I39" i="2" s="1"/>
  <c r="H39" i="2" a="1"/>
  <c r="H39" i="2" s="1"/>
  <c r="G39" i="2" a="1"/>
  <c r="G39" i="2" s="1"/>
  <c r="F39" i="2" a="1"/>
  <c r="F39" i="2" s="1"/>
  <c r="E39" i="2" a="1"/>
  <c r="E39" i="2" s="1"/>
  <c r="D39" i="2" a="1"/>
  <c r="D39" i="2" s="1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AD39" i="3" a="1"/>
  <c r="AD39" i="3" s="1"/>
  <c r="AC39" i="3" a="1"/>
  <c r="AC39" i="3" s="1"/>
  <c r="AB39" i="3" a="1"/>
  <c r="AB39" i="3" s="1"/>
  <c r="AA39" i="3" a="1"/>
  <c r="AA39" i="3" s="1"/>
  <c r="Z39" i="3" a="1"/>
  <c r="Z39" i="3" s="1"/>
  <c r="Y39" i="3" a="1"/>
  <c r="Y39" i="3" s="1"/>
  <c r="X39" i="3" a="1"/>
  <c r="X39" i="3" s="1"/>
  <c r="W39" i="3" a="1"/>
  <c r="W39" i="3" s="1"/>
  <c r="V39" i="3" a="1"/>
  <c r="V39" i="3" s="1"/>
  <c r="U39" i="3" a="1"/>
  <c r="U39" i="3" s="1"/>
  <c r="T39" i="3" a="1"/>
  <c r="T39" i="3" s="1"/>
  <c r="S39" i="3" a="1"/>
  <c r="S39" i="3" s="1"/>
  <c r="R39" i="3" a="1"/>
  <c r="R39" i="3" s="1"/>
  <c r="Q39" i="3" a="1"/>
  <c r="Q39" i="3" s="1"/>
  <c r="P39" i="3" a="1"/>
  <c r="P39" i="3" s="1"/>
  <c r="O39" i="3" a="1"/>
  <c r="O39" i="3" s="1"/>
  <c r="N39" i="3" a="1"/>
  <c r="N39" i="3" s="1"/>
  <c r="M39" i="3" a="1"/>
  <c r="M39" i="3" s="1"/>
  <c r="L39" i="3" a="1"/>
  <c r="L39" i="3" s="1"/>
  <c r="K39" i="3" a="1"/>
  <c r="K39" i="3" s="1"/>
  <c r="J39" i="3" a="1"/>
  <c r="J39" i="3" s="1"/>
  <c r="I39" i="3" a="1"/>
  <c r="I39" i="3" s="1"/>
  <c r="H39" i="3" a="1"/>
  <c r="H39" i="3" s="1"/>
  <c r="G39" i="3" a="1"/>
  <c r="G39" i="3" s="1"/>
  <c r="F39" i="3" a="1"/>
  <c r="F39" i="3" s="1"/>
  <c r="E39" i="3" a="1"/>
  <c r="E39" i="3" s="1"/>
  <c r="D39" i="3" a="1"/>
  <c r="D39" i="3" s="1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AD39" i="4" a="1"/>
  <c r="AD39" i="4" s="1"/>
  <c r="AC39" i="4" a="1"/>
  <c r="AC39" i="4" s="1"/>
  <c r="AB39" i="4" a="1"/>
  <c r="AB39" i="4" s="1"/>
  <c r="AA39" i="4" a="1"/>
  <c r="AA39" i="4" s="1"/>
  <c r="Z39" i="4" a="1"/>
  <c r="Z39" i="4" s="1"/>
  <c r="Y39" i="4" a="1"/>
  <c r="Y39" i="4" s="1"/>
  <c r="X39" i="4" a="1"/>
  <c r="X39" i="4" s="1"/>
  <c r="W39" i="4" a="1"/>
  <c r="W39" i="4" s="1"/>
  <c r="V39" i="4" a="1"/>
  <c r="V39" i="4" s="1"/>
  <c r="U39" i="4" a="1"/>
  <c r="U39" i="4" s="1"/>
  <c r="T39" i="4" a="1"/>
  <c r="T39" i="4" s="1"/>
  <c r="S39" i="4" a="1"/>
  <c r="S39" i="4" s="1"/>
  <c r="R39" i="4" a="1"/>
  <c r="R39" i="4" s="1"/>
  <c r="Q39" i="4" a="1"/>
  <c r="Q39" i="4" s="1"/>
  <c r="P39" i="4" a="1"/>
  <c r="P39" i="4" s="1"/>
  <c r="O39" i="4" a="1"/>
  <c r="O39" i="4" s="1"/>
  <c r="N39" i="4" a="1"/>
  <c r="N39" i="4" s="1"/>
  <c r="M39" i="4" a="1"/>
  <c r="M39" i="4" s="1"/>
  <c r="L39" i="4" a="1"/>
  <c r="L39" i="4" s="1"/>
  <c r="K39" i="4" a="1"/>
  <c r="K39" i="4" s="1"/>
  <c r="J39" i="4" a="1"/>
  <c r="J39" i="4" s="1"/>
  <c r="I39" i="4" a="1"/>
  <c r="I39" i="4" s="1"/>
  <c r="H39" i="4" a="1"/>
  <c r="H39" i="4" s="1"/>
  <c r="G39" i="4" a="1"/>
  <c r="G39" i="4" s="1"/>
  <c r="F39" i="4" a="1"/>
  <c r="F39" i="4" s="1"/>
  <c r="E39" i="4" a="1"/>
  <c r="E39" i="4" s="1"/>
  <c r="D39" i="4" a="1"/>
  <c r="D39" i="4" s="1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AD39" i="5" a="1"/>
  <c r="AD39" i="5" s="1"/>
  <c r="AC39" i="5" a="1"/>
  <c r="AC39" i="5" s="1"/>
  <c r="AB39" i="5" a="1"/>
  <c r="AB39" i="5" s="1"/>
  <c r="AA39" i="5" a="1"/>
  <c r="AA39" i="5" s="1"/>
  <c r="Z39" i="5" a="1"/>
  <c r="Z39" i="5" s="1"/>
  <c r="Y39" i="5" a="1"/>
  <c r="Y39" i="5" s="1"/>
  <c r="X39" i="5" a="1"/>
  <c r="X39" i="5" s="1"/>
  <c r="W39" i="5" a="1"/>
  <c r="W39" i="5" s="1"/>
  <c r="V39" i="5" a="1"/>
  <c r="V39" i="5" s="1"/>
  <c r="U39" i="5" a="1"/>
  <c r="U39" i="5" s="1"/>
  <c r="T39" i="5" a="1"/>
  <c r="T39" i="5" s="1"/>
  <c r="S39" i="5" a="1"/>
  <c r="S39" i="5" s="1"/>
  <c r="R39" i="5" a="1"/>
  <c r="R39" i="5" s="1"/>
  <c r="Q39" i="5" a="1"/>
  <c r="Q39" i="5" s="1"/>
  <c r="P39" i="5" a="1"/>
  <c r="P39" i="5" s="1"/>
  <c r="O39" i="5" a="1"/>
  <c r="O39" i="5" s="1"/>
  <c r="N39" i="5" a="1"/>
  <c r="N39" i="5" s="1"/>
  <c r="M39" i="5" a="1"/>
  <c r="M39" i="5" s="1"/>
  <c r="L39" i="5" a="1"/>
  <c r="L39" i="5" s="1"/>
  <c r="K39" i="5" a="1"/>
  <c r="K39" i="5" s="1"/>
  <c r="J39" i="5" a="1"/>
  <c r="J39" i="5" s="1"/>
  <c r="I39" i="5" a="1"/>
  <c r="I39" i="5" s="1"/>
  <c r="H39" i="5" a="1"/>
  <c r="H39" i="5" s="1"/>
  <c r="G39" i="5" a="1"/>
  <c r="G39" i="5" s="1"/>
  <c r="F39" i="5" a="1"/>
  <c r="F39" i="5" s="1"/>
  <c r="E39" i="5" a="1"/>
  <c r="E39" i="5" s="1"/>
  <c r="D39" i="5" a="1"/>
  <c r="D39" i="5" s="1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AD39" i="6" a="1"/>
  <c r="AD39" i="6" s="1"/>
  <c r="AC39" i="6" a="1"/>
  <c r="AC39" i="6" s="1"/>
  <c r="AB39" i="6" a="1"/>
  <c r="AB39" i="6" s="1"/>
  <c r="AA39" i="6" a="1"/>
  <c r="AA39" i="6" s="1"/>
  <c r="Z39" i="6" a="1"/>
  <c r="Z39" i="6" s="1"/>
  <c r="Y39" i="6" a="1"/>
  <c r="Y39" i="6" s="1"/>
  <c r="X39" i="6" a="1"/>
  <c r="X39" i="6" s="1"/>
  <c r="W39" i="6" a="1"/>
  <c r="W39" i="6" s="1"/>
  <c r="V39" i="6" a="1"/>
  <c r="V39" i="6" s="1"/>
  <c r="U39" i="6" a="1"/>
  <c r="U39" i="6" s="1"/>
  <c r="T39" i="6" a="1"/>
  <c r="T39" i="6" s="1"/>
  <c r="S39" i="6" a="1"/>
  <c r="S39" i="6" s="1"/>
  <c r="R39" i="6" a="1"/>
  <c r="R39" i="6" s="1"/>
  <c r="Q39" i="6" a="1"/>
  <c r="Q39" i="6" s="1"/>
  <c r="P39" i="6" a="1"/>
  <c r="P39" i="6" s="1"/>
  <c r="O39" i="6" a="1"/>
  <c r="O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AD39" i="7" a="1"/>
  <c r="AD39" i="7" s="1"/>
  <c r="AC39" i="7" a="1"/>
  <c r="AC39" i="7" s="1"/>
  <c r="AB39" i="7" a="1"/>
  <c r="AB39" i="7" s="1"/>
  <c r="AA39" i="7" a="1"/>
  <c r="AA39" i="7" s="1"/>
  <c r="Z39" i="7" a="1"/>
  <c r="Z39" i="7" s="1"/>
  <c r="Y39" i="7" a="1"/>
  <c r="Y39" i="7" s="1"/>
  <c r="X39" i="7" a="1"/>
  <c r="X39" i="7" s="1"/>
  <c r="W39" i="7" a="1"/>
  <c r="W39" i="7" s="1"/>
  <c r="V39" i="7" a="1"/>
  <c r="V39" i="7" s="1"/>
  <c r="U39" i="7" a="1"/>
  <c r="U39" i="7" s="1"/>
  <c r="T39" i="7" a="1"/>
  <c r="T39" i="7" s="1"/>
  <c r="S39" i="7" a="1"/>
  <c r="S39" i="7" s="1"/>
  <c r="R39" i="7" a="1"/>
  <c r="R39" i="7" s="1"/>
  <c r="Q39" i="7" a="1"/>
  <c r="Q39" i="7" s="1"/>
  <c r="P39" i="7" a="1"/>
  <c r="P39" i="7" s="1"/>
  <c r="O39" i="7" a="1"/>
  <c r="O39" i="7" s="1"/>
  <c r="N39" i="7" a="1"/>
  <c r="N39" i="7" s="1"/>
  <c r="M39" i="7" a="1"/>
  <c r="M39" i="7" s="1"/>
  <c r="L39" i="7" a="1"/>
  <c r="L39" i="7" s="1"/>
  <c r="K39" i="7" a="1"/>
  <c r="K39" i="7" s="1"/>
  <c r="J39" i="7" a="1"/>
  <c r="J39" i="7" s="1"/>
  <c r="I39" i="7" a="1"/>
  <c r="I39" i="7" s="1"/>
  <c r="H39" i="7" a="1"/>
  <c r="H39" i="7" s="1"/>
  <c r="G39" i="7" a="1"/>
  <c r="G39" i="7" s="1"/>
  <c r="F39" i="7" a="1"/>
  <c r="F39" i="7" s="1"/>
  <c r="E39" i="7" a="1"/>
  <c r="E39" i="7" s="1"/>
  <c r="D39" i="7" a="1"/>
  <c r="D39" i="7" s="1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AD39" i="8" a="1"/>
  <c r="AD39" i="8" s="1"/>
  <c r="AC39" i="8" a="1"/>
  <c r="AC39" i="8" s="1"/>
  <c r="AB39" i="8" a="1"/>
  <c r="AB39" i="8" s="1"/>
  <c r="AA39" i="8" a="1"/>
  <c r="AA39" i="8" s="1"/>
  <c r="Z39" i="8" a="1"/>
  <c r="Z39" i="8" s="1"/>
  <c r="Y39" i="8" a="1"/>
  <c r="Y39" i="8" s="1"/>
  <c r="X39" i="8" a="1"/>
  <c r="X39" i="8" s="1"/>
  <c r="W39" i="8" a="1"/>
  <c r="W39" i="8" s="1"/>
  <c r="V39" i="8" a="1"/>
  <c r="V39" i="8" s="1"/>
  <c r="U39" i="8" a="1"/>
  <c r="U39" i="8" s="1"/>
  <c r="T39" i="8" a="1"/>
  <c r="T39" i="8" s="1"/>
  <c r="S39" i="8" a="1"/>
  <c r="S39" i="8" s="1"/>
  <c r="R39" i="8" a="1"/>
  <c r="R39" i="8" s="1"/>
  <c r="Q39" i="8" a="1"/>
  <c r="Q39" i="8" s="1"/>
  <c r="P39" i="8" a="1"/>
  <c r="P39" i="8" s="1"/>
  <c r="O39" i="8" a="1"/>
  <c r="O39" i="8" s="1"/>
  <c r="N39" i="8" a="1"/>
  <c r="N39" i="8" s="1"/>
  <c r="M39" i="8" a="1"/>
  <c r="M39" i="8" s="1"/>
  <c r="L39" i="8" a="1"/>
  <c r="L39" i="8" s="1"/>
  <c r="K39" i="8" a="1"/>
  <c r="K39" i="8" s="1"/>
  <c r="J39" i="8" a="1"/>
  <c r="J39" i="8" s="1"/>
  <c r="I39" i="8" a="1"/>
  <c r="I39" i="8" s="1"/>
  <c r="H39" i="8" a="1"/>
  <c r="H39" i="8" s="1"/>
  <c r="G39" i="8" a="1"/>
  <c r="G39" i="8" s="1"/>
  <c r="F39" i="8" a="1"/>
  <c r="F39" i="8" s="1"/>
  <c r="E39" i="8" a="1"/>
  <c r="E39" i="8" s="1"/>
  <c r="D39" i="8" a="1"/>
  <c r="D39" i="8" s="1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AD39" i="9" a="1"/>
  <c r="AD39" i="9" s="1"/>
  <c r="AC39" i="9" a="1"/>
  <c r="AC39" i="9" s="1"/>
  <c r="AB39" i="9" a="1"/>
  <c r="AB39" i="9" s="1"/>
  <c r="AA39" i="9" a="1"/>
  <c r="AA39" i="9" s="1"/>
  <c r="Z39" i="9" a="1"/>
  <c r="Z39" i="9" s="1"/>
  <c r="Y39" i="9" a="1"/>
  <c r="Y39" i="9" s="1"/>
  <c r="X39" i="9" a="1"/>
  <c r="X39" i="9" s="1"/>
  <c r="W39" i="9" a="1"/>
  <c r="W39" i="9" s="1"/>
  <c r="V39" i="9" a="1"/>
  <c r="V39" i="9" s="1"/>
  <c r="U39" i="9" a="1"/>
  <c r="U39" i="9" s="1"/>
  <c r="T39" i="9" a="1"/>
  <c r="T39" i="9" s="1"/>
  <c r="S39" i="9" a="1"/>
  <c r="S39" i="9" s="1"/>
  <c r="R39" i="9" a="1"/>
  <c r="R39" i="9" s="1"/>
  <c r="Q39" i="9" a="1"/>
  <c r="Q39" i="9" s="1"/>
  <c r="P39" i="9" a="1"/>
  <c r="P39" i="9" s="1"/>
  <c r="O39" i="9" a="1"/>
  <c r="O39" i="9" s="1"/>
  <c r="N39" i="9" a="1"/>
  <c r="N39" i="9" s="1"/>
  <c r="M39" i="9" a="1"/>
  <c r="M39" i="9" s="1"/>
  <c r="L39" i="9" a="1"/>
  <c r="L39" i="9" s="1"/>
  <c r="K39" i="9" a="1"/>
  <c r="K39" i="9" s="1"/>
  <c r="J39" i="9" a="1"/>
  <c r="J39" i="9" s="1"/>
  <c r="I39" i="9" a="1"/>
  <c r="I39" i="9" s="1"/>
  <c r="H39" i="9" a="1"/>
  <c r="H39" i="9" s="1"/>
  <c r="G39" i="9" a="1"/>
  <c r="G39" i="9" s="1"/>
  <c r="F39" i="9" a="1"/>
  <c r="F39" i="9" s="1"/>
  <c r="E39" i="9" a="1"/>
  <c r="E39" i="9" s="1"/>
  <c r="D39" i="9" a="1"/>
  <c r="D39" i="9" s="1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AD39" i="10" a="1"/>
  <c r="AD39" i="10" s="1"/>
  <c r="AC39" i="10" a="1"/>
  <c r="AC39" i="10" s="1"/>
  <c r="AB39" i="10" a="1"/>
  <c r="AB39" i="10" s="1"/>
  <c r="AA39" i="10" a="1"/>
  <c r="AA39" i="10" s="1"/>
  <c r="Z39" i="10" a="1"/>
  <c r="Z39" i="10" s="1"/>
  <c r="Y39" i="10" a="1"/>
  <c r="Y39" i="10" s="1"/>
  <c r="X39" i="10" a="1"/>
  <c r="X39" i="10" s="1"/>
  <c r="W39" i="10" a="1"/>
  <c r="W39" i="10" s="1"/>
  <c r="V39" i="10" a="1"/>
  <c r="V39" i="10" s="1"/>
  <c r="U39" i="10" a="1"/>
  <c r="U39" i="10" s="1"/>
  <c r="T39" i="10" a="1"/>
  <c r="T39" i="10" s="1"/>
  <c r="S39" i="10" a="1"/>
  <c r="S39" i="10" s="1"/>
  <c r="R39" i="10" a="1"/>
  <c r="R39" i="10" s="1"/>
  <c r="Q39" i="10" a="1"/>
  <c r="Q39" i="10" s="1"/>
  <c r="P39" i="10" a="1"/>
  <c r="P39" i="10" s="1"/>
  <c r="O39" i="10" a="1"/>
  <c r="O39" i="10" s="1"/>
  <c r="N39" i="10" a="1"/>
  <c r="N39" i="10" s="1"/>
  <c r="M39" i="10" a="1"/>
  <c r="M39" i="10" s="1"/>
  <c r="L39" i="10" a="1"/>
  <c r="L39" i="10" s="1"/>
  <c r="K39" i="10" a="1"/>
  <c r="K39" i="10" s="1"/>
  <c r="J39" i="10" a="1"/>
  <c r="J39" i="10" s="1"/>
  <c r="I39" i="10" a="1"/>
  <c r="I39" i="10" s="1"/>
  <c r="H39" i="10" a="1"/>
  <c r="H39" i="10" s="1"/>
  <c r="G39" i="10" a="1"/>
  <c r="G39" i="10" s="1"/>
  <c r="F39" i="10" a="1"/>
  <c r="F39" i="10" s="1"/>
  <c r="E39" i="10" a="1"/>
  <c r="E39" i="10" s="1"/>
  <c r="D39" i="10" a="1"/>
  <c r="D39" i="10" s="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AD39" i="11" a="1"/>
  <c r="AD39" i="11" s="1"/>
  <c r="AC39" i="11" a="1"/>
  <c r="AC39" i="11" s="1"/>
  <c r="AB39" i="11" a="1"/>
  <c r="AB39" i="11" s="1"/>
  <c r="AA39" i="11" a="1"/>
  <c r="AA39" i="11" s="1"/>
  <c r="Z39" i="11" a="1"/>
  <c r="Z39" i="11" s="1"/>
  <c r="Y39" i="11" a="1"/>
  <c r="Y39" i="11" s="1"/>
  <c r="X39" i="11" a="1"/>
  <c r="X39" i="11" s="1"/>
  <c r="W39" i="11" a="1"/>
  <c r="W39" i="11" s="1"/>
  <c r="V39" i="11" a="1"/>
  <c r="V39" i="11" s="1"/>
  <c r="U39" i="11" a="1"/>
  <c r="U39" i="11" s="1"/>
  <c r="T39" i="11" a="1"/>
  <c r="T39" i="11" s="1"/>
  <c r="S39" i="11" a="1"/>
  <c r="S39" i="11" s="1"/>
  <c r="R39" i="11" a="1"/>
  <c r="R39" i="11" s="1"/>
  <c r="Q39" i="11" a="1"/>
  <c r="Q39" i="11" s="1"/>
  <c r="P39" i="11" a="1"/>
  <c r="P39" i="11" s="1"/>
  <c r="O39" i="11" a="1"/>
  <c r="O39" i="11" s="1"/>
  <c r="N39" i="11" a="1"/>
  <c r="N39" i="11" s="1"/>
  <c r="M39" i="11" a="1"/>
  <c r="M39" i="11" s="1"/>
  <c r="L39" i="11" a="1"/>
  <c r="L39" i="11" s="1"/>
  <c r="K39" i="11" a="1"/>
  <c r="K39" i="11" s="1"/>
  <c r="J39" i="11" a="1"/>
  <c r="J39" i="11" s="1"/>
  <c r="I39" i="11" a="1"/>
  <c r="I39" i="11" s="1"/>
  <c r="H39" i="11" a="1"/>
  <c r="H39" i="11" s="1"/>
  <c r="G39" i="11" a="1"/>
  <c r="G39" i="11" s="1"/>
  <c r="F39" i="11" a="1"/>
  <c r="F39" i="11" s="1"/>
  <c r="E39" i="11" a="1"/>
  <c r="E39" i="11" s="1"/>
  <c r="D39" i="11" a="1"/>
  <c r="D39" i="11" s="1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AD39" i="12" a="1"/>
  <c r="AD39" i="12" s="1"/>
  <c r="AC39" i="12" a="1"/>
  <c r="AC39" i="12" s="1"/>
  <c r="AB39" i="12" a="1"/>
  <c r="AB39" i="12" s="1"/>
  <c r="AA39" i="12" a="1"/>
  <c r="AA39" i="12" s="1"/>
  <c r="Z39" i="12" a="1"/>
  <c r="Z39" i="12" s="1"/>
  <c r="Y39" i="12" a="1"/>
  <c r="Y39" i="12" s="1"/>
  <c r="X39" i="12" a="1"/>
  <c r="X39" i="12" s="1"/>
  <c r="W39" i="12" a="1"/>
  <c r="W39" i="12" s="1"/>
  <c r="V39" i="12" a="1"/>
  <c r="V39" i="12" s="1"/>
  <c r="U39" i="12" a="1"/>
  <c r="U39" i="12" s="1"/>
  <c r="T39" i="12" a="1"/>
  <c r="T39" i="12" s="1"/>
  <c r="S39" i="12" a="1"/>
  <c r="S39" i="12" s="1"/>
  <c r="R39" i="12" a="1"/>
  <c r="R39" i="12" s="1"/>
  <c r="Q39" i="12" a="1"/>
  <c r="Q39" i="12" s="1"/>
  <c r="P39" i="12" a="1"/>
  <c r="P39" i="12" s="1"/>
  <c r="O39" i="12" a="1"/>
  <c r="O39" i="12" s="1"/>
  <c r="N39" i="12" a="1"/>
  <c r="N39" i="12" s="1"/>
  <c r="M39" i="12" a="1"/>
  <c r="M39" i="12" s="1"/>
  <c r="L39" i="12" a="1"/>
  <c r="L39" i="12" s="1"/>
  <c r="K39" i="12" a="1"/>
  <c r="K39" i="12" s="1"/>
  <c r="J39" i="12" a="1"/>
  <c r="J39" i="12" s="1"/>
  <c r="I39" i="12" a="1"/>
  <c r="I39" i="12" s="1"/>
  <c r="H39" i="12" a="1"/>
  <c r="H39" i="12" s="1"/>
  <c r="G39" i="12" a="1"/>
  <c r="G39" i="12" s="1"/>
  <c r="F39" i="12" a="1"/>
  <c r="F39" i="12" s="1"/>
  <c r="E39" i="12" a="1"/>
  <c r="E39" i="12" s="1"/>
  <c r="D39" i="12" a="1"/>
  <c r="D39" i="12" s="1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AD39" i="13" a="1"/>
  <c r="AD39" i="13" s="1"/>
  <c r="AC39" i="13" a="1"/>
  <c r="AC39" i="13" s="1"/>
  <c r="AB39" i="13" a="1"/>
  <c r="AB39" i="13" s="1"/>
  <c r="AA39" i="13" a="1"/>
  <c r="AA39" i="13" s="1"/>
  <c r="Z39" i="13" a="1"/>
  <c r="Z39" i="13" s="1"/>
  <c r="Y39" i="13" a="1"/>
  <c r="Y39" i="13" s="1"/>
  <c r="X39" i="13" a="1"/>
  <c r="X39" i="13" s="1"/>
  <c r="W39" i="13" a="1"/>
  <c r="W39" i="13" s="1"/>
  <c r="V39" i="13" a="1"/>
  <c r="V39" i="13" s="1"/>
  <c r="U39" i="13" a="1"/>
  <c r="U39" i="13" s="1"/>
  <c r="T39" i="13" a="1"/>
  <c r="T39" i="13" s="1"/>
  <c r="S39" i="13" a="1"/>
  <c r="S39" i="13" s="1"/>
  <c r="R39" i="13" a="1"/>
  <c r="R39" i="13" s="1"/>
  <c r="Q39" i="13" a="1"/>
  <c r="Q39" i="13" s="1"/>
  <c r="P39" i="13" a="1"/>
  <c r="P39" i="13" s="1"/>
  <c r="O39" i="13" a="1"/>
  <c r="O39" i="13" s="1"/>
  <c r="N39" i="13" a="1"/>
  <c r="N39" i="13" s="1"/>
  <c r="M39" i="13" a="1"/>
  <c r="M39" i="13" s="1"/>
  <c r="L39" i="13" a="1"/>
  <c r="L39" i="13" s="1"/>
  <c r="K39" i="13" a="1"/>
  <c r="K39" i="13" s="1"/>
  <c r="J39" i="13" a="1"/>
  <c r="J39" i="13" s="1"/>
  <c r="I39" i="13" a="1"/>
  <c r="I39" i="13" s="1"/>
  <c r="H39" i="13" a="1"/>
  <c r="H39" i="13" s="1"/>
  <c r="G39" i="13" a="1"/>
  <c r="G39" i="13" s="1"/>
  <c r="F39" i="13" a="1"/>
  <c r="F39" i="13" s="1"/>
  <c r="E39" i="13" a="1"/>
  <c r="E39" i="13" s="1"/>
  <c r="D39" i="13" a="1"/>
  <c r="D39" i="13" s="1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AD39" i="14" a="1"/>
  <c r="AD39" i="14" s="1"/>
  <c r="AC39" i="14" a="1"/>
  <c r="AC39" i="14" s="1"/>
  <c r="AB39" i="14" a="1"/>
  <c r="AB39" i="14" s="1"/>
  <c r="AA39" i="14" a="1"/>
  <c r="AA39" i="14" s="1"/>
  <c r="Z39" i="14" a="1"/>
  <c r="Z39" i="14" s="1"/>
  <c r="Y39" i="14" a="1"/>
  <c r="Y39" i="14" s="1"/>
  <c r="X39" i="14" a="1"/>
  <c r="X39" i="14" s="1"/>
  <c r="W39" i="14" a="1"/>
  <c r="W39" i="14" s="1"/>
  <c r="V39" i="14" a="1"/>
  <c r="V39" i="14" s="1"/>
  <c r="U39" i="14" a="1"/>
  <c r="U39" i="14" s="1"/>
  <c r="T39" i="14" a="1"/>
  <c r="T39" i="14" s="1"/>
  <c r="S39" i="14" a="1"/>
  <c r="S39" i="14" s="1"/>
  <c r="R39" i="14" a="1"/>
  <c r="R39" i="14" s="1"/>
  <c r="Q39" i="14" a="1"/>
  <c r="Q39" i="14" s="1"/>
  <c r="P39" i="14" a="1"/>
  <c r="P39" i="14" s="1"/>
  <c r="O39" i="14" a="1"/>
  <c r="O39" i="14" s="1"/>
  <c r="N39" i="14" a="1"/>
  <c r="N39" i="14" s="1"/>
  <c r="M39" i="14" a="1"/>
  <c r="M39" i="14" s="1"/>
  <c r="L39" i="14" a="1"/>
  <c r="L39" i="14" s="1"/>
  <c r="K39" i="14" a="1"/>
  <c r="K39" i="14" s="1"/>
  <c r="J39" i="14" a="1"/>
  <c r="J39" i="14" s="1"/>
  <c r="I39" i="14" a="1"/>
  <c r="I39" i="14" s="1"/>
  <c r="H39" i="14" a="1"/>
  <c r="H39" i="14" s="1"/>
  <c r="G39" i="14" a="1"/>
  <c r="G39" i="14" s="1"/>
  <c r="F39" i="14" a="1"/>
  <c r="F39" i="14" s="1"/>
  <c r="E39" i="14" a="1"/>
  <c r="E39" i="14" s="1"/>
  <c r="D39" i="14" a="1"/>
  <c r="D39" i="14" s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AD39" i="1" a="1"/>
  <c r="AD39" i="1" s="1"/>
  <c r="AC39" i="1" a="1"/>
  <c r="AC39" i="1" s="1"/>
  <c r="AB39" i="1" a="1"/>
  <c r="AB39" i="1" s="1"/>
  <c r="AA39" i="1" a="1"/>
  <c r="AA39" i="1" s="1"/>
  <c r="Z39" i="1" a="1"/>
  <c r="Z39" i="1" s="1"/>
  <c r="Y39" i="1" a="1"/>
  <c r="Y39" i="1" s="1"/>
  <c r="X39" i="1" a="1"/>
  <c r="X39" i="1" s="1"/>
  <c r="W39" i="1" a="1"/>
  <c r="W39" i="1" s="1"/>
  <c r="V39" i="1" a="1"/>
  <c r="V39" i="1" s="1"/>
  <c r="U39" i="1" a="1"/>
  <c r="U39" i="1" s="1"/>
  <c r="T39" i="1" a="1"/>
  <c r="T39" i="1" s="1"/>
  <c r="S39" i="1" a="1"/>
  <c r="S39" i="1" s="1"/>
  <c r="R39" i="1" a="1"/>
  <c r="R39" i="1" s="1"/>
  <c r="Q39" i="1" a="1"/>
  <c r="Q39" i="1" s="1"/>
  <c r="P39" i="1" a="1"/>
  <c r="P39" i="1" s="1"/>
  <c r="O39" i="1" a="1"/>
  <c r="O39" i="1" s="1"/>
  <c r="N39" i="1" a="1"/>
  <c r="N39" i="1" s="1"/>
  <c r="M39" i="1" a="1"/>
  <c r="M39" i="1" s="1"/>
  <c r="L39" i="1" a="1"/>
  <c r="L39" i="1" s="1"/>
  <c r="K39" i="1" a="1"/>
  <c r="K39" i="1" s="1"/>
  <c r="J39" i="1" a="1"/>
  <c r="J39" i="1" s="1"/>
  <c r="I39" i="1" a="1"/>
  <c r="I39" i="1" s="1"/>
  <c r="H39" i="1" a="1"/>
  <c r="H39" i="1" s="1"/>
  <c r="G39" i="1" a="1"/>
  <c r="G39" i="1" s="1"/>
  <c r="F39" i="1" a="1"/>
  <c r="F39" i="1" s="1"/>
  <c r="E39" i="1" a="1"/>
  <c r="E39" i="1" s="1"/>
  <c r="D39" i="1" a="1"/>
  <c r="D39" i="1" s="1"/>
  <c r="AE39" i="3" l="1" a="1"/>
  <c r="AE39" i="3" s="1"/>
  <c r="AE39" i="7" a="1"/>
  <c r="AE39" i="7" s="1"/>
  <c r="AE39" i="5" a="1"/>
  <c r="AE39" i="5" s="1"/>
  <c r="AE39" i="4" a="1"/>
  <c r="AE39" i="4" s="1"/>
  <c r="AE39" i="1" a="1"/>
  <c r="AE39" i="1" s="1"/>
  <c r="AE39" i="12" a="1"/>
  <c r="AE39" i="12" s="1"/>
  <c r="AE39" i="13" a="1"/>
  <c r="AE39" i="13" s="1"/>
  <c r="AE39" i="6" a="1"/>
  <c r="AE39" i="6" s="1"/>
  <c r="AE39" i="11" a="1"/>
  <c r="AE39" i="11" s="1"/>
  <c r="AE39" i="8" a="1"/>
  <c r="AE39" i="8" s="1"/>
  <c r="AE39" i="14" a="1"/>
  <c r="AE39" i="14" s="1"/>
  <c r="AE39" i="9" a="1"/>
  <c r="AE39" i="9" s="1"/>
  <c r="AE39" i="10" a="1"/>
  <c r="AE39" i="10" s="1"/>
  <c r="AE39" i="2" a="1"/>
  <c r="AE3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<sst xmlns="http://schemas.openxmlformats.org/spreadsheetml/2006/main" count="2198" uniqueCount="78">
  <si>
    <t>units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</si>
  <si>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</si>
  <si>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</si>
  <si>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</si>
  <si>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</si>
  <si>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</si>
  <si>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</si>
  <si>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</si>
  <si>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</si>
  <si>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</si>
  <si>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</si>
  <si>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</si>
  <si>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</si>
  <si>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</si>
  <si>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</si>
  <si>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</si>
  <si>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</si>
  <si>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</si>
  <si>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</si>
  <si>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</si>
  <si>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</si>
  <si>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</si>
  <si>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</si>
  <si>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</si>
  <si>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</si>
  <si>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</si>
  <si>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</si>
  <si>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</si>
  <si>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Generation by Fuel Type</t>
  </si>
  <si>
    <t>Coal</t>
  </si>
  <si>
    <t>BkWh</t>
  </si>
  <si>
    <t>Petroleum</t>
  </si>
  <si>
    <t>Natural Gas</t>
  </si>
  <si>
    <t>Nuclear</t>
  </si>
  <si>
    <t>Pumped Storage and Other</t>
  </si>
  <si>
    <t>Hydrogen</t>
  </si>
  <si>
    <t>Conventional Hydroelectric Power</t>
  </si>
  <si>
    <t>Geothermal</t>
  </si>
  <si>
    <t>Biogenic Municipal Waste</t>
  </si>
  <si>
    <t>Wood and Other Biomass</t>
  </si>
  <si>
    <t>Solar Thermal</t>
  </si>
  <si>
    <t>Solar Photovoltaic</t>
  </si>
  <si>
    <t>Onshore Wind</t>
  </si>
  <si>
    <t>Offshore Wind</t>
  </si>
  <si>
    <t>Distributed Generation</t>
  </si>
  <si>
    <t>Total Generation</t>
  </si>
  <si>
    <t>Residential</t>
  </si>
  <si>
    <t>2024 cents/kWh</t>
  </si>
  <si>
    <t>Commercial</t>
  </si>
  <si>
    <t>Industrial</t>
  </si>
  <si>
    <t>Transportation</t>
  </si>
  <si>
    <t>All Sectors Average</t>
  </si>
  <si>
    <t>nom cents/kWh</t>
  </si>
  <si>
    <t>Generation</t>
  </si>
  <si>
    <t>Transmission</t>
  </si>
  <si>
    <t>Distribution</t>
  </si>
  <si>
    <t>Emissions from the Electric Power Sector</t>
  </si>
  <si>
    <t>Total Carbon (million short tons)</t>
  </si>
  <si>
    <t>MMst</t>
  </si>
  <si>
    <t>Carbon Dioxide (million short tons)</t>
  </si>
  <si>
    <t>Sulfur Dioxide (million short tons)</t>
  </si>
  <si>
    <t>Nitrogen Oxide (million short tons)</t>
  </si>
  <si>
    <t>Mercury (short tons)</t>
  </si>
  <si>
    <t>st</t>
  </si>
  <si>
    <t>Emissions from the Electric Power Sector per kWh</t>
  </si>
  <si>
    <t xml:space="preserve">Total Carbon </t>
  </si>
  <si>
    <t>Carbon Dioxide</t>
  </si>
  <si>
    <t>Sulfur Dioxide</t>
  </si>
  <si>
    <t>Nitrogen Oxide</t>
  </si>
  <si>
    <t xml:space="preserve">Mercury </t>
  </si>
  <si>
    <t>g/kWh</t>
  </si>
  <si>
    <t>s</t>
  </si>
  <si>
    <t>Category</t>
  </si>
  <si>
    <t>Description</t>
  </si>
  <si>
    <t>End-Use Prices - 2024 Cents/kWh</t>
  </si>
  <si>
    <t>End-Use Prices - Nominal Cents/kWh</t>
  </si>
  <si>
    <t>Prices by Service Category  - 2024 Cents/kWh</t>
  </si>
  <si>
    <t>Prices by Service Category - Nominal Cents/kWh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</si>
</sst>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165" fontId="0" fillId="0" borderId="0" xfId="0" applyNumberFormat="1"/>
    <xf numFmtId="11" fontId="0" fillId="0" borderId="0" xfId="0" applyNumberFormat="1"/>
    <xf numFmtId="9" fontId="0" fillId="0" borderId="0" xfId="1" applyFont="1"/>
    <xf numFmtId="0" fontId="4" fillId="0" borderId="1" xfId="0" applyFont="1" applyBorder="1"/>
    <xf numFmtId="0" fontId="0" fillId="0" borderId="0" xfId="0" applyFo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1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11.428808</v>
      </c>
      <c r="E2">
        <v>10.821020000000001</v>
      </c>
      <c r="F2">
        <v>1.74963</v>
      </c>
      <c r="G2">
        <v>1.750159</v>
      </c>
      <c r="H2">
        <v>2.0029439999999998</v>
      </c>
      <c r="I2">
        <v>2.0420379999999998</v>
      </c>
      <c r="J2">
        <v>0.63957699999999995</v>
      </c>
      <c r="K2">
        <v>0.64230699999999996</v>
      </c>
      <c r="L2">
        <v>9.5340000000000008E-3</v>
      </c>
      <c r="M2">
        <v>9.5340000000000008E-3</v>
      </c>
      <c r="N2">
        <v>4.3670000000000002E-3</v>
      </c>
      <c r="O2">
        <v>2.3180000000000002E-3</v>
      </c>
      <c r="P2">
        <v>2.04E-4</v>
      </c>
      <c r="Q2">
        <v>0</v>
      </c>
      <c r="R2">
        <v>3.362E-3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0.34431400000000001</v>
      </c>
      <c r="E3">
        <v>0.342281</v>
      </c>
      <c r="F3">
        <v>0.30364099999999999</v>
      </c>
      <c r="G3">
        <v>0.26216600000000001</v>
      </c>
      <c r="H3">
        <v>0.190224</v>
      </c>
      <c r="I3">
        <v>0.171684</v>
      </c>
      <c r="J3">
        <v>0.16058800000000001</v>
      </c>
      <c r="K3">
        <v>0.15657699999999999</v>
      </c>
      <c r="L3">
        <v>0.143037</v>
      </c>
      <c r="M3">
        <v>0.10956200000000001</v>
      </c>
      <c r="N3">
        <v>0.10956200000000001</v>
      </c>
      <c r="O3">
        <v>9.2303999999999997E-2</v>
      </c>
      <c r="P3">
        <v>9.2303999999999997E-2</v>
      </c>
      <c r="Q3">
        <v>4.3410999999999998E-2</v>
      </c>
      <c r="R3">
        <v>4.3410999999999998E-2</v>
      </c>
      <c r="S3">
        <v>4.3410999999999998E-2</v>
      </c>
      <c r="T3">
        <v>4.3410999999999998E-2</v>
      </c>
      <c r="U3">
        <v>4.3410999999999998E-2</v>
      </c>
      <c r="V3">
        <v>1.967E-3</v>
      </c>
      <c r="W3">
        <v>1.967E-3</v>
      </c>
      <c r="X3">
        <v>1.967E-3</v>
      </c>
      <c r="Y3">
        <v>1.967E-3</v>
      </c>
      <c r="Z3">
        <v>0</v>
      </c>
      <c r="AA3">
        <v>0</v>
      </c>
      <c r="AB3">
        <v>0</v>
      </c>
      <c r="AC3">
        <v>0</v>
      </c>
      <c r="AD3">
        <v>0</v>
      </c>
      <c r="AE3" s="6">
        <v>-1</v>
      </c>
    </row>
    <row r="4" spans="1:31" x14ac:dyDescent="0.25">
      <c r="A4" t="s">
        <v>28</v>
      </c>
      <c r="B4" t="s">
        <v>32</v>
      </c>
      <c r="C4" t="s">
        <v>30</v>
      </c>
      <c r="D4">
        <v>181.66360499999999</v>
      </c>
      <c r="E4">
        <v>179.39016699999999</v>
      </c>
      <c r="F4">
        <v>186.01267999999999</v>
      </c>
      <c r="G4">
        <v>191.631271</v>
      </c>
      <c r="H4">
        <v>192.29092399999999</v>
      </c>
      <c r="I4">
        <v>188.607529</v>
      </c>
      <c r="J4">
        <v>181.13424699999999</v>
      </c>
      <c r="K4">
        <v>169.177673</v>
      </c>
      <c r="L4">
        <v>176.03568999999999</v>
      </c>
      <c r="M4">
        <v>170.267166</v>
      </c>
      <c r="N4">
        <v>167.78076200000001</v>
      </c>
      <c r="O4">
        <v>167.232178</v>
      </c>
      <c r="P4">
        <v>166.102844</v>
      </c>
      <c r="Q4">
        <v>162.37429800000001</v>
      </c>
      <c r="R4">
        <v>164.856415</v>
      </c>
      <c r="S4">
        <v>164.387787</v>
      </c>
      <c r="T4">
        <v>165.548889</v>
      </c>
      <c r="U4">
        <v>170.27262899999999</v>
      </c>
      <c r="V4">
        <v>171.17756700000001</v>
      </c>
      <c r="W4">
        <v>173.59326200000001</v>
      </c>
      <c r="X4">
        <v>174.42411799999999</v>
      </c>
      <c r="Y4">
        <v>175.74934400000001</v>
      </c>
      <c r="Z4">
        <v>178.49529999999999</v>
      </c>
      <c r="AA4">
        <v>181.57989499999999</v>
      </c>
      <c r="AB4">
        <v>179.193161</v>
      </c>
      <c r="AC4">
        <v>182.47941599999999</v>
      </c>
      <c r="AD4">
        <v>185.66494800000001</v>
      </c>
      <c r="AE4" s="6">
        <v>2.2026112495125372E-2</v>
      </c>
    </row>
    <row r="5" spans="1:31" x14ac:dyDescent="0.25">
      <c r="A5" t="s">
        <v>28</v>
      </c>
      <c r="B5" t="s">
        <v>33</v>
      </c>
      <c r="C5" t="s">
        <v>30</v>
      </c>
      <c r="D5">
        <v>29.492701</v>
      </c>
      <c r="E5">
        <v>29.94989</v>
      </c>
      <c r="F5">
        <v>29.882214999999999</v>
      </c>
      <c r="G5">
        <v>29.814043000000002</v>
      </c>
      <c r="H5">
        <v>29.805243000000001</v>
      </c>
      <c r="I5">
        <v>29.805243000000001</v>
      </c>
      <c r="J5">
        <v>29.805243000000001</v>
      </c>
      <c r="K5">
        <v>29.805243000000001</v>
      </c>
      <c r="L5">
        <v>29.805243000000001</v>
      </c>
      <c r="M5">
        <v>29.813548999999998</v>
      </c>
      <c r="N5">
        <v>29.813548999999998</v>
      </c>
      <c r="O5">
        <v>29.813548999999998</v>
      </c>
      <c r="P5">
        <v>29.813548999999998</v>
      </c>
      <c r="Q5">
        <v>29.813548999999998</v>
      </c>
      <c r="R5">
        <v>29.813548999999998</v>
      </c>
      <c r="S5">
        <v>29.813548999999998</v>
      </c>
      <c r="T5">
        <v>29.813548999999998</v>
      </c>
      <c r="U5">
        <v>29.813548999999998</v>
      </c>
      <c r="V5">
        <v>29.813548999999998</v>
      </c>
      <c r="W5">
        <v>29.813548999999998</v>
      </c>
      <c r="X5">
        <v>29.813548999999998</v>
      </c>
      <c r="Y5">
        <v>29.813548999999998</v>
      </c>
      <c r="Z5">
        <v>29.813548999999998</v>
      </c>
      <c r="AA5">
        <v>29.813548999999998</v>
      </c>
      <c r="AB5">
        <v>29.813548999999998</v>
      </c>
      <c r="AC5">
        <v>29.813548999999998</v>
      </c>
      <c r="AD5">
        <v>29.813548999999998</v>
      </c>
      <c r="AE5" s="6">
        <v>1.0878895086618144E-2</v>
      </c>
    </row>
    <row r="6" spans="1:31" x14ac:dyDescent="0.25">
      <c r="A6" t="s">
        <v>28</v>
      </c>
      <c r="B6" t="s">
        <v>34</v>
      </c>
      <c r="C6" t="s">
        <v>30</v>
      </c>
      <c r="D6">
        <v>1.1181460000000001</v>
      </c>
      <c r="E6">
        <v>1.10666</v>
      </c>
      <c r="F6">
        <v>1.1079650000000001</v>
      </c>
      <c r="G6">
        <v>1.104992</v>
      </c>
      <c r="H6">
        <v>1.10599</v>
      </c>
      <c r="I6">
        <v>1.1001590000000001</v>
      </c>
      <c r="J6">
        <v>1.087596</v>
      </c>
      <c r="K6">
        <v>1.0848500000000001</v>
      </c>
      <c r="L6">
        <v>1.0869759999999999</v>
      </c>
      <c r="M6">
        <v>1.0842179999999999</v>
      </c>
      <c r="N6">
        <v>1.08423</v>
      </c>
      <c r="O6">
        <v>1.078201</v>
      </c>
      <c r="P6">
        <v>1.026878</v>
      </c>
      <c r="Q6">
        <v>0.87623200000000001</v>
      </c>
      <c r="R6">
        <v>0.76051400000000002</v>
      </c>
      <c r="S6">
        <v>0.20519200000000001</v>
      </c>
      <c r="T6">
        <v>3.0244E-2</v>
      </c>
      <c r="U6">
        <v>-0.29353800000000002</v>
      </c>
      <c r="V6">
        <v>-0.52714099999999997</v>
      </c>
      <c r="W6">
        <v>-0.887687</v>
      </c>
      <c r="X6">
        <v>-1.237838</v>
      </c>
      <c r="Y6">
        <v>-1.5012430000000001</v>
      </c>
      <c r="Z6">
        <v>-1.7490509999999999</v>
      </c>
      <c r="AA6">
        <v>-1.747541</v>
      </c>
      <c r="AB6">
        <v>-2.2841900000000002</v>
      </c>
      <c r="AC6">
        <v>-2.5219399999999998</v>
      </c>
      <c r="AD6">
        <v>-2.5406900000000001</v>
      </c>
      <c r="AE6" s="6">
        <v>-3.2722345740180616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9.5989999999999999E-3</v>
      </c>
      <c r="G7">
        <v>1.1086E-2</v>
      </c>
      <c r="H7">
        <v>6.195E-3</v>
      </c>
      <c r="I7">
        <v>6.195E-3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0.19378000000000001</v>
      </c>
      <c r="E8">
        <v>0.21040200000000001</v>
      </c>
      <c r="F8">
        <v>0.218416</v>
      </c>
      <c r="G8">
        <v>0.226553</v>
      </c>
      <c r="H8">
        <v>0.22647300000000001</v>
      </c>
      <c r="I8">
        <v>0.22651299999999999</v>
      </c>
      <c r="J8">
        <v>0.226572</v>
      </c>
      <c r="K8">
        <v>0.22663700000000001</v>
      </c>
      <c r="L8">
        <v>0.226825</v>
      </c>
      <c r="M8">
        <v>0.22484399999999999</v>
      </c>
      <c r="N8">
        <v>0.21687200000000001</v>
      </c>
      <c r="O8">
        <v>0.213091</v>
      </c>
      <c r="P8">
        <v>0.20887600000000001</v>
      </c>
      <c r="Q8">
        <v>0.20697599999999999</v>
      </c>
      <c r="R8">
        <v>0.20654500000000001</v>
      </c>
      <c r="S8">
        <v>0.204595</v>
      </c>
      <c r="T8">
        <v>0.20310700000000001</v>
      </c>
      <c r="U8">
        <v>0.20318800000000001</v>
      </c>
      <c r="V8">
        <v>0.202345</v>
      </c>
      <c r="W8">
        <v>0.202957</v>
      </c>
      <c r="X8">
        <v>0.201187</v>
      </c>
      <c r="Y8">
        <v>0.19824600000000001</v>
      </c>
      <c r="Z8">
        <v>0.19839100000000001</v>
      </c>
      <c r="AA8">
        <v>0.197577</v>
      </c>
      <c r="AB8">
        <v>0.19688900000000001</v>
      </c>
      <c r="AC8">
        <v>0.197107</v>
      </c>
      <c r="AD8">
        <v>0.19590099999999999</v>
      </c>
      <c r="AE8" s="6">
        <v>1.0945402002270533E-2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0.795848</v>
      </c>
      <c r="E10">
        <v>0.83199999999999996</v>
      </c>
      <c r="F10">
        <v>0.91702700000000004</v>
      </c>
      <c r="G10">
        <v>1.049369</v>
      </c>
      <c r="H10">
        <v>1.092633</v>
      </c>
      <c r="I10">
        <v>1.1262449999999999</v>
      </c>
      <c r="J10">
        <v>0.947075</v>
      </c>
      <c r="K10">
        <v>0.99175000000000002</v>
      </c>
      <c r="L10">
        <v>1.0267569999999999</v>
      </c>
      <c r="M10">
        <v>1.063196</v>
      </c>
      <c r="N10">
        <v>1.093232</v>
      </c>
      <c r="O10">
        <v>1.1232139999999999</v>
      </c>
      <c r="P10">
        <v>1.1547289999999999</v>
      </c>
      <c r="Q10">
        <v>1.1878040000000001</v>
      </c>
      <c r="R10">
        <v>1.222037</v>
      </c>
      <c r="S10">
        <v>1.246167</v>
      </c>
      <c r="T10">
        <v>1.2713179999999999</v>
      </c>
      <c r="U10">
        <v>1.2970870000000001</v>
      </c>
      <c r="V10">
        <v>1.324141</v>
      </c>
      <c r="W10">
        <v>1.3518589999999999</v>
      </c>
      <c r="X10">
        <v>1.3661859999999999</v>
      </c>
      <c r="Y10">
        <v>1.3802620000000001</v>
      </c>
      <c r="Z10">
        <v>1.3944749999999999</v>
      </c>
      <c r="AA10">
        <v>1.409133</v>
      </c>
      <c r="AB10">
        <v>1.423732</v>
      </c>
      <c r="AC10">
        <v>1.423732</v>
      </c>
      <c r="AD10">
        <v>1.423705</v>
      </c>
      <c r="AE10" s="6">
        <v>0.78891572260029552</v>
      </c>
    </row>
    <row r="11" spans="1:31" x14ac:dyDescent="0.25">
      <c r="A11" t="s">
        <v>28</v>
      </c>
      <c r="B11" t="s">
        <v>39</v>
      </c>
      <c r="C11" t="s">
        <v>30</v>
      </c>
      <c r="D11">
        <v>0.53703900000000004</v>
      </c>
      <c r="E11">
        <v>0.53703900000000004</v>
      </c>
      <c r="F11">
        <v>0.53703900000000004</v>
      </c>
      <c r="G11">
        <v>0.53703900000000004</v>
      </c>
      <c r="H11">
        <v>0.53703900000000004</v>
      </c>
      <c r="I11">
        <v>0.53703900000000004</v>
      </c>
      <c r="J11">
        <v>0.53703900000000004</v>
      </c>
      <c r="K11">
        <v>0.53703900000000004</v>
      </c>
      <c r="L11">
        <v>0.53703900000000004</v>
      </c>
      <c r="M11">
        <v>0.53703900000000004</v>
      </c>
      <c r="N11">
        <v>0.53703900000000004</v>
      </c>
      <c r="O11">
        <v>0.53703900000000004</v>
      </c>
      <c r="P11">
        <v>0.53703900000000004</v>
      </c>
      <c r="Q11">
        <v>0.53703900000000004</v>
      </c>
      <c r="R11">
        <v>0.53703900000000004</v>
      </c>
      <c r="S11">
        <v>0.53703900000000004</v>
      </c>
      <c r="T11">
        <v>0.53703900000000004</v>
      </c>
      <c r="U11">
        <v>0.53703900000000004</v>
      </c>
      <c r="V11">
        <v>0.53703900000000004</v>
      </c>
      <c r="W11">
        <v>0.53703900000000004</v>
      </c>
      <c r="X11">
        <v>0.53703900000000004</v>
      </c>
      <c r="Y11">
        <v>0.53703900000000004</v>
      </c>
      <c r="Z11">
        <v>0.53703900000000004</v>
      </c>
      <c r="AA11">
        <v>0.53703900000000004</v>
      </c>
      <c r="AB11">
        <v>0.53703900000000004</v>
      </c>
      <c r="AC11">
        <v>0.53703900000000004</v>
      </c>
      <c r="AD11">
        <v>0.53703900000000004</v>
      </c>
      <c r="AE11" s="6">
        <v>0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16.292055000000001</v>
      </c>
      <c r="E13">
        <v>20.193884000000001</v>
      </c>
      <c r="F13">
        <v>24.747292999999999</v>
      </c>
      <c r="G13">
        <v>25.107493999999999</v>
      </c>
      <c r="H13">
        <v>25.073528</v>
      </c>
      <c r="I13">
        <v>32.063850000000002</v>
      </c>
      <c r="J13">
        <v>44.741656999999996</v>
      </c>
      <c r="K13">
        <v>63.235984999999999</v>
      </c>
      <c r="L13">
        <v>67.197463999999997</v>
      </c>
      <c r="M13">
        <v>78.829291999999995</v>
      </c>
      <c r="N13">
        <v>89.162209000000004</v>
      </c>
      <c r="O13">
        <v>93.863692999999998</v>
      </c>
      <c r="P13">
        <v>98.330437000000003</v>
      </c>
      <c r="Q13">
        <v>102.733841</v>
      </c>
      <c r="R13">
        <v>105.004349</v>
      </c>
      <c r="S13">
        <v>115.839088</v>
      </c>
      <c r="T13">
        <v>121.427261</v>
      </c>
      <c r="U13">
        <v>123.528915</v>
      </c>
      <c r="V13">
        <v>128.23623699999999</v>
      </c>
      <c r="W13">
        <v>131.879242</v>
      </c>
      <c r="X13">
        <v>136.83601400000001</v>
      </c>
      <c r="Y13">
        <v>142.23674</v>
      </c>
      <c r="Z13">
        <v>144.41720599999999</v>
      </c>
      <c r="AA13">
        <v>146.574524</v>
      </c>
      <c r="AB13">
        <v>153.69162</v>
      </c>
      <c r="AC13">
        <v>155.94392400000001</v>
      </c>
      <c r="AD13">
        <v>157.119888</v>
      </c>
      <c r="AE13" s="6">
        <v>8.6439576222888999</v>
      </c>
    </row>
    <row r="14" spans="1:31" x14ac:dyDescent="0.25">
      <c r="A14" t="s">
        <v>28</v>
      </c>
      <c r="B14" t="s">
        <v>42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6" t="e">
        <v>#DIV/0!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8" t="s">
        <v>44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7.3410000000000003E-3</v>
      </c>
      <c r="J16">
        <v>2.4559999999999998E-2</v>
      </c>
      <c r="K16">
        <v>4.3270999999999997E-2</v>
      </c>
      <c r="L16">
        <v>6.4607999999999999E-2</v>
      </c>
      <c r="M16">
        <v>8.6257E-2</v>
      </c>
      <c r="N16">
        <v>0.108734</v>
      </c>
      <c r="O16">
        <v>0.13227</v>
      </c>
      <c r="P16">
        <v>0.15746299999999999</v>
      </c>
      <c r="Q16">
        <v>0.183723</v>
      </c>
      <c r="R16">
        <v>0.21073600000000001</v>
      </c>
      <c r="S16">
        <v>0.238479</v>
      </c>
      <c r="T16">
        <v>0.265847</v>
      </c>
      <c r="U16">
        <v>0.29294599999999998</v>
      </c>
      <c r="V16">
        <v>0.31578099999999998</v>
      </c>
      <c r="W16">
        <v>0.34498800000000002</v>
      </c>
      <c r="X16">
        <v>0.371004</v>
      </c>
      <c r="Y16">
        <v>0.397393</v>
      </c>
      <c r="Z16">
        <v>0.42243399999999998</v>
      </c>
      <c r="AA16">
        <v>0.44633099999999998</v>
      </c>
      <c r="AB16">
        <v>0.45453199999999999</v>
      </c>
      <c r="AC16">
        <v>0.46557500000000002</v>
      </c>
      <c r="AD16">
        <v>0.49204900000000001</v>
      </c>
      <c r="AE16" s="6" t="e">
        <v>#DIV/0!</v>
      </c>
    </row>
    <row r="17" spans="1:31" x14ac:dyDescent="0.25">
      <c r="A17" t="s">
        <v>28</v>
      </c>
      <c r="B17" s="8" t="s">
        <v>45</v>
      </c>
      <c r="C17" t="s">
        <v>30</v>
      </c>
      <c r="D17">
        <v>241.86630199999999</v>
      </c>
      <c r="E17">
        <v>243.38334699999999</v>
      </c>
      <c r="F17">
        <v>245.48551900000001</v>
      </c>
      <c r="G17">
        <v>251.49418600000001</v>
      </c>
      <c r="H17">
        <v>252.331177</v>
      </c>
      <c r="I17">
        <v>255.69383199999999</v>
      </c>
      <c r="J17">
        <v>259.304169</v>
      </c>
      <c r="K17">
        <v>265.90133700000001</v>
      </c>
      <c r="L17">
        <v>276.13314800000001</v>
      </c>
      <c r="M17">
        <v>282.02465799999999</v>
      </c>
      <c r="N17">
        <v>289.91055299999999</v>
      </c>
      <c r="O17">
        <v>294.08785999999998</v>
      </c>
      <c r="P17">
        <v>297.42434700000001</v>
      </c>
      <c r="Q17">
        <v>297.95687900000001</v>
      </c>
      <c r="R17">
        <v>302.65792800000003</v>
      </c>
      <c r="S17">
        <v>312.515289</v>
      </c>
      <c r="T17">
        <v>319.14065599999998</v>
      </c>
      <c r="U17">
        <v>325.695221</v>
      </c>
      <c r="V17">
        <v>331.08148199999999</v>
      </c>
      <c r="W17">
        <v>336.83718900000002</v>
      </c>
      <c r="X17">
        <v>342.31320199999999</v>
      </c>
      <c r="Y17">
        <v>348.81329299999999</v>
      </c>
      <c r="Z17">
        <v>353.52932700000002</v>
      </c>
      <c r="AA17">
        <v>358.81051600000001</v>
      </c>
      <c r="AB17">
        <v>363.02630599999998</v>
      </c>
      <c r="AC17">
        <v>368.33840900000001</v>
      </c>
      <c r="AD17">
        <v>372.70639</v>
      </c>
      <c r="AE17" s="6">
        <v>0.54096038562660131</v>
      </c>
    </row>
    <row r="18" spans="1:31" x14ac:dyDescent="0.25">
      <c r="A18" t="s">
        <v>74</v>
      </c>
      <c r="B18" t="s">
        <v>46</v>
      </c>
      <c r="C18" t="s">
        <v>47</v>
      </c>
      <c r="D18">
        <v>13.33127</v>
      </c>
      <c r="E18">
        <v>13.156832</v>
      </c>
      <c r="F18">
        <v>12.512119</v>
      </c>
      <c r="G18">
        <v>12.058728</v>
      </c>
      <c r="H18">
        <v>12.068001000000001</v>
      </c>
      <c r="I18">
        <v>12.127649</v>
      </c>
      <c r="J18">
        <v>12.180975999999999</v>
      </c>
      <c r="K18">
        <v>12.178274999999999</v>
      </c>
      <c r="L18">
        <v>12.104150000000001</v>
      </c>
      <c r="M18">
        <v>12.022245</v>
      </c>
      <c r="N18">
        <v>12.042256999999999</v>
      </c>
      <c r="O18">
        <v>12.022079</v>
      </c>
      <c r="P18">
        <v>12.007600999999999</v>
      </c>
      <c r="Q18">
        <v>11.963387000000001</v>
      </c>
      <c r="R18">
        <v>11.878288</v>
      </c>
      <c r="S18">
        <v>11.831453</v>
      </c>
      <c r="T18">
        <v>11.862399</v>
      </c>
      <c r="U18">
        <v>11.894304999999999</v>
      </c>
      <c r="V18">
        <v>11.963958999999999</v>
      </c>
      <c r="W18">
        <v>12.004977999999999</v>
      </c>
      <c r="X18">
        <v>12.002977</v>
      </c>
      <c r="Y18">
        <v>12.063078000000001</v>
      </c>
      <c r="Z18">
        <v>12.146267999999999</v>
      </c>
      <c r="AA18">
        <v>12.216972</v>
      </c>
      <c r="AB18">
        <v>12.253883999999999</v>
      </c>
      <c r="AC18">
        <v>12.254937</v>
      </c>
      <c r="AD18">
        <v>12.206903000000001</v>
      </c>
      <c r="AE18" s="6" cm="1">
        <f t="array" ref="AE18:AE22">(AD18:AD22-D18:D22)/D18:D22</f>
        <v>-8.4340576704244941E-2</v>
      </c>
    </row>
    <row r="19" spans="1:31" x14ac:dyDescent="0.25">
      <c r="A19" t="s">
        <v>74</v>
      </c>
      <c r="B19" t="s">
        <v>48</v>
      </c>
      <c r="C19" t="s">
        <v>47</v>
      </c>
      <c r="D19">
        <v>10.137805</v>
      </c>
      <c r="E19">
        <v>9.4831120000000002</v>
      </c>
      <c r="F19">
        <v>8.6316880000000005</v>
      </c>
      <c r="G19">
        <v>8.5122789999999995</v>
      </c>
      <c r="H19">
        <v>8.5895670000000006</v>
      </c>
      <c r="I19">
        <v>8.692285</v>
      </c>
      <c r="J19">
        <v>8.7698839999999993</v>
      </c>
      <c r="K19">
        <v>8.7957619999999999</v>
      </c>
      <c r="L19">
        <v>8.733746</v>
      </c>
      <c r="M19">
        <v>8.7686600000000006</v>
      </c>
      <c r="N19">
        <v>8.7970349999999993</v>
      </c>
      <c r="O19">
        <v>8.844049</v>
      </c>
      <c r="P19">
        <v>8.9197790000000001</v>
      </c>
      <c r="Q19">
        <v>8.9577650000000002</v>
      </c>
      <c r="R19">
        <v>8.9359900000000003</v>
      </c>
      <c r="S19">
        <v>9.0061429999999998</v>
      </c>
      <c r="T19">
        <v>9.1177890000000001</v>
      </c>
      <c r="U19">
        <v>9.2379259999999999</v>
      </c>
      <c r="V19">
        <v>9.4086210000000001</v>
      </c>
      <c r="W19">
        <v>9.4717369999999992</v>
      </c>
      <c r="X19">
        <v>9.5628240000000009</v>
      </c>
      <c r="Y19">
        <v>9.6839110000000002</v>
      </c>
      <c r="Z19">
        <v>9.840878</v>
      </c>
      <c r="AA19">
        <v>9.9476990000000001</v>
      </c>
      <c r="AB19">
        <v>10.040806999999999</v>
      </c>
      <c r="AC19">
        <v>10.056666999999999</v>
      </c>
      <c r="AD19">
        <v>10.074744000000001</v>
      </c>
      <c r="AE19" s="6">
        <v>-6.220380052683926E-3</v>
      </c>
    </row>
    <row r="20" spans="1:31" x14ac:dyDescent="0.25">
      <c r="A20" t="s">
        <v>74</v>
      </c>
      <c r="B20" t="s">
        <v>49</v>
      </c>
      <c r="C20" t="s">
        <v>47</v>
      </c>
      <c r="D20">
        <v>6.9830050000000004</v>
      </c>
      <c r="E20">
        <v>6.4247930000000002</v>
      </c>
      <c r="F20">
        <v>5.6520539999999997</v>
      </c>
      <c r="G20">
        <v>5.6388660000000002</v>
      </c>
      <c r="H20">
        <v>5.7032790000000002</v>
      </c>
      <c r="I20">
        <v>5.822336</v>
      </c>
      <c r="J20">
        <v>5.916766</v>
      </c>
      <c r="K20">
        <v>5.9756770000000001</v>
      </c>
      <c r="L20">
        <v>5.9667500000000002</v>
      </c>
      <c r="M20">
        <v>6.0613570000000001</v>
      </c>
      <c r="N20">
        <v>6.1214250000000003</v>
      </c>
      <c r="O20">
        <v>6.2034549999999999</v>
      </c>
      <c r="P20">
        <v>6.2799430000000003</v>
      </c>
      <c r="Q20">
        <v>6.3217829999999999</v>
      </c>
      <c r="R20">
        <v>6.3105539999999998</v>
      </c>
      <c r="S20">
        <v>6.3849460000000002</v>
      </c>
      <c r="T20">
        <v>6.4825879999999998</v>
      </c>
      <c r="U20">
        <v>6.5880380000000001</v>
      </c>
      <c r="V20">
        <v>6.7190950000000003</v>
      </c>
      <c r="W20">
        <v>6.7764379999999997</v>
      </c>
      <c r="X20">
        <v>6.8628020000000003</v>
      </c>
      <c r="Y20">
        <v>6.9633430000000001</v>
      </c>
      <c r="Z20">
        <v>7.0978669999999999</v>
      </c>
      <c r="AA20">
        <v>7.1816040000000001</v>
      </c>
      <c r="AB20">
        <v>7.2460620000000002</v>
      </c>
      <c r="AC20">
        <v>7.2717070000000001</v>
      </c>
      <c r="AD20">
        <v>7.2995999999999999</v>
      </c>
      <c r="AE20" s="6">
        <v>4.533793116287322E-2</v>
      </c>
    </row>
    <row r="21" spans="1:31" x14ac:dyDescent="0.25">
      <c r="A21" t="s">
        <v>74</v>
      </c>
      <c r="B21" t="s">
        <v>50</v>
      </c>
      <c r="C21" t="s">
        <v>47</v>
      </c>
      <c r="D21">
        <v>9.3855839999999997</v>
      </c>
      <c r="E21">
        <v>8.75549</v>
      </c>
      <c r="F21">
        <v>7.9586639999999997</v>
      </c>
      <c r="G21">
        <v>7.8037749999999999</v>
      </c>
      <c r="H21">
        <v>7.8758489999999997</v>
      </c>
      <c r="I21">
        <v>8.0034120000000009</v>
      </c>
      <c r="J21">
        <v>8.1128129999999992</v>
      </c>
      <c r="K21">
        <v>8.1765509999999999</v>
      </c>
      <c r="L21">
        <v>8.1665580000000002</v>
      </c>
      <c r="M21">
        <v>8.2264920000000004</v>
      </c>
      <c r="N21">
        <v>8.3052659999999996</v>
      </c>
      <c r="O21">
        <v>8.3854869999999995</v>
      </c>
      <c r="P21">
        <v>8.4651309999999995</v>
      </c>
      <c r="Q21">
        <v>8.5112729999999992</v>
      </c>
      <c r="R21">
        <v>8.5034089999999996</v>
      </c>
      <c r="S21">
        <v>8.5683819999999997</v>
      </c>
      <c r="T21">
        <v>8.6798319999999993</v>
      </c>
      <c r="U21">
        <v>8.7968779999999995</v>
      </c>
      <c r="V21">
        <v>8.9584080000000004</v>
      </c>
      <c r="W21">
        <v>9.036486</v>
      </c>
      <c r="X21">
        <v>9.1253670000000007</v>
      </c>
      <c r="Y21">
        <v>9.2477339999999995</v>
      </c>
      <c r="Z21">
        <v>9.3995110000000004</v>
      </c>
      <c r="AA21">
        <v>9.5143970000000007</v>
      </c>
      <c r="AB21">
        <v>9.6122040000000002</v>
      </c>
      <c r="AC21">
        <v>9.6439850000000007</v>
      </c>
      <c r="AD21">
        <v>9.6613620000000004</v>
      </c>
      <c r="AE21" s="6">
        <v>2.9383147601683684E-2</v>
      </c>
    </row>
    <row r="22" spans="1:31" x14ac:dyDescent="0.25">
      <c r="A22" t="s">
        <v>74</v>
      </c>
      <c r="B22" t="s">
        <v>51</v>
      </c>
      <c r="C22" t="s">
        <v>47</v>
      </c>
      <c r="D22">
        <v>11.650192000000001</v>
      </c>
      <c r="E22">
        <v>11.220469</v>
      </c>
      <c r="F22">
        <v>10.497044000000001</v>
      </c>
      <c r="G22">
        <v>10.216156</v>
      </c>
      <c r="H22">
        <v>10.265345</v>
      </c>
      <c r="I22">
        <v>10.341561</v>
      </c>
      <c r="J22">
        <v>10.401543</v>
      </c>
      <c r="K22">
        <v>10.406518999999999</v>
      </c>
      <c r="L22">
        <v>10.332611</v>
      </c>
      <c r="M22">
        <v>10.303603000000001</v>
      </c>
      <c r="N22">
        <v>10.32292</v>
      </c>
      <c r="O22">
        <v>10.331427</v>
      </c>
      <c r="P22">
        <v>10.355995999999999</v>
      </c>
      <c r="Q22">
        <v>10.348155</v>
      </c>
      <c r="R22">
        <v>10.291121</v>
      </c>
      <c r="S22">
        <v>10.298926</v>
      </c>
      <c r="T22">
        <v>10.365848</v>
      </c>
      <c r="U22">
        <v>10.437340000000001</v>
      </c>
      <c r="V22">
        <v>10.561885</v>
      </c>
      <c r="W22">
        <v>10.601958</v>
      </c>
      <c r="X22">
        <v>10.643699</v>
      </c>
      <c r="Y22">
        <v>10.730186</v>
      </c>
      <c r="Z22">
        <v>10.845516</v>
      </c>
      <c r="AA22">
        <v>10.929589</v>
      </c>
      <c r="AB22">
        <v>10.997546</v>
      </c>
      <c r="AC22">
        <v>10.994806000000001</v>
      </c>
      <c r="AD22">
        <v>10.977088999999999</v>
      </c>
      <c r="AE22" s="6">
        <v>-5.7776129354778112E-2</v>
      </c>
    </row>
    <row r="23" spans="1:31" x14ac:dyDescent="0.25">
      <c r="A23" t="s">
        <v>75</v>
      </c>
      <c r="B23" t="s">
        <v>46</v>
      </c>
      <c r="C23" t="s">
        <v>52</v>
      </c>
      <c r="D23">
        <v>13.33127</v>
      </c>
      <c r="E23">
        <v>13.433908000000001</v>
      </c>
      <c r="F23">
        <v>13.008811</v>
      </c>
      <c r="G23">
        <v>12.756131</v>
      </c>
      <c r="H23">
        <v>13.013864999999999</v>
      </c>
      <c r="I23">
        <v>13.331009999999999</v>
      </c>
      <c r="J23">
        <v>13.666536000000001</v>
      </c>
      <c r="K23">
        <v>13.972737</v>
      </c>
      <c r="L23">
        <v>14.20918</v>
      </c>
      <c r="M23">
        <v>14.456011999999999</v>
      </c>
      <c r="N23">
        <v>14.833485</v>
      </c>
      <c r="O23">
        <v>15.165774000000001</v>
      </c>
      <c r="P23">
        <v>15.502254000000001</v>
      </c>
      <c r="Q23">
        <v>15.795242999999999</v>
      </c>
      <c r="R23">
        <v>16.021614</v>
      </c>
      <c r="S23">
        <v>16.290476000000002</v>
      </c>
      <c r="T23">
        <v>16.670504000000001</v>
      </c>
      <c r="U23">
        <v>17.057165000000001</v>
      </c>
      <c r="V23">
        <v>17.506212000000001</v>
      </c>
      <c r="W23">
        <v>17.924776000000001</v>
      </c>
      <c r="X23">
        <v>18.285966999999999</v>
      </c>
      <c r="Y23">
        <v>18.756456</v>
      </c>
      <c r="Z23">
        <v>19.275558</v>
      </c>
      <c r="AA23">
        <v>19.797461999999999</v>
      </c>
      <c r="AB23">
        <v>20.284659999999999</v>
      </c>
      <c r="AC23">
        <v>20.726496000000001</v>
      </c>
      <c r="AD23">
        <v>21.10051</v>
      </c>
      <c r="AE23" s="6" cm="1">
        <f t="array" ref="AE23:AE27">(AD23:AD27-D23:D27)/D23:D27</f>
        <v>0.58278318569798671</v>
      </c>
    </row>
    <row r="24" spans="1:31" x14ac:dyDescent="0.25">
      <c r="A24" t="s">
        <v>75</v>
      </c>
      <c r="B24" t="s">
        <v>48</v>
      </c>
      <c r="C24" t="s">
        <v>52</v>
      </c>
      <c r="D24">
        <v>10.137805</v>
      </c>
      <c r="E24">
        <v>9.6828219999999998</v>
      </c>
      <c r="F24">
        <v>8.9743390000000005</v>
      </c>
      <c r="G24">
        <v>9.0045769999999994</v>
      </c>
      <c r="H24">
        <v>9.2627989999999993</v>
      </c>
      <c r="I24">
        <v>9.5547730000000008</v>
      </c>
      <c r="J24">
        <v>9.8394370000000002</v>
      </c>
      <c r="K24">
        <v>10.091813</v>
      </c>
      <c r="L24">
        <v>10.252629000000001</v>
      </c>
      <c r="M24">
        <v>10.543774000000001</v>
      </c>
      <c r="N24">
        <v>10.836065</v>
      </c>
      <c r="O24">
        <v>11.15671</v>
      </c>
      <c r="P24">
        <v>11.515762</v>
      </c>
      <c r="Q24">
        <v>11.826924</v>
      </c>
      <c r="R24">
        <v>12.052999</v>
      </c>
      <c r="S24">
        <v>12.400366</v>
      </c>
      <c r="T24">
        <v>12.813440999999999</v>
      </c>
      <c r="U24">
        <v>13.247754</v>
      </c>
      <c r="V24">
        <v>13.767125</v>
      </c>
      <c r="W24">
        <v>14.142363</v>
      </c>
      <c r="X24">
        <v>14.568508</v>
      </c>
      <c r="Y24">
        <v>15.057174</v>
      </c>
      <c r="Z24">
        <v>15.617013999999999</v>
      </c>
      <c r="AA24">
        <v>16.120131000000001</v>
      </c>
      <c r="AB24">
        <v>16.621207999999999</v>
      </c>
      <c r="AC24">
        <v>17.008611999999999</v>
      </c>
      <c r="AD24">
        <v>17.414921</v>
      </c>
      <c r="AE24" s="6">
        <v>0.71781968581956346</v>
      </c>
    </row>
    <row r="25" spans="1:31" x14ac:dyDescent="0.25">
      <c r="A25" t="s">
        <v>75</v>
      </c>
      <c r="B25" t="s">
        <v>49</v>
      </c>
      <c r="C25" t="s">
        <v>52</v>
      </c>
      <c r="D25">
        <v>6.9830050000000004</v>
      </c>
      <c r="E25">
        <v>6.5600949999999996</v>
      </c>
      <c r="F25">
        <v>5.876423</v>
      </c>
      <c r="G25">
        <v>5.9649840000000003</v>
      </c>
      <c r="H25">
        <v>6.15029</v>
      </c>
      <c r="I25">
        <v>6.400055</v>
      </c>
      <c r="J25">
        <v>6.6383599999999996</v>
      </c>
      <c r="K25">
        <v>6.8561899999999998</v>
      </c>
      <c r="L25">
        <v>7.0044259999999996</v>
      </c>
      <c r="M25">
        <v>7.2884099999999998</v>
      </c>
      <c r="N25">
        <v>7.540286</v>
      </c>
      <c r="O25">
        <v>7.8256189999999997</v>
      </c>
      <c r="P25">
        <v>8.1076370000000004</v>
      </c>
      <c r="Q25">
        <v>8.346641</v>
      </c>
      <c r="R25">
        <v>8.5117689999999993</v>
      </c>
      <c r="S25">
        <v>8.7912960000000009</v>
      </c>
      <c r="T25">
        <v>9.1101310000000009</v>
      </c>
      <c r="U25">
        <v>9.4476510000000005</v>
      </c>
      <c r="V25">
        <v>9.8316879999999998</v>
      </c>
      <c r="W25">
        <v>10.117979999999999</v>
      </c>
      <c r="X25">
        <v>10.455152999999999</v>
      </c>
      <c r="Y25">
        <v>10.827057999999999</v>
      </c>
      <c r="Z25">
        <v>11.263983</v>
      </c>
      <c r="AA25">
        <v>11.637707000000001</v>
      </c>
      <c r="AB25">
        <v>11.994883</v>
      </c>
      <c r="AC25">
        <v>12.298470999999999</v>
      </c>
      <c r="AD25">
        <v>12.617882</v>
      </c>
      <c r="AE25" s="6">
        <v>0.80694156741975687</v>
      </c>
    </row>
    <row r="26" spans="1:31" x14ac:dyDescent="0.25">
      <c r="A26" t="s">
        <v>75</v>
      </c>
      <c r="B26" t="s">
        <v>50</v>
      </c>
      <c r="C26" t="s">
        <v>52</v>
      </c>
      <c r="D26">
        <v>9.3855839999999997</v>
      </c>
      <c r="E26">
        <v>8.9398769999999992</v>
      </c>
      <c r="F26">
        <v>8.2745979999999992</v>
      </c>
      <c r="G26">
        <v>8.2550980000000003</v>
      </c>
      <c r="H26">
        <v>8.4931409999999996</v>
      </c>
      <c r="I26">
        <v>8.7975469999999998</v>
      </c>
      <c r="J26">
        <v>9.1022309999999997</v>
      </c>
      <c r="K26">
        <v>9.3813610000000001</v>
      </c>
      <c r="L26">
        <v>9.5868020000000005</v>
      </c>
      <c r="M26">
        <v>9.8918510000000008</v>
      </c>
      <c r="N26">
        <v>10.230311</v>
      </c>
      <c r="O26">
        <v>10.578237</v>
      </c>
      <c r="P26">
        <v>10.928796</v>
      </c>
      <c r="Q26">
        <v>11.237422</v>
      </c>
      <c r="R26">
        <v>11.469526</v>
      </c>
      <c r="S26">
        <v>11.797623</v>
      </c>
      <c r="T26">
        <v>12.19797</v>
      </c>
      <c r="U26">
        <v>12.615264</v>
      </c>
      <c r="V26">
        <v>13.108354</v>
      </c>
      <c r="W26">
        <v>13.492485</v>
      </c>
      <c r="X26">
        <v>13.902063</v>
      </c>
      <c r="Y26">
        <v>14.378977000000001</v>
      </c>
      <c r="Z26">
        <v>14.916584</v>
      </c>
      <c r="AA26">
        <v>15.417971</v>
      </c>
      <c r="AB26">
        <v>15.911712</v>
      </c>
      <c r="AC26">
        <v>16.310652000000001</v>
      </c>
      <c r="AD26">
        <v>16.700357</v>
      </c>
      <c r="AE26" s="6">
        <v>0.77936258415033111</v>
      </c>
    </row>
    <row r="27" spans="1:31" x14ac:dyDescent="0.25">
      <c r="A27" t="s">
        <v>75</v>
      </c>
      <c r="B27" t="s">
        <v>51</v>
      </c>
      <c r="C27" t="s">
        <v>52</v>
      </c>
      <c r="D27">
        <v>11.650192000000001</v>
      </c>
      <c r="E27">
        <v>11.456766</v>
      </c>
      <c r="F27">
        <v>10.913743999999999</v>
      </c>
      <c r="G27">
        <v>10.806995000000001</v>
      </c>
      <c r="H27">
        <v>11.069921000000001</v>
      </c>
      <c r="I27">
        <v>11.367699</v>
      </c>
      <c r="J27">
        <v>11.670088</v>
      </c>
      <c r="K27">
        <v>11.939914</v>
      </c>
      <c r="L27">
        <v>12.129554000000001</v>
      </c>
      <c r="M27">
        <v>12.389449000000001</v>
      </c>
      <c r="N27">
        <v>12.715629</v>
      </c>
      <c r="O27">
        <v>13.033029000000001</v>
      </c>
      <c r="P27">
        <v>13.369971</v>
      </c>
      <c r="Q27">
        <v>13.662655000000001</v>
      </c>
      <c r="R27">
        <v>13.880818</v>
      </c>
      <c r="S27">
        <v>14.180372</v>
      </c>
      <c r="T27">
        <v>14.567366</v>
      </c>
      <c r="U27">
        <v>14.967787</v>
      </c>
      <c r="V27">
        <v>15.454635</v>
      </c>
      <c r="W27">
        <v>15.829910999999999</v>
      </c>
      <c r="X27">
        <v>16.215170000000001</v>
      </c>
      <c r="Y27">
        <v>16.683989</v>
      </c>
      <c r="Z27">
        <v>17.211327000000001</v>
      </c>
      <c r="AA27">
        <v>17.711272999999998</v>
      </c>
      <c r="AB27">
        <v>18.20496</v>
      </c>
      <c r="AC27">
        <v>18.595264</v>
      </c>
      <c r="AD27">
        <v>18.974685999999998</v>
      </c>
      <c r="AE27" s="6">
        <v>0.62870156989687354</v>
      </c>
    </row>
    <row r="28" spans="1:31" x14ac:dyDescent="0.25">
      <c r="A28" t="s">
        <v>76</v>
      </c>
      <c r="B28" t="s">
        <v>53</v>
      </c>
      <c r="C28" t="s">
        <v>47</v>
      </c>
      <c r="D28">
        <v>7.5204360000000001</v>
      </c>
      <c r="E28">
        <v>7.0343039999999997</v>
      </c>
      <c r="F28">
        <v>6.1567290000000003</v>
      </c>
      <c r="G28">
        <v>5.7683859999999996</v>
      </c>
      <c r="H28">
        <v>5.7633359999999998</v>
      </c>
      <c r="I28">
        <v>5.7770580000000002</v>
      </c>
      <c r="J28">
        <v>5.7708050000000002</v>
      </c>
      <c r="K28">
        <v>5.7182120000000003</v>
      </c>
      <c r="L28">
        <v>5.5916949999999996</v>
      </c>
      <c r="M28">
        <v>5.5285229999999999</v>
      </c>
      <c r="N28">
        <v>5.5097759999999996</v>
      </c>
      <c r="O28">
        <v>5.4882660000000003</v>
      </c>
      <c r="P28">
        <v>5.492032</v>
      </c>
      <c r="Q28">
        <v>5.4681480000000002</v>
      </c>
      <c r="R28">
        <v>5.3923730000000001</v>
      </c>
      <c r="S28">
        <v>5.3772190000000002</v>
      </c>
      <c r="T28">
        <v>5.4119270000000004</v>
      </c>
      <c r="U28">
        <v>5.4603219999999997</v>
      </c>
      <c r="V28">
        <v>5.5569930000000003</v>
      </c>
      <c r="W28">
        <v>5.5658180000000002</v>
      </c>
      <c r="X28">
        <v>5.586036</v>
      </c>
      <c r="Y28">
        <v>5.6423699999999997</v>
      </c>
      <c r="Z28">
        <v>5.7254529999999999</v>
      </c>
      <c r="AA28">
        <v>5.7787230000000003</v>
      </c>
      <c r="AB28">
        <v>5.8096680000000003</v>
      </c>
      <c r="AC28">
        <v>5.7746019999999998</v>
      </c>
      <c r="AD28">
        <v>5.7375210000000001</v>
      </c>
      <c r="AE28" s="6" cm="1">
        <f t="array" ref="AE28:AE30">(AD28:AD30-D28:D30)/D28:D30</f>
        <v>-0.23707601527358255</v>
      </c>
    </row>
    <row r="29" spans="1:31" x14ac:dyDescent="0.25">
      <c r="A29" t="s">
        <v>76</v>
      </c>
      <c r="B29" t="s">
        <v>54</v>
      </c>
      <c r="C29" t="s">
        <v>47</v>
      </c>
      <c r="D29">
        <v>0.90915199999999996</v>
      </c>
      <c r="E29">
        <v>0.93656499999999998</v>
      </c>
      <c r="F29">
        <v>0.99582899999999996</v>
      </c>
      <c r="G29">
        <v>1.0389520000000001</v>
      </c>
      <c r="H29">
        <v>1.0646310000000001</v>
      </c>
      <c r="I29">
        <v>1.0947340000000001</v>
      </c>
      <c r="J29">
        <v>1.134595</v>
      </c>
      <c r="K29">
        <v>1.1707339999999999</v>
      </c>
      <c r="L29">
        <v>1.2056640000000001</v>
      </c>
      <c r="M29">
        <v>1.2257</v>
      </c>
      <c r="N29">
        <v>1.2514460000000001</v>
      </c>
      <c r="O29">
        <v>1.269822</v>
      </c>
      <c r="P29">
        <v>1.2808980000000001</v>
      </c>
      <c r="Q29">
        <v>1.28959</v>
      </c>
      <c r="R29">
        <v>1.2980750000000001</v>
      </c>
      <c r="S29">
        <v>1.3072809999999999</v>
      </c>
      <c r="T29">
        <v>1.3253170000000001</v>
      </c>
      <c r="U29">
        <v>1.3322529999999999</v>
      </c>
      <c r="V29">
        <v>1.3385750000000001</v>
      </c>
      <c r="W29">
        <v>1.349836</v>
      </c>
      <c r="X29">
        <v>1.3556820000000001</v>
      </c>
      <c r="Y29">
        <v>1.3672139999999999</v>
      </c>
      <c r="Z29">
        <v>1.3768860000000001</v>
      </c>
      <c r="AA29">
        <v>1.38476</v>
      </c>
      <c r="AB29">
        <v>1.398293</v>
      </c>
      <c r="AC29">
        <v>1.411513</v>
      </c>
      <c r="AD29">
        <v>1.417178</v>
      </c>
      <c r="AE29" s="6">
        <v>0.55879104924149114</v>
      </c>
    </row>
    <row r="30" spans="1:31" x14ac:dyDescent="0.25">
      <c r="A30" t="s">
        <v>76</v>
      </c>
      <c r="B30" t="s">
        <v>55</v>
      </c>
      <c r="C30" t="s">
        <v>47</v>
      </c>
      <c r="D30">
        <v>3.2206039999999998</v>
      </c>
      <c r="E30">
        <v>3.2496</v>
      </c>
      <c r="F30">
        <v>3.344487</v>
      </c>
      <c r="G30">
        <v>3.4088180000000001</v>
      </c>
      <c r="H30">
        <v>3.437379</v>
      </c>
      <c r="I30">
        <v>3.4697689999999999</v>
      </c>
      <c r="J30">
        <v>3.496143</v>
      </c>
      <c r="K30">
        <v>3.5175730000000001</v>
      </c>
      <c r="L30">
        <v>3.5352519999999998</v>
      </c>
      <c r="M30">
        <v>3.5493800000000002</v>
      </c>
      <c r="N30">
        <v>3.5616970000000001</v>
      </c>
      <c r="O30">
        <v>3.5733389999999998</v>
      </c>
      <c r="P30">
        <v>3.5830649999999999</v>
      </c>
      <c r="Q30">
        <v>3.5904180000000001</v>
      </c>
      <c r="R30">
        <v>3.6006719999999999</v>
      </c>
      <c r="S30">
        <v>3.6144270000000001</v>
      </c>
      <c r="T30">
        <v>3.628603</v>
      </c>
      <c r="U30">
        <v>3.6447630000000002</v>
      </c>
      <c r="V30">
        <v>3.6663160000000001</v>
      </c>
      <c r="W30">
        <v>3.6863039999999998</v>
      </c>
      <c r="X30">
        <v>3.7019820000000001</v>
      </c>
      <c r="Y30">
        <v>3.720602</v>
      </c>
      <c r="Z30">
        <v>3.7431770000000002</v>
      </c>
      <c r="AA30">
        <v>3.766105</v>
      </c>
      <c r="AB30">
        <v>3.7895850000000002</v>
      </c>
      <c r="AC30">
        <v>3.8086920000000002</v>
      </c>
      <c r="AD30">
        <v>3.8223910000000001</v>
      </c>
      <c r="AE30" s="6">
        <v>0.18685532279038353</v>
      </c>
    </row>
    <row r="31" spans="1:31" x14ac:dyDescent="0.25">
      <c r="A31" t="s">
        <v>77</v>
      </c>
      <c r="B31" t="s">
        <v>53</v>
      </c>
      <c r="C31" t="s">
        <v>52</v>
      </c>
      <c r="D31">
        <v>7.5204360000000001</v>
      </c>
      <c r="E31">
        <v>7.1824430000000001</v>
      </c>
      <c r="F31">
        <v>6.4011319999999996</v>
      </c>
      <c r="G31">
        <v>6.1019940000000004</v>
      </c>
      <c r="H31">
        <v>6.2150540000000003</v>
      </c>
      <c r="I31">
        <v>6.3502840000000003</v>
      </c>
      <c r="J31">
        <v>6.4745980000000003</v>
      </c>
      <c r="K31">
        <v>6.5607870000000004</v>
      </c>
      <c r="L31">
        <v>6.564146</v>
      </c>
      <c r="M31">
        <v>6.64771</v>
      </c>
      <c r="N31">
        <v>6.7868659999999998</v>
      </c>
      <c r="O31">
        <v>6.9234119999999999</v>
      </c>
      <c r="P31">
        <v>7.0904150000000001</v>
      </c>
      <c r="Q31">
        <v>7.2195879999999999</v>
      </c>
      <c r="R31">
        <v>7.2733140000000001</v>
      </c>
      <c r="S31">
        <v>7.403778</v>
      </c>
      <c r="T31">
        <v>7.6055070000000002</v>
      </c>
      <c r="U31">
        <v>7.830438</v>
      </c>
      <c r="V31">
        <v>8.1312470000000001</v>
      </c>
      <c r="W31">
        <v>8.3103899999999999</v>
      </c>
      <c r="X31">
        <v>8.5100599999999993</v>
      </c>
      <c r="Y31">
        <v>8.773123</v>
      </c>
      <c r="Z31">
        <v>9.0860269999999996</v>
      </c>
      <c r="AA31">
        <v>9.3643529999999995</v>
      </c>
      <c r="AB31">
        <v>9.6171260000000007</v>
      </c>
      <c r="AC31">
        <v>9.7664530000000003</v>
      </c>
      <c r="AD31">
        <v>9.9177169999999997</v>
      </c>
      <c r="AE31" s="6" cm="1">
        <f t="array" ref="AE31:AE33">(AD31:AD33-D31:D33)/D31:D33</f>
        <v>0.31876888520825114</v>
      </c>
    </row>
    <row r="32" spans="1:31" x14ac:dyDescent="0.25">
      <c r="A32" t="s">
        <v>77</v>
      </c>
      <c r="B32" t="s">
        <v>54</v>
      </c>
      <c r="C32" t="s">
        <v>52</v>
      </c>
      <c r="D32">
        <v>0.90915199999999996</v>
      </c>
      <c r="E32">
        <v>0.95628800000000003</v>
      </c>
      <c r="F32">
        <v>1.0353600000000001</v>
      </c>
      <c r="G32">
        <v>1.099038</v>
      </c>
      <c r="H32">
        <v>1.148074</v>
      </c>
      <c r="I32">
        <v>1.2033579999999999</v>
      </c>
      <c r="J32">
        <v>1.272967</v>
      </c>
      <c r="K32">
        <v>1.3432409999999999</v>
      </c>
      <c r="L32">
        <v>1.415341</v>
      </c>
      <c r="M32">
        <v>1.4738290000000001</v>
      </c>
      <c r="N32">
        <v>1.5415140000000001</v>
      </c>
      <c r="O32">
        <v>1.601872</v>
      </c>
      <c r="P32">
        <v>1.653686</v>
      </c>
      <c r="Q32">
        <v>1.702644</v>
      </c>
      <c r="R32">
        <v>1.7508630000000001</v>
      </c>
      <c r="S32">
        <v>1.7999670000000001</v>
      </c>
      <c r="T32">
        <v>1.8624989999999999</v>
      </c>
      <c r="U32">
        <v>1.910533</v>
      </c>
      <c r="V32">
        <v>1.9586650000000001</v>
      </c>
      <c r="W32">
        <v>2.0154570000000001</v>
      </c>
      <c r="X32">
        <v>2.0653160000000002</v>
      </c>
      <c r="Y32">
        <v>2.1258330000000001</v>
      </c>
      <c r="Z32">
        <v>2.1850540000000001</v>
      </c>
      <c r="AA32">
        <v>2.2439879999999999</v>
      </c>
      <c r="AB32">
        <v>2.314686</v>
      </c>
      <c r="AC32">
        <v>2.3872589999999998</v>
      </c>
      <c r="AD32">
        <v>2.4496929999999999</v>
      </c>
      <c r="AE32" s="6">
        <v>1.6944812308612862</v>
      </c>
    </row>
    <row r="33" spans="1:31" x14ac:dyDescent="0.25">
      <c r="A33" t="s">
        <v>77</v>
      </c>
      <c r="B33" t="s">
        <v>55</v>
      </c>
      <c r="C33" t="s">
        <v>52</v>
      </c>
      <c r="D33">
        <v>3.2206039999999998</v>
      </c>
      <c r="E33">
        <v>3.3180350000000001</v>
      </c>
      <c r="F33">
        <v>3.477252</v>
      </c>
      <c r="G33">
        <v>3.605963</v>
      </c>
      <c r="H33">
        <v>3.7067929999999998</v>
      </c>
      <c r="I33">
        <v>3.8140559999999999</v>
      </c>
      <c r="J33">
        <v>3.922523</v>
      </c>
      <c r="K33">
        <v>4.0358859999999996</v>
      </c>
      <c r="L33">
        <v>4.1500659999999998</v>
      </c>
      <c r="M33">
        <v>4.2679109999999998</v>
      </c>
      <c r="N33">
        <v>4.3872479999999996</v>
      </c>
      <c r="O33">
        <v>4.5077429999999996</v>
      </c>
      <c r="P33">
        <v>4.6258689999999998</v>
      </c>
      <c r="Q33">
        <v>4.740424</v>
      </c>
      <c r="R33">
        <v>4.8566409999999998</v>
      </c>
      <c r="S33">
        <v>4.9766269999999997</v>
      </c>
      <c r="T33">
        <v>5.0993599999999999</v>
      </c>
      <c r="U33">
        <v>5.2268140000000001</v>
      </c>
      <c r="V33">
        <v>5.3647220000000004</v>
      </c>
      <c r="W33">
        <v>5.5040639999999996</v>
      </c>
      <c r="X33">
        <v>5.6397940000000002</v>
      </c>
      <c r="Y33">
        <v>5.7850339999999996</v>
      </c>
      <c r="Z33">
        <v>5.9402470000000003</v>
      </c>
      <c r="AA33">
        <v>6.1029299999999997</v>
      </c>
      <c r="AB33">
        <v>6.2731490000000001</v>
      </c>
      <c r="AC33">
        <v>6.441554</v>
      </c>
      <c r="AD33">
        <v>6.6072769999999998</v>
      </c>
      <c r="AE33" s="6">
        <v>1.0515645512456671</v>
      </c>
    </row>
    <row r="34" spans="1:31" x14ac:dyDescent="0.25">
      <c r="A34" t="s">
        <v>56</v>
      </c>
      <c r="B34" t="s">
        <v>57</v>
      </c>
      <c r="C34" t="s">
        <v>58</v>
      </c>
      <c r="D34">
        <v>24.400316</v>
      </c>
      <c r="E34">
        <v>23.962626</v>
      </c>
      <c r="F34">
        <v>22.233958999999999</v>
      </c>
      <c r="G34">
        <v>22.886139</v>
      </c>
      <c r="H34">
        <v>22.980204000000001</v>
      </c>
      <c r="I34">
        <v>22.552955999999998</v>
      </c>
      <c r="J34">
        <v>21.311039000000001</v>
      </c>
      <c r="K34">
        <v>19.808551999999999</v>
      </c>
      <c r="L34">
        <v>20.460149999999999</v>
      </c>
      <c r="M34">
        <v>19.729084</v>
      </c>
      <c r="N34">
        <v>19.441386999999999</v>
      </c>
      <c r="O34">
        <v>19.407126999999999</v>
      </c>
      <c r="P34">
        <v>19.312667999999999</v>
      </c>
      <c r="Q34">
        <v>18.857161000000001</v>
      </c>
      <c r="R34">
        <v>19.19595</v>
      </c>
      <c r="S34">
        <v>19.18638</v>
      </c>
      <c r="T34">
        <v>19.333300000000001</v>
      </c>
      <c r="U34">
        <v>19.872783999999999</v>
      </c>
      <c r="V34">
        <v>19.950699</v>
      </c>
      <c r="W34">
        <v>20.227633999999998</v>
      </c>
      <c r="X34">
        <v>20.303629000000001</v>
      </c>
      <c r="Y34">
        <v>20.439675999999999</v>
      </c>
      <c r="Z34">
        <v>20.767588</v>
      </c>
      <c r="AA34">
        <v>21.138650999999999</v>
      </c>
      <c r="AB34">
        <v>20.875267000000001</v>
      </c>
      <c r="AC34">
        <v>21.302267000000001</v>
      </c>
      <c r="AD34">
        <v>21.645655000000001</v>
      </c>
      <c r="AE34" s="6" cm="1">
        <f t="array" ref="AE34:AE38">(AD34:AD38-D34:D38)/D34:D38</f>
        <v>-0.11289448054689122</v>
      </c>
    </row>
    <row r="35" spans="1:31" x14ac:dyDescent="0.25">
      <c r="A35" t="s">
        <v>56</v>
      </c>
      <c r="B35" t="s">
        <v>59</v>
      </c>
      <c r="C35" t="s">
        <v>58</v>
      </c>
      <c r="D35">
        <v>89.467849999999999</v>
      </c>
      <c r="E35">
        <v>87.862976000000003</v>
      </c>
      <c r="F35">
        <v>81.524529000000001</v>
      </c>
      <c r="G35">
        <v>83.915854999999993</v>
      </c>
      <c r="H35">
        <v>84.260727000000003</v>
      </c>
      <c r="I35">
        <v>82.694175999999999</v>
      </c>
      <c r="J35">
        <v>78.140441999999993</v>
      </c>
      <c r="K35">
        <v>72.631316999999996</v>
      </c>
      <c r="L35">
        <v>75.020538000000002</v>
      </c>
      <c r="M35">
        <v>72.339989000000003</v>
      </c>
      <c r="N35">
        <v>71.285110000000003</v>
      </c>
      <c r="O35">
        <v>71.159453999999997</v>
      </c>
      <c r="P35">
        <v>70.813147999999998</v>
      </c>
      <c r="Q35">
        <v>69.142937000000003</v>
      </c>
      <c r="R35">
        <v>70.385177999999996</v>
      </c>
      <c r="S35">
        <v>70.350075000000004</v>
      </c>
      <c r="T35">
        <v>70.888717999999997</v>
      </c>
      <c r="U35">
        <v>72.866859000000005</v>
      </c>
      <c r="V35">
        <v>73.152512000000002</v>
      </c>
      <c r="W35">
        <v>74.167975999999996</v>
      </c>
      <c r="X35">
        <v>74.446617000000003</v>
      </c>
      <c r="Y35">
        <v>74.945464999999999</v>
      </c>
      <c r="Z35">
        <v>76.147803999999994</v>
      </c>
      <c r="AA35">
        <v>77.508437999999998</v>
      </c>
      <c r="AB35">
        <v>76.542618000000004</v>
      </c>
      <c r="AC35">
        <v>78.108260999999999</v>
      </c>
      <c r="AD35">
        <v>79.367385999999996</v>
      </c>
      <c r="AE35" s="6">
        <v>-0.11289490023511242</v>
      </c>
    </row>
    <row r="36" spans="1:31" x14ac:dyDescent="0.25">
      <c r="A36" t="s">
        <v>56</v>
      </c>
      <c r="B36" t="s">
        <v>60</v>
      </c>
      <c r="C36" t="s">
        <v>58</v>
      </c>
      <c r="D36">
        <v>2.0232E-2</v>
      </c>
      <c r="E36">
        <v>1.1150999999999999E-2</v>
      </c>
      <c r="F36">
        <v>3.0590000000000001E-3</v>
      </c>
      <c r="G36">
        <v>2.578E-3</v>
      </c>
      <c r="H36">
        <v>2.6580000000000002E-3</v>
      </c>
      <c r="I36">
        <v>2.686E-3</v>
      </c>
      <c r="J36">
        <v>1.263E-3</v>
      </c>
      <c r="K36">
        <v>1.3799999999999999E-3</v>
      </c>
      <c r="L36">
        <v>1.7000000000000001E-4</v>
      </c>
      <c r="M36">
        <v>1.84E-4</v>
      </c>
      <c r="N36">
        <v>1.65E-4</v>
      </c>
      <c r="O36">
        <v>1.7200000000000001E-4</v>
      </c>
      <c r="P36">
        <v>1.94E-4</v>
      </c>
      <c r="Q36">
        <v>3.2499999999999999E-4</v>
      </c>
      <c r="R36">
        <v>4.9899999999999999E-4</v>
      </c>
      <c r="S36">
        <v>1.139E-3</v>
      </c>
      <c r="T36">
        <v>1.1509999999999999E-3</v>
      </c>
      <c r="U36">
        <v>1.163E-3</v>
      </c>
      <c r="V36">
        <v>1.175E-3</v>
      </c>
      <c r="W36">
        <v>1.189E-3</v>
      </c>
      <c r="X36">
        <v>1.196E-3</v>
      </c>
      <c r="Y36">
        <v>1.2030000000000001E-3</v>
      </c>
      <c r="Z36">
        <v>1.2099999999999999E-3</v>
      </c>
      <c r="AA36">
        <v>1.2080000000000001E-3</v>
      </c>
      <c r="AB36">
        <v>1.2099999999999999E-3</v>
      </c>
      <c r="AC36">
        <v>1.2099999999999999E-3</v>
      </c>
      <c r="AD36">
        <v>1.219E-3</v>
      </c>
      <c r="AE36" s="6">
        <v>-0.93974891261368121</v>
      </c>
    </row>
    <row r="37" spans="1:31" x14ac:dyDescent="0.25">
      <c r="A37" t="s">
        <v>56</v>
      </c>
      <c r="B37" t="s">
        <v>61</v>
      </c>
      <c r="C37" t="s">
        <v>58</v>
      </c>
      <c r="D37">
        <v>4.3908999999999997E-2</v>
      </c>
      <c r="E37">
        <v>4.4470999999999997E-2</v>
      </c>
      <c r="F37">
        <v>2.9711000000000001E-2</v>
      </c>
      <c r="G37">
        <v>3.0669999999999999E-2</v>
      </c>
      <c r="H37">
        <v>3.0213E-2</v>
      </c>
      <c r="I37">
        <v>2.8308E-2</v>
      </c>
      <c r="J37">
        <v>3.0769999999999999E-2</v>
      </c>
      <c r="K37">
        <v>3.0200000000000001E-2</v>
      </c>
      <c r="L37">
        <v>2.9850000000000002E-2</v>
      </c>
      <c r="M37">
        <v>2.8324999999999999E-2</v>
      </c>
      <c r="N37">
        <v>2.7071999999999999E-2</v>
      </c>
      <c r="O37">
        <v>2.6017999999999999E-2</v>
      </c>
      <c r="P37">
        <v>2.6724999999999999E-2</v>
      </c>
      <c r="Q37">
        <v>2.5357000000000001E-2</v>
      </c>
      <c r="R37">
        <v>2.7033999999999999E-2</v>
      </c>
      <c r="S37">
        <v>2.6765000000000001E-2</v>
      </c>
      <c r="T37">
        <v>2.6957999999999999E-2</v>
      </c>
      <c r="U37">
        <v>2.7359000000000001E-2</v>
      </c>
      <c r="V37">
        <v>2.674E-2</v>
      </c>
      <c r="W37">
        <v>2.6875E-2</v>
      </c>
      <c r="X37">
        <v>2.7049E-2</v>
      </c>
      <c r="Y37">
        <v>2.6512999999999998E-2</v>
      </c>
      <c r="Z37">
        <v>2.6974000000000001E-2</v>
      </c>
      <c r="AA37">
        <v>2.6971999999999999E-2</v>
      </c>
      <c r="AB37">
        <v>2.6599999999999999E-2</v>
      </c>
      <c r="AC37">
        <v>2.7529000000000001E-2</v>
      </c>
      <c r="AD37">
        <v>2.7897000000000002E-2</v>
      </c>
      <c r="AE37" s="6">
        <v>-0.36466328087635785</v>
      </c>
    </row>
    <row r="38" spans="1:31" x14ac:dyDescent="0.25">
      <c r="A38" t="s">
        <v>56</v>
      </c>
      <c r="B38" t="s">
        <v>62</v>
      </c>
      <c r="C38" t="s">
        <v>63</v>
      </c>
      <c r="D38">
        <v>4.4367999999999998E-2</v>
      </c>
      <c r="E38">
        <v>3.7044000000000001E-2</v>
      </c>
      <c r="F38">
        <v>6.9239999999999996E-3</v>
      </c>
      <c r="G38">
        <v>6.3790000000000001E-3</v>
      </c>
      <c r="H38">
        <v>7.3010000000000002E-3</v>
      </c>
      <c r="I38">
        <v>7.3810000000000004E-3</v>
      </c>
      <c r="J38">
        <v>2.6080000000000001E-3</v>
      </c>
      <c r="K38">
        <v>2.6280000000000001E-3</v>
      </c>
      <c r="L38">
        <v>1.35E-4</v>
      </c>
      <c r="M38">
        <v>1.13E-4</v>
      </c>
      <c r="N38">
        <v>9.2E-5</v>
      </c>
      <c r="O38">
        <v>7.7999999999999999E-5</v>
      </c>
      <c r="P38">
        <v>6.7999999999999999E-5</v>
      </c>
      <c r="Q38">
        <v>3.4999999999999997E-5</v>
      </c>
      <c r="R38">
        <v>5.3000000000000001E-5</v>
      </c>
      <c r="S38">
        <v>1.16E-4</v>
      </c>
      <c r="T38">
        <v>1.2E-4</v>
      </c>
      <c r="U38">
        <v>1.21E-4</v>
      </c>
      <c r="V38">
        <v>6.9999999999999999E-6</v>
      </c>
      <c r="W38">
        <v>6.9999999999999999E-6</v>
      </c>
      <c r="X38">
        <v>6.9999999999999999E-6</v>
      </c>
      <c r="Y38">
        <v>6.9999999999999999E-6</v>
      </c>
      <c r="Z38">
        <v>0</v>
      </c>
      <c r="AA38">
        <v>0</v>
      </c>
      <c r="AB38">
        <v>0</v>
      </c>
      <c r="AC38">
        <v>0</v>
      </c>
      <c r="AD38">
        <v>0</v>
      </c>
      <c r="AE38" s="6">
        <v>-1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91.519986403314675</v>
      </c>
      <c r="E39" s="4" cm="1">
        <f t="array" ref="E39:E42">907185*E34:E37*10^6/(E17*10^9)</f>
        <v>89.318086614241523</v>
      </c>
      <c r="F39" s="4" cm="1">
        <f t="array" ref="F39:F42">907185*F34:F37*10^6/(F17*10^9)</f>
        <v>82.164985444273796</v>
      </c>
      <c r="G39" s="4" cm="1">
        <f t="array" ref="G39:G42">907185*G34:G37*10^6/(G17*10^9)</f>
        <v>82.554441273306409</v>
      </c>
      <c r="H39" s="4" cm="1">
        <f t="array" ref="H39:H42">907185*H34:H37*10^6/(H17*10^9)</f>
        <v>82.61878937670869</v>
      </c>
      <c r="I39" s="4" cm="1">
        <f t="array" ref="I39:I42">907185*I34:I37*10^6/(I17*10^9)</f>
        <v>80.016413492758787</v>
      </c>
      <c r="J39" s="4" cm="1">
        <f t="array" ref="J39:J42">907185*J34:J37*10^6/(J17*10^9)</f>
        <v>74.557439588312207</v>
      </c>
      <c r="K39" s="4" cm="1">
        <f t="array" ref="K39:K42">907185*K34:K37*10^6/(K17*10^9)</f>
        <v>67.581537757066641</v>
      </c>
      <c r="L39" s="4" cm="1">
        <f t="array" ref="L39:L42">907185*L34:L37*10^6/(L17*10^9)</f>
        <v>67.21808414594976</v>
      </c>
      <c r="M39" s="4" cm="1">
        <f t="array" ref="M39:M42">907185*M34:M37*10^6/(M17*10^9)</f>
        <v>63.462284452233959</v>
      </c>
      <c r="N39" s="4" cm="1">
        <f t="array" ref="N39:N42">907185*N34:N37*10^6/(N17*10^9)</f>
        <v>60.835780150421087</v>
      </c>
      <c r="O39" s="4" cm="1">
        <f t="array" ref="O39:O42">907185*O34:O37*10^6/(O17*10^9)</f>
        <v>59.865968311289691</v>
      </c>
      <c r="P39" s="4" cm="1">
        <f t="array" ref="P39:P42">907185*P34:P37*10^6/(P17*10^9)</f>
        <v>58.90628287932325</v>
      </c>
      <c r="Q39" s="4" cm="1">
        <f t="array" ref="Q39:Q42">907185*Q34:Q37*10^6/(Q17*10^9)</f>
        <v>57.414125356659412</v>
      </c>
      <c r="R39" s="4" cm="1">
        <f t="array" ref="R39:R42">907185*R34:R37*10^6/(R17*10^9)</f>
        <v>57.537821711215841</v>
      </c>
      <c r="S39" s="4" cm="1">
        <f t="array" ref="S39:S42">907185*S34:S37*10^6/(S17*10^9)</f>
        <v>55.69518277328185</v>
      </c>
      <c r="T39" s="4" cm="1">
        <f t="array" ref="T39:T42">907185*T34:T37*10^6/(T17*10^9)</f>
        <v>54.956582405784118</v>
      </c>
      <c r="U39" s="4" cm="1">
        <f t="array" ref="U39:U42">907185*U34:U37*10^6/(U17*10^9)</f>
        <v>55.353257863860385</v>
      </c>
      <c r="V39" s="4" cm="1">
        <f t="array" ref="V39:V42">907185*V34:V37*10^6/(V17*10^9)</f>
        <v>54.666225253622009</v>
      </c>
      <c r="W39" s="4" cm="1">
        <f t="array" ref="W39:W42">907185*W34:W37*10^6/(W17*10^9)</f>
        <v>54.477969623152262</v>
      </c>
      <c r="X39" s="4" cm="1">
        <f t="array" ref="X39:X42">907185*X34:X37*10^6/(X17*10^9)</f>
        <v>53.807879937873388</v>
      </c>
      <c r="Y39" s="4" cm="1">
        <f t="array" ref="Y39:Y42">907185*Y34:Y37*10^6/(Y17*10^9)</f>
        <v>53.159004671476211</v>
      </c>
      <c r="Z39" s="4" cm="1">
        <f t="array" ref="Z39:Z42">907185*Z34:Z37*10^6/(Z17*10^9)</f>
        <v>53.29131950566579</v>
      </c>
      <c r="AA39" s="4" cm="1">
        <f t="array" ref="AA39:AA42">907185*AA34:AA37*10^6/(AA17*10^9)</f>
        <v>53.445108914909838</v>
      </c>
      <c r="AB39" s="4" cm="1">
        <f t="array" ref="AB39:AB42">907185*AB34:AB37*10^6/(AB17*10^9)</f>
        <v>52.166272196800534</v>
      </c>
      <c r="AC39" s="4" cm="1">
        <f t="array" ref="AC39:AC42">907185*AC34:AC37*10^6/(AC17*10^9)</f>
        <v>52.465603956048469</v>
      </c>
      <c r="AD39" s="4" cm="1">
        <f t="array" ref="AD39:AD42">907185*AD34:AD37*10^6/(AD17*10^9)</f>
        <v>52.686549139055558</v>
      </c>
      <c r="AE39" s="6" cm="1">
        <f t="array" ref="AE39:AE43">(AD39:AD43-D39:D43)/D39:D43</f>
        <v>-0.42431646671281242</v>
      </c>
    </row>
    <row r="40" spans="1:31" x14ac:dyDescent="0.25">
      <c r="A40" t="s">
        <v>64</v>
      </c>
      <c r="B40" t="s">
        <v>66</v>
      </c>
      <c r="C40" t="s">
        <v>70</v>
      </c>
      <c r="D40" s="4">
        <v>335.5733759978271</v>
      </c>
      <c r="E40" s="4">
        <v>327.49970310236552</v>
      </c>
      <c r="F40" s="4">
        <v>301.27166010498973</v>
      </c>
      <c r="G40" s="4">
        <v>302.69966128829316</v>
      </c>
      <c r="H40" s="4">
        <v>302.93548554840294</v>
      </c>
      <c r="I40" s="4">
        <v>293.39353033185409</v>
      </c>
      <c r="J40" s="4">
        <v>273.37715837407143</v>
      </c>
      <c r="K40" s="4">
        <v>247.79883416925051</v>
      </c>
      <c r="L40" s="4">
        <v>246.46626911134192</v>
      </c>
      <c r="M40" s="4">
        <v>232.69508909736894</v>
      </c>
      <c r="N40" s="4">
        <v>223.06460336181692</v>
      </c>
      <c r="O40" s="4">
        <v>219.50851448607909</v>
      </c>
      <c r="P40" s="4">
        <v>215.98980149523535</v>
      </c>
      <c r="Q40" s="4">
        <v>210.51850023689167</v>
      </c>
      <c r="R40" s="4">
        <v>210.97209686815143</v>
      </c>
      <c r="S40" s="4">
        <v>204.21571371144984</v>
      </c>
      <c r="T40" s="4">
        <v>201.5073304819866</v>
      </c>
      <c r="U40" s="4">
        <v>202.9619018631993</v>
      </c>
      <c r="V40" s="4">
        <v>200.44268618659862</v>
      </c>
      <c r="W40" s="4">
        <v>199.75251398847175</v>
      </c>
      <c r="X40" s="4">
        <v>197.29549970189291</v>
      </c>
      <c r="Y40" s="4">
        <v>194.91631491815022</v>
      </c>
      <c r="Z40" s="4">
        <v>195.40145695392337</v>
      </c>
      <c r="AA40" s="4">
        <v>195.9655282985909</v>
      </c>
      <c r="AB40" s="4">
        <v>191.27626225062048</v>
      </c>
      <c r="AC40" s="4">
        <v>192.37375474270726</v>
      </c>
      <c r="AD40" s="4">
        <v>193.18397537646189</v>
      </c>
      <c r="AE40" s="6">
        <v>-0.4243167390677835</v>
      </c>
    </row>
    <row r="41" spans="1:31" x14ac:dyDescent="0.25">
      <c r="A41" t="s">
        <v>64</v>
      </c>
      <c r="B41" t="s">
        <v>67</v>
      </c>
      <c r="C41" t="s">
        <v>70</v>
      </c>
      <c r="D41" s="4">
        <v>7.5885589551867375E-2</v>
      </c>
      <c r="E41" s="4">
        <v>4.1564141752886648E-2</v>
      </c>
      <c r="F41" s="4">
        <v>1.1304450569241113E-2</v>
      </c>
      <c r="G41" s="4">
        <v>9.2993121121297019E-3</v>
      </c>
      <c r="H41" s="4">
        <v>9.5560832342172289E-3</v>
      </c>
      <c r="I41" s="4">
        <v>9.5297524032570326E-3</v>
      </c>
      <c r="J41" s="4">
        <v>4.4186511131643243E-3</v>
      </c>
      <c r="K41" s="4">
        <v>4.7081948294227646E-3</v>
      </c>
      <c r="L41" s="4">
        <v>5.585039359345586E-4</v>
      </c>
      <c r="M41" s="4">
        <v>5.9187037468191872E-4</v>
      </c>
      <c r="N41" s="4">
        <v>5.1631623426967837E-4</v>
      </c>
      <c r="O41" s="4">
        <v>5.3057552256662347E-4</v>
      </c>
      <c r="P41" s="4">
        <v>5.917265744219655E-4</v>
      </c>
      <c r="Q41" s="4">
        <v>9.895227993712472E-4</v>
      </c>
      <c r="R41" s="4">
        <v>1.4956995112977843E-3</v>
      </c>
      <c r="S41" s="4">
        <v>3.3063461256770707E-3</v>
      </c>
      <c r="T41" s="4">
        <v>3.2718173487742653E-3</v>
      </c>
      <c r="U41" s="4">
        <v>3.2393971018690507E-3</v>
      </c>
      <c r="V41" s="4">
        <v>3.2195771523095941E-3</v>
      </c>
      <c r="W41" s="4">
        <v>3.2022680399461474E-3</v>
      </c>
      <c r="X41" s="4">
        <v>3.1695922145591102E-3</v>
      </c>
      <c r="Y41" s="4">
        <v>3.1287326971222978E-3</v>
      </c>
      <c r="Z41" s="4">
        <v>3.104958390057411E-3</v>
      </c>
      <c r="AA41" s="4">
        <v>3.0542011204599145E-3</v>
      </c>
      <c r="AB41" s="4">
        <v>3.0237308753046674E-3</v>
      </c>
      <c r="AC41" s="4">
        <v>2.9801232322746989E-3</v>
      </c>
      <c r="AD41" s="4">
        <v>2.9671037166816494E-3</v>
      </c>
      <c r="AE41" s="6">
        <v>-0.96090030091083833</v>
      </c>
    </row>
    <row r="42" spans="1:31" x14ac:dyDescent="0.25">
      <c r="A42" t="s">
        <v>64</v>
      </c>
      <c r="B42" t="s">
        <v>68</v>
      </c>
      <c r="C42" t="s">
        <v>70</v>
      </c>
      <c r="D42" s="4">
        <v>0.1646925836117509</v>
      </c>
      <c r="E42" s="4">
        <v>0.16576082395234704</v>
      </c>
      <c r="F42" s="4">
        <v>0.10979618530981457</v>
      </c>
      <c r="G42" s="4">
        <v>0.1106322352517525</v>
      </c>
      <c r="H42" s="4">
        <v>0.10862225084853466</v>
      </c>
      <c r="I42" s="4">
        <v>0.10043493336984366</v>
      </c>
      <c r="J42" s="4">
        <v>0.10764995625658451</v>
      </c>
      <c r="K42" s="4">
        <v>0.10303440858591847</v>
      </c>
      <c r="L42" s="4">
        <v>9.8066720515568098E-2</v>
      </c>
      <c r="M42" s="4">
        <v>9.1112654146007319E-2</v>
      </c>
      <c r="N42" s="4">
        <v>8.4713412691810486E-2</v>
      </c>
      <c r="O42" s="4">
        <v>8.0258802012432615E-2</v>
      </c>
      <c r="P42" s="4">
        <v>8.1514910832098081E-2</v>
      </c>
      <c r="Q42" s="4">
        <v>7.7204091149712994E-2</v>
      </c>
      <c r="R42" s="4">
        <v>8.1031544265379368E-2</v>
      </c>
      <c r="S42" s="4">
        <v>7.7694779678443182E-2</v>
      </c>
      <c r="T42" s="4">
        <v>7.6630453595357639E-2</v>
      </c>
      <c r="U42" s="4">
        <v>7.6205215227889395E-2</v>
      </c>
      <c r="V42" s="4">
        <v>7.3269355789581728E-2</v>
      </c>
      <c r="W42" s="4">
        <v>7.2380953383980415E-2</v>
      </c>
      <c r="X42" s="4">
        <v>7.1684197166897459E-2</v>
      </c>
      <c r="Y42" s="4">
        <v>6.8954355776228965E-2</v>
      </c>
      <c r="Z42" s="4">
        <v>6.9217477366453409E-2</v>
      </c>
      <c r="AA42" s="4">
        <v>6.819363627569934E-2</v>
      </c>
      <c r="AB42" s="4">
        <v>6.6472100233970377E-2</v>
      </c>
      <c r="AC42" s="4">
        <v>6.7801497901892729E-2</v>
      </c>
      <c r="AD42" s="4">
        <v>6.7902618855018831E-2</v>
      </c>
      <c r="AE42" s="6">
        <v>-0.58770080980031492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1.6641418728930661E-7</v>
      </c>
      <c r="E43" s="5">
        <f>907185*E38/(E17*10^9)</f>
        <v>1.380774878570472E-7</v>
      </c>
      <c r="F43" s="5">
        <f>907185*F38/(F17*10^9)</f>
        <v>2.5587452024003092E-8</v>
      </c>
      <c r="G43" s="5">
        <f>907185*G38/(G17*10^9)</f>
        <v>2.3010206347275162E-8</v>
      </c>
      <c r="H43" s="5">
        <f>907185*H38/(H17*10^9)</f>
        <v>2.6248669560955599E-8</v>
      </c>
      <c r="I43" s="5">
        <f>907185*I38/(I17*10^9)</f>
        <v>2.6187305468518305E-8</v>
      </c>
      <c r="J43" s="5">
        <f>907185*J38/(J17*10^9)</f>
        <v>9.1241821877534104E-9</v>
      </c>
      <c r="K43" s="5">
        <f>907185*K38/(K17*10^9)</f>
        <v>8.9660405882050914E-9</v>
      </c>
      <c r="L43" s="5">
        <f>907185*L38/(L17*10^9)</f>
        <v>4.4351783147744367E-10</v>
      </c>
      <c r="M43" s="5">
        <f>907185*M38/(M17*10^9)</f>
        <v>3.6348561053835229E-10</v>
      </c>
      <c r="N43" s="5">
        <f>907185*N38/(N17*10^9)</f>
        <v>2.8788541547157822E-10</v>
      </c>
      <c r="O43" s="5">
        <f>907185*O38/(O17*10^9)</f>
        <v>2.4060983000114319E-10</v>
      </c>
      <c r="P43" s="5">
        <f>907185*P38/(P17*10^9)</f>
        <v>2.074093147458436E-10</v>
      </c>
      <c r="Q43" s="5">
        <f>907185*Q38/(Q17*10^9)</f>
        <v>1.06563993778442E-10</v>
      </c>
      <c r="R43" s="5">
        <f>907185*R38/(R17*10^9)</f>
        <v>1.5886187194144802E-10</v>
      </c>
      <c r="S43" s="5">
        <f>907185*S38/(S17*10^9)</f>
        <v>3.367305975228623E-10</v>
      </c>
      <c r="T43" s="5">
        <f>907185*T38/(T17*10^9)</f>
        <v>3.4111040995040131E-10</v>
      </c>
      <c r="U43" s="5">
        <f>907185*U38/(U17*10^9)</f>
        <v>3.3703099684106205E-10</v>
      </c>
      <c r="V43" s="5">
        <f>907185*V38/(V17*10^9)</f>
        <v>1.9180459630780559E-11</v>
      </c>
      <c r="W43" s="5">
        <f>907185*W38/(W17*10^9)</f>
        <v>1.8852713439548388E-11</v>
      </c>
      <c r="X43" s="5">
        <f>907185*X38/(X17*10^9)</f>
        <v>1.8551125001600142E-11</v>
      </c>
      <c r="Y43" s="5">
        <f>907185*Y38/(Y17*10^9)</f>
        <v>1.8205427165300149E-11</v>
      </c>
      <c r="Z43" s="5">
        <f>907185*Z38/(Z17*10^9)</f>
        <v>0</v>
      </c>
      <c r="AA43" s="5">
        <f>907185*AA38/(AA17*10^9)</f>
        <v>0</v>
      </c>
      <c r="AB43" s="5">
        <f>907185*AB38/(AB17*10^9)</f>
        <v>0</v>
      </c>
      <c r="AC43" s="5">
        <f>907185*AC38/(AC17*10^9)</f>
        <v>0</v>
      </c>
      <c r="AD43" s="5">
        <f>907185*AD38/(AD17*10^9)</f>
        <v>0</v>
      </c>
      <c r="AE43" s="6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6" width="12" bestFit="1" customWidth="1"/>
    <col min="7" max="8" width="11.42578125" bestFit="1" customWidth="1"/>
    <col min="9" max="9" width="12" bestFit="1" customWidth="1"/>
    <col min="10" max="10" width="10.85546875" bestFit="1" customWidth="1"/>
    <col min="11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0.90981800000000002</v>
      </c>
      <c r="E2">
        <v>0.92998999999999998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1.7824E-2</v>
      </c>
      <c r="E3">
        <v>7.4157000000000001E-2</v>
      </c>
      <c r="F3">
        <v>2.5933000000000001E-2</v>
      </c>
      <c r="G3">
        <v>1.5396999999999999E-2</v>
      </c>
      <c r="H3">
        <v>1.9175000000000001E-2</v>
      </c>
      <c r="I3">
        <v>3.1879999999999999E-2</v>
      </c>
      <c r="J3">
        <v>1.5209E-2</v>
      </c>
      <c r="K3">
        <v>1.4544E-2</v>
      </c>
      <c r="L3">
        <v>1.1805E-2</v>
      </c>
      <c r="M3">
        <v>1.1693E-2</v>
      </c>
      <c r="N3">
        <v>9.0609999999999996E-3</v>
      </c>
      <c r="O3">
        <v>6.9589999999999999E-3</v>
      </c>
      <c r="P3">
        <v>1.0015E-2</v>
      </c>
      <c r="Q3">
        <v>6.9699999999999996E-3</v>
      </c>
      <c r="R3">
        <v>7.0169999999999998E-3</v>
      </c>
      <c r="S3">
        <v>1.346E-2</v>
      </c>
      <c r="T3">
        <v>1.4921E-2</v>
      </c>
      <c r="U3">
        <v>1.3983000000000001E-2</v>
      </c>
      <c r="V3">
        <v>1.7330000000000002E-2</v>
      </c>
      <c r="W3">
        <v>1.3672999999999999E-2</v>
      </c>
      <c r="X3">
        <v>1.1693E-2</v>
      </c>
      <c r="Y3">
        <v>1.1358E-2</v>
      </c>
      <c r="Z3">
        <v>1.1693E-2</v>
      </c>
      <c r="AA3">
        <v>8.1759999999999992E-3</v>
      </c>
      <c r="AB3">
        <v>1.0272999999999999E-2</v>
      </c>
      <c r="AC3">
        <v>1.1693E-2</v>
      </c>
      <c r="AD3">
        <v>1.4604000000000001E-2</v>
      </c>
      <c r="AE3" s="6">
        <v>-0.18065529622980245</v>
      </c>
    </row>
    <row r="4" spans="1:31" x14ac:dyDescent="0.25">
      <c r="A4" t="s">
        <v>28</v>
      </c>
      <c r="B4" t="s">
        <v>32</v>
      </c>
      <c r="C4" t="s">
        <v>30</v>
      </c>
      <c r="D4">
        <v>59.482765000000001</v>
      </c>
      <c r="E4">
        <v>53.431216999999997</v>
      </c>
      <c r="F4">
        <v>41.757973</v>
      </c>
      <c r="G4">
        <v>35.914639000000001</v>
      </c>
      <c r="H4">
        <v>32.786448999999998</v>
      </c>
      <c r="I4">
        <v>32.372245999999997</v>
      </c>
      <c r="J4">
        <v>26.161522000000001</v>
      </c>
      <c r="K4">
        <v>23.272082999999999</v>
      </c>
      <c r="L4">
        <v>25.789026</v>
      </c>
      <c r="M4">
        <v>24.714827</v>
      </c>
      <c r="N4">
        <v>24.929086999999999</v>
      </c>
      <c r="O4">
        <v>25.551888000000002</v>
      </c>
      <c r="P4">
        <v>26.460909000000001</v>
      </c>
      <c r="Q4">
        <v>27.391082999999998</v>
      </c>
      <c r="R4">
        <v>26.021826000000001</v>
      </c>
      <c r="S4">
        <v>24.306166000000001</v>
      </c>
      <c r="T4">
        <v>24.901861</v>
      </c>
      <c r="U4">
        <v>25.460571000000002</v>
      </c>
      <c r="V4">
        <v>26.938573999999999</v>
      </c>
      <c r="W4">
        <v>27.88175</v>
      </c>
      <c r="X4">
        <v>25.055014</v>
      </c>
      <c r="Y4">
        <v>19.582798</v>
      </c>
      <c r="Z4">
        <v>19.552256</v>
      </c>
      <c r="AA4">
        <v>20.275393000000001</v>
      </c>
      <c r="AB4">
        <v>20.391141999999999</v>
      </c>
      <c r="AC4">
        <v>20.099184000000001</v>
      </c>
      <c r="AD4">
        <v>18.416063000000001</v>
      </c>
      <c r="AE4" s="6">
        <v>-0.69039665523282245</v>
      </c>
    </row>
    <row r="5" spans="1:31" x14ac:dyDescent="0.25">
      <c r="A5" t="s">
        <v>28</v>
      </c>
      <c r="B5" t="s">
        <v>33</v>
      </c>
      <c r="C5" t="s">
        <v>30</v>
      </c>
      <c r="D5">
        <v>26.333290000000002</v>
      </c>
      <c r="E5">
        <v>26.741506999999999</v>
      </c>
      <c r="F5">
        <v>26.680641000000001</v>
      </c>
      <c r="G5">
        <v>26.619769999999999</v>
      </c>
      <c r="H5">
        <v>26.609776</v>
      </c>
      <c r="I5">
        <v>26.609776</v>
      </c>
      <c r="J5">
        <v>26.609776</v>
      </c>
      <c r="K5">
        <v>26.619769999999999</v>
      </c>
      <c r="L5">
        <v>26.619769999999999</v>
      </c>
      <c r="M5">
        <v>26.619769999999999</v>
      </c>
      <c r="N5">
        <v>26.619769999999999</v>
      </c>
      <c r="O5">
        <v>26.619769999999999</v>
      </c>
      <c r="P5">
        <v>26.619769999999999</v>
      </c>
      <c r="Q5">
        <v>26.619769999999999</v>
      </c>
      <c r="R5">
        <v>26.619769999999999</v>
      </c>
      <c r="S5">
        <v>26.619769999999999</v>
      </c>
      <c r="T5">
        <v>26.619769999999999</v>
      </c>
      <c r="U5">
        <v>26.619769999999999</v>
      </c>
      <c r="V5">
        <v>26.619769999999999</v>
      </c>
      <c r="W5">
        <v>26.619769999999999</v>
      </c>
      <c r="X5">
        <v>26.619769999999999</v>
      </c>
      <c r="Y5">
        <v>26.619769999999999</v>
      </c>
      <c r="Z5">
        <v>26.619769999999999</v>
      </c>
      <c r="AA5">
        <v>26.619769999999999</v>
      </c>
      <c r="AB5">
        <v>26.619769999999999</v>
      </c>
      <c r="AC5">
        <v>26.619769999999999</v>
      </c>
      <c r="AD5">
        <v>26.619769999999999</v>
      </c>
      <c r="AE5" s="6">
        <v>1.0879005243932581E-2</v>
      </c>
    </row>
    <row r="6" spans="1:31" x14ac:dyDescent="0.25">
      <c r="A6" t="s">
        <v>28</v>
      </c>
      <c r="B6" t="s">
        <v>34</v>
      </c>
      <c r="C6" t="s">
        <v>30</v>
      </c>
      <c r="D6">
        <v>0.90526200000000001</v>
      </c>
      <c r="E6">
        <v>0.86326499999999995</v>
      </c>
      <c r="F6">
        <v>0.747506</v>
      </c>
      <c r="G6">
        <v>0.84376099999999998</v>
      </c>
      <c r="H6">
        <v>0.81697699999999995</v>
      </c>
      <c r="I6">
        <v>0.77138799999999996</v>
      </c>
      <c r="J6">
        <v>0.74133800000000005</v>
      </c>
      <c r="K6">
        <v>0.74177899999999997</v>
      </c>
      <c r="L6">
        <v>0.74961100000000003</v>
      </c>
      <c r="M6">
        <v>0.756579</v>
      </c>
      <c r="N6">
        <v>0.72548800000000002</v>
      </c>
      <c r="O6">
        <v>0.71926699999999999</v>
      </c>
      <c r="P6">
        <v>0.73551</v>
      </c>
      <c r="Q6">
        <v>0.70299199999999995</v>
      </c>
      <c r="R6">
        <v>0.66693000000000002</v>
      </c>
      <c r="S6">
        <v>0.65857399999999999</v>
      </c>
      <c r="T6">
        <v>0.656725</v>
      </c>
      <c r="U6">
        <v>0.65175799999999995</v>
      </c>
      <c r="V6">
        <v>0.65552600000000005</v>
      </c>
      <c r="W6">
        <v>0.65849899999999995</v>
      </c>
      <c r="X6">
        <v>0.64959199999999995</v>
      </c>
      <c r="Y6">
        <v>0.62099899999999997</v>
      </c>
      <c r="Z6">
        <v>0.62417</v>
      </c>
      <c r="AA6">
        <v>0.62297800000000003</v>
      </c>
      <c r="AB6">
        <v>0.63780199999999998</v>
      </c>
      <c r="AC6">
        <v>0.64044800000000002</v>
      </c>
      <c r="AD6">
        <v>0.62382000000000004</v>
      </c>
      <c r="AE6" s="6">
        <v>-0.31089563021534095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6.8383459999999996</v>
      </c>
      <c r="E8">
        <v>7.4269869999999996</v>
      </c>
      <c r="F8">
        <v>7.7127049999999997</v>
      </c>
      <c r="G8">
        <v>7.9969200000000003</v>
      </c>
      <c r="H8">
        <v>7.9994459999999998</v>
      </c>
      <c r="I8">
        <v>8.0018820000000002</v>
      </c>
      <c r="J8">
        <v>8.0010499999999993</v>
      </c>
      <c r="K8">
        <v>8.0020620000000005</v>
      </c>
      <c r="L8">
        <v>8.0042209999999994</v>
      </c>
      <c r="M8">
        <v>8.0067629999999994</v>
      </c>
      <c r="N8">
        <v>8.0060310000000001</v>
      </c>
      <c r="O8">
        <v>8.0014339999999997</v>
      </c>
      <c r="P8">
        <v>8.0041799999999999</v>
      </c>
      <c r="Q8">
        <v>8.0047669999999993</v>
      </c>
      <c r="R8">
        <v>8.0028989999999993</v>
      </c>
      <c r="S8">
        <v>8.0010359999999991</v>
      </c>
      <c r="T8">
        <v>8.0019369999999999</v>
      </c>
      <c r="U8">
        <v>8.0028790000000001</v>
      </c>
      <c r="V8">
        <v>8.0032259999999997</v>
      </c>
      <c r="W8">
        <v>8.0060490000000009</v>
      </c>
      <c r="X8">
        <v>8.0063659999999999</v>
      </c>
      <c r="Y8">
        <v>8.0065770000000001</v>
      </c>
      <c r="Z8">
        <v>8.0085829999999998</v>
      </c>
      <c r="AA8">
        <v>8.0118360000000006</v>
      </c>
      <c r="AB8">
        <v>8.0126729999999995</v>
      </c>
      <c r="AC8">
        <v>8.0135509999999996</v>
      </c>
      <c r="AD8">
        <v>8.0137269999999994</v>
      </c>
      <c r="AE8" s="6">
        <v>0.17188089049603514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0.97675900000000004</v>
      </c>
      <c r="E10">
        <v>0.97936900000000005</v>
      </c>
      <c r="F10">
        <v>0.98209599999999997</v>
      </c>
      <c r="G10">
        <v>0.98484300000000002</v>
      </c>
      <c r="H10">
        <v>0.98796899999999999</v>
      </c>
      <c r="I10">
        <v>0.99039500000000003</v>
      </c>
      <c r="J10">
        <v>0.99261999999999995</v>
      </c>
      <c r="K10">
        <v>0.99501700000000004</v>
      </c>
      <c r="L10">
        <v>0.99754100000000001</v>
      </c>
      <c r="M10">
        <v>1.0001690000000001</v>
      </c>
      <c r="N10">
        <v>1.0023340000000001</v>
      </c>
      <c r="O10">
        <v>1.0044949999999999</v>
      </c>
      <c r="P10">
        <v>1.0067269999999999</v>
      </c>
      <c r="Q10">
        <v>1.009115</v>
      </c>
      <c r="R10">
        <v>1.011587</v>
      </c>
      <c r="S10">
        <v>1.0133289999999999</v>
      </c>
      <c r="T10">
        <v>1.015145</v>
      </c>
      <c r="U10">
        <v>1.0170049999999999</v>
      </c>
      <c r="V10">
        <v>1.0189589999999999</v>
      </c>
      <c r="W10">
        <v>1.0209600000000001</v>
      </c>
      <c r="X10">
        <v>1.021995</v>
      </c>
      <c r="Y10">
        <v>1.018742</v>
      </c>
      <c r="Z10">
        <v>1.019768</v>
      </c>
      <c r="AA10">
        <v>1.0208269999999999</v>
      </c>
      <c r="AB10">
        <v>1.021881</v>
      </c>
      <c r="AC10">
        <v>1.0261499999999999</v>
      </c>
      <c r="AD10">
        <v>1.0218510000000001</v>
      </c>
      <c r="AE10" s="6">
        <v>4.6164918879682722E-2</v>
      </c>
    </row>
    <row r="11" spans="1:31" x14ac:dyDescent="0.25">
      <c r="A11" t="s">
        <v>28</v>
      </c>
      <c r="B11" t="s">
        <v>39</v>
      </c>
      <c r="C11" t="s">
        <v>30</v>
      </c>
      <c r="D11">
        <v>2.1112660000000001</v>
      </c>
      <c r="E11">
        <v>2.1114410000000001</v>
      </c>
      <c r="F11">
        <v>2.111456</v>
      </c>
      <c r="G11">
        <v>2.111469</v>
      </c>
      <c r="H11">
        <v>2.1114830000000002</v>
      </c>
      <c r="I11">
        <v>2.111491</v>
      </c>
      <c r="J11">
        <v>2.1016430000000001</v>
      </c>
      <c r="K11">
        <v>2.1010179999999998</v>
      </c>
      <c r="L11">
        <v>2.1002610000000002</v>
      </c>
      <c r="M11">
        <v>2.099561</v>
      </c>
      <c r="N11">
        <v>2.098805</v>
      </c>
      <c r="O11">
        <v>2.0980110000000001</v>
      </c>
      <c r="P11">
        <v>2.097375</v>
      </c>
      <c r="Q11">
        <v>2.0967859999999998</v>
      </c>
      <c r="R11">
        <v>2.0962390000000002</v>
      </c>
      <c r="S11">
        <v>2.0958640000000002</v>
      </c>
      <c r="T11">
        <v>2.0955020000000002</v>
      </c>
      <c r="U11">
        <v>2.095329</v>
      </c>
      <c r="V11">
        <v>2.0946319999999998</v>
      </c>
      <c r="W11">
        <v>2.0908989999999998</v>
      </c>
      <c r="X11">
        <v>2.0912519999999999</v>
      </c>
      <c r="Y11">
        <v>2.1219450000000002</v>
      </c>
      <c r="Z11">
        <v>2.1168179999999999</v>
      </c>
      <c r="AA11">
        <v>2.1168179999999999</v>
      </c>
      <c r="AB11">
        <v>2.122636</v>
      </c>
      <c r="AC11">
        <v>2.1219320000000002</v>
      </c>
      <c r="AD11">
        <v>2.116107</v>
      </c>
      <c r="AE11" s="6">
        <v>2.2929370339880776E-3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3.8492999999999999</v>
      </c>
      <c r="E13">
        <v>4.4255060000000004</v>
      </c>
      <c r="F13">
        <v>5.349723</v>
      </c>
      <c r="G13">
        <v>5.606217</v>
      </c>
      <c r="H13">
        <v>5.5950280000000001</v>
      </c>
      <c r="I13">
        <v>5.601591</v>
      </c>
      <c r="J13">
        <v>5.5997209999999997</v>
      </c>
      <c r="K13">
        <v>5.6177400000000004</v>
      </c>
      <c r="L13">
        <v>5.6058070000000004</v>
      </c>
      <c r="M13">
        <v>5.5962490000000003</v>
      </c>
      <c r="N13">
        <v>5.5985800000000001</v>
      </c>
      <c r="O13">
        <v>5.5882620000000003</v>
      </c>
      <c r="P13">
        <v>5.5777739999999998</v>
      </c>
      <c r="Q13">
        <v>5.5876340000000004</v>
      </c>
      <c r="R13">
        <v>5.5985110000000002</v>
      </c>
      <c r="S13">
        <v>5.6212229999999996</v>
      </c>
      <c r="T13">
        <v>5.6171110000000004</v>
      </c>
      <c r="U13">
        <v>5.6095069999999998</v>
      </c>
      <c r="V13">
        <v>5.6086539999999996</v>
      </c>
      <c r="W13">
        <v>5.5993950000000003</v>
      </c>
      <c r="X13">
        <v>5.5988600000000002</v>
      </c>
      <c r="Y13">
        <v>5.5975979999999996</v>
      </c>
      <c r="Z13">
        <v>5.5880979999999996</v>
      </c>
      <c r="AA13">
        <v>5.5774100000000004</v>
      </c>
      <c r="AB13">
        <v>5.575666</v>
      </c>
      <c r="AC13">
        <v>5.5748709999999999</v>
      </c>
      <c r="AD13">
        <v>5.5757120000000002</v>
      </c>
      <c r="AE13" s="6">
        <v>0.44850024679811923</v>
      </c>
    </row>
    <row r="14" spans="1:31" x14ac:dyDescent="0.25">
      <c r="A14" t="s">
        <v>28</v>
      </c>
      <c r="B14" t="s">
        <v>42</v>
      </c>
      <c r="C14" t="s">
        <v>30</v>
      </c>
      <c r="D14">
        <v>3.6562480000000002</v>
      </c>
      <c r="E14">
        <v>3.6759390000000001</v>
      </c>
      <c r="F14">
        <v>3.8402989999999999</v>
      </c>
      <c r="G14">
        <v>3.9678309999999999</v>
      </c>
      <c r="H14">
        <v>3.9653</v>
      </c>
      <c r="I14">
        <v>3.9659089999999999</v>
      </c>
      <c r="J14">
        <v>3.9623430000000002</v>
      </c>
      <c r="K14">
        <v>3.9533</v>
      </c>
      <c r="L14">
        <v>3.9537360000000001</v>
      </c>
      <c r="M14">
        <v>3.9548510000000001</v>
      </c>
      <c r="N14">
        <v>3.954313</v>
      </c>
      <c r="O14">
        <v>3.9528780000000001</v>
      </c>
      <c r="P14">
        <v>3.9508369999999999</v>
      </c>
      <c r="Q14">
        <v>6.8650469999999997</v>
      </c>
      <c r="R14">
        <v>12.699125</v>
      </c>
      <c r="S14">
        <v>20.239086</v>
      </c>
      <c r="T14">
        <v>21.806819999999998</v>
      </c>
      <c r="U14">
        <v>21.806056999999999</v>
      </c>
      <c r="V14">
        <v>21.806056999999999</v>
      </c>
      <c r="W14">
        <v>23.354562999999999</v>
      </c>
      <c r="X14">
        <v>27.245245000000001</v>
      </c>
      <c r="Y14">
        <v>36.041389000000002</v>
      </c>
      <c r="Z14">
        <v>38.031520999999998</v>
      </c>
      <c r="AA14">
        <v>38.035294</v>
      </c>
      <c r="AB14">
        <v>38.035297</v>
      </c>
      <c r="AC14">
        <v>38.308861</v>
      </c>
      <c r="AD14">
        <v>38.377357000000003</v>
      </c>
      <c r="AE14" s="6">
        <v>9.4963768869070169</v>
      </c>
    </row>
    <row r="15" spans="1:31" x14ac:dyDescent="0.25">
      <c r="A15" t="s">
        <v>28</v>
      </c>
      <c r="B15" t="s">
        <v>43</v>
      </c>
      <c r="C15" t="s">
        <v>30</v>
      </c>
      <c r="D15">
        <v>0.100895</v>
      </c>
      <c r="E15">
        <v>5.099888</v>
      </c>
      <c r="F15">
        <v>12.401227</v>
      </c>
      <c r="G15">
        <v>15.985873</v>
      </c>
      <c r="H15">
        <v>19.159769000000001</v>
      </c>
      <c r="I15">
        <v>22.340816</v>
      </c>
      <c r="J15">
        <v>25.515091000000002</v>
      </c>
      <c r="K15">
        <v>26.819458000000001</v>
      </c>
      <c r="L15">
        <v>27.660107</v>
      </c>
      <c r="M15">
        <v>28.498207000000001</v>
      </c>
      <c r="N15">
        <v>29.336065000000001</v>
      </c>
      <c r="O15">
        <v>30.178550999999999</v>
      </c>
      <c r="P15">
        <v>31.027795999999999</v>
      </c>
      <c r="Q15">
        <v>31.847702000000002</v>
      </c>
      <c r="R15">
        <v>32.686039000000001</v>
      </c>
      <c r="S15">
        <v>33.589336000000003</v>
      </c>
      <c r="T15">
        <v>34.524901999999997</v>
      </c>
      <c r="U15">
        <v>35.460284999999999</v>
      </c>
      <c r="V15">
        <v>36.395167999999998</v>
      </c>
      <c r="W15">
        <v>37.334353999999998</v>
      </c>
      <c r="X15">
        <v>38.270263999999997</v>
      </c>
      <c r="Y15">
        <v>39.210518</v>
      </c>
      <c r="Z15">
        <v>40.141499000000003</v>
      </c>
      <c r="AA15">
        <v>41.091759000000003</v>
      </c>
      <c r="AB15">
        <v>42.028010999999999</v>
      </c>
      <c r="AC15">
        <v>42.964221999999999</v>
      </c>
      <c r="AD15">
        <v>43.900131000000002</v>
      </c>
      <c r="AE15" s="6">
        <v>434.10710144209327</v>
      </c>
    </row>
    <row r="16" spans="1:31" x14ac:dyDescent="0.25">
      <c r="A16" t="s">
        <v>28</v>
      </c>
      <c r="B16" s="8" t="s">
        <v>44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4.4039999999999999E-3</v>
      </c>
      <c r="J16">
        <v>1.4683E-2</v>
      </c>
      <c r="K16">
        <v>2.5406999999999999E-2</v>
      </c>
      <c r="L16">
        <v>3.6950999999999998E-2</v>
      </c>
      <c r="M16">
        <v>4.8945000000000002E-2</v>
      </c>
      <c r="N16">
        <v>6.1461000000000002E-2</v>
      </c>
      <c r="O16">
        <v>7.3358000000000007E-2</v>
      </c>
      <c r="P16">
        <v>8.6781999999999998E-2</v>
      </c>
      <c r="Q16">
        <v>0.100342</v>
      </c>
      <c r="R16">
        <v>0.11421000000000001</v>
      </c>
      <c r="S16">
        <v>0.158055</v>
      </c>
      <c r="T16">
        <v>0.20174900000000001</v>
      </c>
      <c r="U16">
        <v>0.24576400000000001</v>
      </c>
      <c r="V16">
        <v>0.28605000000000003</v>
      </c>
      <c r="W16">
        <v>0.324793</v>
      </c>
      <c r="X16">
        <v>0.36398399999999997</v>
      </c>
      <c r="Y16">
        <v>0.40201900000000002</v>
      </c>
      <c r="Z16">
        <v>0.43898399999999999</v>
      </c>
      <c r="AA16">
        <v>0.47643000000000002</v>
      </c>
      <c r="AB16">
        <v>0.51127800000000001</v>
      </c>
      <c r="AC16">
        <v>0.54548799999999997</v>
      </c>
      <c r="AD16">
        <v>0.582202</v>
      </c>
      <c r="AE16" s="6" t="e">
        <v>#DIV/0!</v>
      </c>
    </row>
    <row r="17" spans="1:31" x14ac:dyDescent="0.25">
      <c r="A17" t="s">
        <v>28</v>
      </c>
      <c r="B17" s="8" t="s">
        <v>45</v>
      </c>
      <c r="C17" t="s">
        <v>30</v>
      </c>
      <c r="D17">
        <v>105.18177799999999</v>
      </c>
      <c r="E17">
        <v>105.75927</v>
      </c>
      <c r="F17">
        <v>101.60955800000001</v>
      </c>
      <c r="G17">
        <v>100.046722</v>
      </c>
      <c r="H17">
        <v>100.051376</v>
      </c>
      <c r="I17">
        <v>102.80178100000001</v>
      </c>
      <c r="J17">
        <v>99.714989000000003</v>
      </c>
      <c r="K17">
        <v>98.162170000000003</v>
      </c>
      <c r="L17">
        <v>101.528831</v>
      </c>
      <c r="M17">
        <v>101.30761</v>
      </c>
      <c r="N17">
        <v>102.340988</v>
      </c>
      <c r="O17">
        <v>103.794876</v>
      </c>
      <c r="P17">
        <v>105.577675</v>
      </c>
      <c r="Q17">
        <v>110.232208</v>
      </c>
      <c r="R17">
        <v>115.52415499999999</v>
      </c>
      <c r="S17">
        <v>122.31590300000001</v>
      </c>
      <c r="T17">
        <v>125.456444</v>
      </c>
      <c r="U17">
        <v>126.98291</v>
      </c>
      <c r="V17">
        <v>129.44395399999999</v>
      </c>
      <c r="W17">
        <v>132.904709</v>
      </c>
      <c r="X17">
        <v>134.93403599999999</v>
      </c>
      <c r="Y17">
        <v>139.23371900000001</v>
      </c>
      <c r="Z17">
        <v>142.15316799999999</v>
      </c>
      <c r="AA17">
        <v>143.85668899999999</v>
      </c>
      <c r="AB17">
        <v>144.96641500000001</v>
      </c>
      <c r="AC17">
        <v>145.926163</v>
      </c>
      <c r="AD17">
        <v>145.261337</v>
      </c>
      <c r="AE17" s="6">
        <v>0.38105040399678358</v>
      </c>
    </row>
    <row r="18" spans="1:31" x14ac:dyDescent="0.25">
      <c r="A18" t="s">
        <v>74</v>
      </c>
      <c r="B18" t="s">
        <v>46</v>
      </c>
      <c r="C18" t="s">
        <v>47</v>
      </c>
      <c r="D18">
        <v>25.358318000000001</v>
      </c>
      <c r="E18">
        <v>26.121431000000001</v>
      </c>
      <c r="F18">
        <v>23.677921000000001</v>
      </c>
      <c r="G18">
        <v>20.677561000000001</v>
      </c>
      <c r="H18">
        <v>20.443047</v>
      </c>
      <c r="I18">
        <v>20.248905000000001</v>
      </c>
      <c r="J18">
        <v>20.063749000000001</v>
      </c>
      <c r="K18">
        <v>19.936691</v>
      </c>
      <c r="L18">
        <v>20.051369000000001</v>
      </c>
      <c r="M18">
        <v>20.258040999999999</v>
      </c>
      <c r="N18">
        <v>20.296859999999999</v>
      </c>
      <c r="O18">
        <v>20.790939000000002</v>
      </c>
      <c r="P18">
        <v>20.713501000000001</v>
      </c>
      <c r="Q18">
        <v>20.744506999999999</v>
      </c>
      <c r="R18">
        <v>20.944502</v>
      </c>
      <c r="S18">
        <v>20.849336999999998</v>
      </c>
      <c r="T18">
        <v>20.835215000000002</v>
      </c>
      <c r="U18">
        <v>20.922332999999998</v>
      </c>
      <c r="V18">
        <v>21.067862000000002</v>
      </c>
      <c r="W18">
        <v>21.314142</v>
      </c>
      <c r="X18">
        <v>21.466256999999999</v>
      </c>
      <c r="Y18">
        <v>21.514794999999999</v>
      </c>
      <c r="Z18">
        <v>21.592503000000001</v>
      </c>
      <c r="AA18">
        <v>21.705117999999999</v>
      </c>
      <c r="AB18">
        <v>21.865159999999999</v>
      </c>
      <c r="AC18">
        <v>21.965081999999999</v>
      </c>
      <c r="AD18">
        <v>22.223122</v>
      </c>
      <c r="AE18" s="6" cm="1">
        <f t="array" ref="AE18:AE22">(AD18:AD22-D18:D22)/D18:D22</f>
        <v>-0.1236358026585202</v>
      </c>
    </row>
    <row r="19" spans="1:31" x14ac:dyDescent="0.25">
      <c r="A19" t="s">
        <v>74</v>
      </c>
      <c r="B19" t="s">
        <v>48</v>
      </c>
      <c r="C19" t="s">
        <v>47</v>
      </c>
      <c r="D19">
        <v>22.236214</v>
      </c>
      <c r="E19">
        <v>22.799824000000001</v>
      </c>
      <c r="F19">
        <v>20.702356000000002</v>
      </c>
      <c r="G19">
        <v>17.787396999999999</v>
      </c>
      <c r="H19">
        <v>17.569353</v>
      </c>
      <c r="I19">
        <v>17.358774</v>
      </c>
      <c r="J19">
        <v>17.177235</v>
      </c>
      <c r="K19">
        <v>17.067556</v>
      </c>
      <c r="L19">
        <v>17.194139</v>
      </c>
      <c r="M19">
        <v>17.429089999999999</v>
      </c>
      <c r="N19">
        <v>17.486708</v>
      </c>
      <c r="O19">
        <v>18.177246</v>
      </c>
      <c r="P19">
        <v>18.113329</v>
      </c>
      <c r="Q19">
        <v>18.198919</v>
      </c>
      <c r="R19">
        <v>18.496521000000001</v>
      </c>
      <c r="S19">
        <v>18.394821</v>
      </c>
      <c r="T19">
        <v>18.400296999999998</v>
      </c>
      <c r="U19">
        <v>18.500425</v>
      </c>
      <c r="V19">
        <v>18.638210000000001</v>
      </c>
      <c r="W19">
        <v>18.747229000000001</v>
      </c>
      <c r="X19">
        <v>18.825623</v>
      </c>
      <c r="Y19">
        <v>18.796901999999999</v>
      </c>
      <c r="Z19">
        <v>18.809546000000001</v>
      </c>
      <c r="AA19">
        <v>18.846022000000001</v>
      </c>
      <c r="AB19">
        <v>18.918728000000002</v>
      </c>
      <c r="AC19">
        <v>18.918972</v>
      </c>
      <c r="AD19">
        <v>19.093233000000001</v>
      </c>
      <c r="AE19" s="6">
        <v>-0.14134514985329782</v>
      </c>
    </row>
    <row r="20" spans="1:31" x14ac:dyDescent="0.25">
      <c r="A20" t="s">
        <v>74</v>
      </c>
      <c r="B20" t="s">
        <v>49</v>
      </c>
      <c r="C20" t="s">
        <v>47</v>
      </c>
      <c r="D20">
        <v>19.014724999999999</v>
      </c>
      <c r="E20">
        <v>19.541840000000001</v>
      </c>
      <c r="F20">
        <v>17.035658000000002</v>
      </c>
      <c r="G20">
        <v>14.063275000000001</v>
      </c>
      <c r="H20">
        <v>13.812901999999999</v>
      </c>
      <c r="I20">
        <v>13.634098</v>
      </c>
      <c r="J20">
        <v>13.455024</v>
      </c>
      <c r="K20">
        <v>13.323983</v>
      </c>
      <c r="L20">
        <v>13.454484000000001</v>
      </c>
      <c r="M20">
        <v>13.674602</v>
      </c>
      <c r="N20">
        <v>13.734121</v>
      </c>
      <c r="O20">
        <v>14.176596999999999</v>
      </c>
      <c r="P20">
        <v>14.131554</v>
      </c>
      <c r="Q20">
        <v>14.181252000000001</v>
      </c>
      <c r="R20">
        <v>14.365970000000001</v>
      </c>
      <c r="S20">
        <v>14.289937999999999</v>
      </c>
      <c r="T20">
        <v>14.287646000000001</v>
      </c>
      <c r="U20">
        <v>14.373588</v>
      </c>
      <c r="V20">
        <v>14.509425</v>
      </c>
      <c r="W20">
        <v>14.664723</v>
      </c>
      <c r="X20">
        <v>14.744113</v>
      </c>
      <c r="Y20">
        <v>14.706690999999999</v>
      </c>
      <c r="Z20">
        <v>14.691834999999999</v>
      </c>
      <c r="AA20">
        <v>14.722777000000001</v>
      </c>
      <c r="AB20">
        <v>14.797197000000001</v>
      </c>
      <c r="AC20">
        <v>14.806316000000001</v>
      </c>
      <c r="AD20">
        <v>14.946135999999999</v>
      </c>
      <c r="AE20" s="6">
        <v>-0.21397043606994051</v>
      </c>
    </row>
    <row r="21" spans="1:31" x14ac:dyDescent="0.25">
      <c r="A21" t="s">
        <v>74</v>
      </c>
      <c r="B21" t="s">
        <v>50</v>
      </c>
      <c r="C21" t="s">
        <v>47</v>
      </c>
      <c r="D21">
        <v>21.741938000000001</v>
      </c>
      <c r="E21">
        <v>22.245602000000002</v>
      </c>
      <c r="F21">
        <v>19.735153</v>
      </c>
      <c r="G21">
        <v>16.743366000000002</v>
      </c>
      <c r="H21">
        <v>16.509518</v>
      </c>
      <c r="I21">
        <v>16.35256</v>
      </c>
      <c r="J21">
        <v>16.197562999999999</v>
      </c>
      <c r="K21">
        <v>16.085052000000001</v>
      </c>
      <c r="L21">
        <v>16.230221</v>
      </c>
      <c r="M21">
        <v>16.46509</v>
      </c>
      <c r="N21">
        <v>16.541620000000002</v>
      </c>
      <c r="O21">
        <v>16.963186</v>
      </c>
      <c r="P21">
        <v>16.93788</v>
      </c>
      <c r="Q21">
        <v>16.998404000000001</v>
      </c>
      <c r="R21">
        <v>17.190747999999999</v>
      </c>
      <c r="S21">
        <v>17.139603000000001</v>
      </c>
      <c r="T21">
        <v>17.155939</v>
      </c>
      <c r="U21">
        <v>17.261225</v>
      </c>
      <c r="V21">
        <v>17.409738999999998</v>
      </c>
      <c r="W21">
        <v>17.599995</v>
      </c>
      <c r="X21">
        <v>17.688182999999999</v>
      </c>
      <c r="Y21">
        <v>17.657924999999999</v>
      </c>
      <c r="Z21">
        <v>17.654969999999999</v>
      </c>
      <c r="AA21">
        <v>17.696805999999999</v>
      </c>
      <c r="AB21">
        <v>17.775738</v>
      </c>
      <c r="AC21">
        <v>17.792636999999999</v>
      </c>
      <c r="AD21">
        <v>17.932055999999999</v>
      </c>
      <c r="AE21" s="6">
        <v>-0.17523194114526505</v>
      </c>
    </row>
    <row r="22" spans="1:31" x14ac:dyDescent="0.25">
      <c r="A22" t="s">
        <v>74</v>
      </c>
      <c r="B22" t="s">
        <v>51</v>
      </c>
      <c r="C22" t="s">
        <v>47</v>
      </c>
      <c r="D22">
        <v>23.151433999999998</v>
      </c>
      <c r="E22">
        <v>23.76512</v>
      </c>
      <c r="F22">
        <v>21.472342000000001</v>
      </c>
      <c r="G22">
        <v>18.528176999999999</v>
      </c>
      <c r="H22">
        <v>18.317587</v>
      </c>
      <c r="I22">
        <v>18.128236999999999</v>
      </c>
      <c r="J22">
        <v>17.948191000000001</v>
      </c>
      <c r="K22">
        <v>17.830641</v>
      </c>
      <c r="L22">
        <v>17.953108</v>
      </c>
      <c r="M22">
        <v>18.176062000000002</v>
      </c>
      <c r="N22">
        <v>18.227098000000002</v>
      </c>
      <c r="O22">
        <v>18.800485999999999</v>
      </c>
      <c r="P22">
        <v>18.735485000000001</v>
      </c>
      <c r="Q22">
        <v>18.795794999999998</v>
      </c>
      <c r="R22">
        <v>19.038401</v>
      </c>
      <c r="S22">
        <v>18.948329999999999</v>
      </c>
      <c r="T22">
        <v>18.949069999999999</v>
      </c>
      <c r="U22">
        <v>19.044926</v>
      </c>
      <c r="V22">
        <v>19.190266000000001</v>
      </c>
      <c r="W22">
        <v>19.369658000000001</v>
      </c>
      <c r="X22">
        <v>19.484843999999999</v>
      </c>
      <c r="Y22">
        <v>19.490743999999999</v>
      </c>
      <c r="Z22">
        <v>19.529543</v>
      </c>
      <c r="AA22">
        <v>19.599582999999999</v>
      </c>
      <c r="AB22">
        <v>19.709648000000001</v>
      </c>
      <c r="AC22">
        <v>19.752614999999999</v>
      </c>
      <c r="AD22">
        <v>19.957412999999999</v>
      </c>
      <c r="AE22" s="6">
        <v>-0.13796212364210353</v>
      </c>
    </row>
    <row r="23" spans="1:31" x14ac:dyDescent="0.25">
      <c r="A23" t="s">
        <v>75</v>
      </c>
      <c r="B23" t="s">
        <v>46</v>
      </c>
      <c r="C23" t="s">
        <v>52</v>
      </c>
      <c r="D23">
        <v>25.358318000000001</v>
      </c>
      <c r="E23">
        <v>26.671534999999999</v>
      </c>
      <c r="F23">
        <v>24.617861000000001</v>
      </c>
      <c r="G23">
        <v>21.873422999999999</v>
      </c>
      <c r="H23">
        <v>22.04533</v>
      </c>
      <c r="I23">
        <v>22.258095000000001</v>
      </c>
      <c r="J23">
        <v>22.510672</v>
      </c>
      <c r="K23">
        <v>22.874351999999998</v>
      </c>
      <c r="L23">
        <v>23.538498000000001</v>
      </c>
      <c r="M23">
        <v>24.359048999999999</v>
      </c>
      <c r="N23">
        <v>25.001389</v>
      </c>
      <c r="O23">
        <v>26.227636</v>
      </c>
      <c r="P23">
        <v>26.741890000000001</v>
      </c>
      <c r="Q23">
        <v>27.388945</v>
      </c>
      <c r="R23">
        <v>28.250257000000001</v>
      </c>
      <c r="S23">
        <v>28.707006</v>
      </c>
      <c r="T23">
        <v>29.280211999999999</v>
      </c>
      <c r="U23">
        <v>30.003912</v>
      </c>
      <c r="V23">
        <v>30.827463000000002</v>
      </c>
      <c r="W23">
        <v>31.824397999999999</v>
      </c>
      <c r="X23">
        <v>32.702824</v>
      </c>
      <c r="Y23">
        <v>33.452601999999999</v>
      </c>
      <c r="Z23">
        <v>34.266289</v>
      </c>
      <c r="AA23">
        <v>35.172893999999999</v>
      </c>
      <c r="AB23">
        <v>36.194836000000002</v>
      </c>
      <c r="AC23">
        <v>37.149039999999999</v>
      </c>
      <c r="AD23">
        <v>38.414261000000003</v>
      </c>
      <c r="AE23" s="6" cm="1">
        <f t="array" ref="AE23:AE27">(AD23:AD27-D23:D27)/D23:D27</f>
        <v>0.51485839873133554</v>
      </c>
    </row>
    <row r="24" spans="1:31" x14ac:dyDescent="0.25">
      <c r="A24" t="s">
        <v>75</v>
      </c>
      <c r="B24" t="s">
        <v>48</v>
      </c>
      <c r="C24" t="s">
        <v>52</v>
      </c>
      <c r="D24">
        <v>22.236214</v>
      </c>
      <c r="E24">
        <v>23.279978</v>
      </c>
      <c r="F24">
        <v>21.524173999999999</v>
      </c>
      <c r="G24">
        <v>18.816113000000001</v>
      </c>
      <c r="H24">
        <v>18.946401999999999</v>
      </c>
      <c r="I24">
        <v>19.081192000000001</v>
      </c>
      <c r="J24">
        <v>19.272124999999999</v>
      </c>
      <c r="K24">
        <v>19.582453000000001</v>
      </c>
      <c r="L24">
        <v>20.184367999999999</v>
      </c>
      <c r="M24">
        <v>20.957411</v>
      </c>
      <c r="N24">
        <v>21.539883</v>
      </c>
      <c r="O24">
        <v>22.930478999999998</v>
      </c>
      <c r="P24">
        <v>23.384974</v>
      </c>
      <c r="Q24">
        <v>24.028009000000001</v>
      </c>
      <c r="R24">
        <v>24.948384999999998</v>
      </c>
      <c r="S24">
        <v>25.327435999999999</v>
      </c>
      <c r="T24">
        <v>25.858366</v>
      </c>
      <c r="U24">
        <v>26.530747999999999</v>
      </c>
      <c r="V24">
        <v>27.272283999999999</v>
      </c>
      <c r="W24">
        <v>27.991710999999999</v>
      </c>
      <c r="X24">
        <v>28.679943000000002</v>
      </c>
      <c r="Y24">
        <v>29.226642999999999</v>
      </c>
      <c r="Z24">
        <v>29.849869000000002</v>
      </c>
      <c r="AA24">
        <v>30.539760999999999</v>
      </c>
      <c r="AB24">
        <v>31.317411</v>
      </c>
      <c r="AC24">
        <v>31.997225</v>
      </c>
      <c r="AD24">
        <v>33.004024999999999</v>
      </c>
      <c r="AE24" s="6">
        <v>0.48424659881398868</v>
      </c>
    </row>
    <row r="25" spans="1:31" x14ac:dyDescent="0.25">
      <c r="A25" t="s">
        <v>75</v>
      </c>
      <c r="B25" t="s">
        <v>49</v>
      </c>
      <c r="C25" t="s">
        <v>52</v>
      </c>
      <c r="D25">
        <v>19.014724999999999</v>
      </c>
      <c r="E25">
        <v>19.953381</v>
      </c>
      <c r="F25">
        <v>17.711919999999999</v>
      </c>
      <c r="G25">
        <v>14.876609</v>
      </c>
      <c r="H25">
        <v>14.895528000000001</v>
      </c>
      <c r="I25">
        <v>14.986936</v>
      </c>
      <c r="J25">
        <v>15.095962999999999</v>
      </c>
      <c r="K25">
        <v>15.287265</v>
      </c>
      <c r="L25">
        <v>15.79435</v>
      </c>
      <c r="M25">
        <v>16.442867</v>
      </c>
      <c r="N25">
        <v>16.9175</v>
      </c>
      <c r="O25">
        <v>17.883683999999999</v>
      </c>
      <c r="P25">
        <v>18.244354000000001</v>
      </c>
      <c r="Q25">
        <v>18.723488</v>
      </c>
      <c r="R25">
        <v>19.377034999999999</v>
      </c>
      <c r="S25">
        <v>19.675509999999999</v>
      </c>
      <c r="T25">
        <v>20.078759999999999</v>
      </c>
      <c r="U25">
        <v>20.612608000000002</v>
      </c>
      <c r="V25">
        <v>21.230855999999999</v>
      </c>
      <c r="W25">
        <v>21.896073999999999</v>
      </c>
      <c r="X25">
        <v>22.461956000000001</v>
      </c>
      <c r="Y25">
        <v>22.866917000000001</v>
      </c>
      <c r="Z25">
        <v>23.315256000000002</v>
      </c>
      <c r="AA25">
        <v>23.858091000000002</v>
      </c>
      <c r="AB25">
        <v>24.494774</v>
      </c>
      <c r="AC25">
        <v>25.041584</v>
      </c>
      <c r="AD25">
        <v>25.835467999999999</v>
      </c>
      <c r="AE25" s="6">
        <v>0.35870847461638289</v>
      </c>
    </row>
    <row r="26" spans="1:31" x14ac:dyDescent="0.25">
      <c r="A26" t="s">
        <v>75</v>
      </c>
      <c r="B26" t="s">
        <v>50</v>
      </c>
      <c r="C26" t="s">
        <v>52</v>
      </c>
      <c r="D26">
        <v>21.741938000000001</v>
      </c>
      <c r="E26">
        <v>22.714082999999999</v>
      </c>
      <c r="F26">
        <v>20.518578000000002</v>
      </c>
      <c r="G26">
        <v>17.711698999999999</v>
      </c>
      <c r="H26">
        <v>17.803498999999999</v>
      </c>
      <c r="I26">
        <v>17.975138000000001</v>
      </c>
      <c r="J26">
        <v>18.172975999999998</v>
      </c>
      <c r="K26">
        <v>18.455175000000001</v>
      </c>
      <c r="L26">
        <v>19.052814000000001</v>
      </c>
      <c r="M26">
        <v>19.798258000000001</v>
      </c>
      <c r="N26">
        <v>20.375737999999998</v>
      </c>
      <c r="O26">
        <v>21.398951</v>
      </c>
      <c r="P26">
        <v>21.867424</v>
      </c>
      <c r="Q26">
        <v>22.442968</v>
      </c>
      <c r="R26">
        <v>23.187139999999999</v>
      </c>
      <c r="S26">
        <v>23.599153999999999</v>
      </c>
      <c r="T26">
        <v>24.109639999999999</v>
      </c>
      <c r="U26">
        <v>24.753655999999999</v>
      </c>
      <c r="V26">
        <v>25.474727999999999</v>
      </c>
      <c r="W26">
        <v>26.278763000000001</v>
      </c>
      <c r="X26">
        <v>26.947105000000001</v>
      </c>
      <c r="Y26">
        <v>27.455687000000001</v>
      </c>
      <c r="Z26">
        <v>28.017610999999999</v>
      </c>
      <c r="AA26">
        <v>28.677468999999999</v>
      </c>
      <c r="AB26">
        <v>29.425346000000001</v>
      </c>
      <c r="AC26">
        <v>30.092279000000001</v>
      </c>
      <c r="AD26">
        <v>30.996846999999999</v>
      </c>
      <c r="AE26" s="6">
        <v>0.42567083946242501</v>
      </c>
    </row>
    <row r="27" spans="1:31" x14ac:dyDescent="0.25">
      <c r="A27" t="s">
        <v>75</v>
      </c>
      <c r="B27" t="s">
        <v>51</v>
      </c>
      <c r="C27" t="s">
        <v>52</v>
      </c>
      <c r="D27">
        <v>23.151433999999998</v>
      </c>
      <c r="E27">
        <v>24.265599999999999</v>
      </c>
      <c r="F27">
        <v>22.324725999999998</v>
      </c>
      <c r="G27">
        <v>19.599733000000001</v>
      </c>
      <c r="H27">
        <v>19.753281000000001</v>
      </c>
      <c r="I27">
        <v>19.927004</v>
      </c>
      <c r="J27">
        <v>20.137105999999999</v>
      </c>
      <c r="K27">
        <v>20.457975000000001</v>
      </c>
      <c r="L27">
        <v>21.075329</v>
      </c>
      <c r="M27">
        <v>21.855596999999999</v>
      </c>
      <c r="N27">
        <v>22.451885000000001</v>
      </c>
      <c r="O27">
        <v>23.716691999999998</v>
      </c>
      <c r="P27">
        <v>24.188199999999998</v>
      </c>
      <c r="Q27">
        <v>24.816063</v>
      </c>
      <c r="R27">
        <v>25.679281</v>
      </c>
      <c r="S27">
        <v>26.089552000000001</v>
      </c>
      <c r="T27">
        <v>26.629566000000001</v>
      </c>
      <c r="U27">
        <v>27.311596000000002</v>
      </c>
      <c r="V27">
        <v>28.080075999999998</v>
      </c>
      <c r="W27">
        <v>28.921066</v>
      </c>
      <c r="X27">
        <v>29.684237</v>
      </c>
      <c r="Y27">
        <v>30.305472999999999</v>
      </c>
      <c r="Z27">
        <v>30.992470000000001</v>
      </c>
      <c r="AA27">
        <v>31.760897</v>
      </c>
      <c r="AB27">
        <v>32.626674999999999</v>
      </c>
      <c r="AC27">
        <v>33.407145999999997</v>
      </c>
      <c r="AD27">
        <v>34.497821999999999</v>
      </c>
      <c r="AE27" s="6">
        <v>0.49009439328898596</v>
      </c>
    </row>
    <row r="28" spans="1:31" x14ac:dyDescent="0.25">
      <c r="A28" t="s">
        <v>76</v>
      </c>
      <c r="B28" t="s">
        <v>53</v>
      </c>
      <c r="C28" t="s">
        <v>47</v>
      </c>
      <c r="D28">
        <v>10.324615</v>
      </c>
      <c r="E28">
        <v>10.792498999999999</v>
      </c>
      <c r="F28">
        <v>8.2592960000000009</v>
      </c>
      <c r="G28">
        <v>5.1746530000000002</v>
      </c>
      <c r="H28">
        <v>4.8585640000000003</v>
      </c>
      <c r="I28">
        <v>4.5808229999999996</v>
      </c>
      <c r="J28">
        <v>4.3395169999999998</v>
      </c>
      <c r="K28">
        <v>4.1825359999999998</v>
      </c>
      <c r="L28">
        <v>4.2704959999999996</v>
      </c>
      <c r="M28">
        <v>4.4593629999999997</v>
      </c>
      <c r="N28">
        <v>4.4844609999999996</v>
      </c>
      <c r="O28">
        <v>5.0179669999999996</v>
      </c>
      <c r="P28">
        <v>4.9200100000000004</v>
      </c>
      <c r="Q28">
        <v>4.9458909999999996</v>
      </c>
      <c r="R28">
        <v>5.1289550000000004</v>
      </c>
      <c r="S28">
        <v>4.9717320000000003</v>
      </c>
      <c r="T28">
        <v>4.9169830000000001</v>
      </c>
      <c r="U28">
        <v>4.956995</v>
      </c>
      <c r="V28">
        <v>5.0373010000000003</v>
      </c>
      <c r="W28">
        <v>5.1343540000000001</v>
      </c>
      <c r="X28">
        <v>5.1626209999999997</v>
      </c>
      <c r="Y28">
        <v>5.0758179999999999</v>
      </c>
      <c r="Z28">
        <v>5.0158849999999999</v>
      </c>
      <c r="AA28">
        <v>5.0055329999999998</v>
      </c>
      <c r="AB28">
        <v>5.0411710000000003</v>
      </c>
      <c r="AC28">
        <v>5.0049999999999999</v>
      </c>
      <c r="AD28">
        <v>5.1255480000000002</v>
      </c>
      <c r="AE28" s="6" cm="1">
        <f t="array" ref="AE28:AE30">(AD28:AD30-D28:D30)/D28:D30</f>
        <v>-0.50356037489049221</v>
      </c>
    </row>
    <row r="29" spans="1:31" x14ac:dyDescent="0.25">
      <c r="A29" t="s">
        <v>76</v>
      </c>
      <c r="B29" t="s">
        <v>54</v>
      </c>
      <c r="C29" t="s">
        <v>47</v>
      </c>
      <c r="D29">
        <v>5.5109219999999999</v>
      </c>
      <c r="E29">
        <v>5.6182309999999998</v>
      </c>
      <c r="F29">
        <v>5.7788120000000003</v>
      </c>
      <c r="G29">
        <v>5.8755300000000004</v>
      </c>
      <c r="H29">
        <v>5.9507370000000002</v>
      </c>
      <c r="I29">
        <v>6.0107109999999997</v>
      </c>
      <c r="J29">
        <v>6.0510510000000002</v>
      </c>
      <c r="K29">
        <v>6.0755340000000002</v>
      </c>
      <c r="L29">
        <v>6.0962759999999996</v>
      </c>
      <c r="M29">
        <v>6.1189419999999997</v>
      </c>
      <c r="N29">
        <v>6.135948</v>
      </c>
      <c r="O29">
        <v>6.1598319999999998</v>
      </c>
      <c r="P29">
        <v>6.1819110000000004</v>
      </c>
      <c r="Q29">
        <v>6.209492</v>
      </c>
      <c r="R29">
        <v>6.2533909999999997</v>
      </c>
      <c r="S29">
        <v>6.2994070000000004</v>
      </c>
      <c r="T29">
        <v>6.3335340000000002</v>
      </c>
      <c r="U29">
        <v>6.3640080000000001</v>
      </c>
      <c r="V29">
        <v>6.3996329999999997</v>
      </c>
      <c r="W29">
        <v>6.4473729999999998</v>
      </c>
      <c r="X29">
        <v>6.5017269999999998</v>
      </c>
      <c r="Y29">
        <v>6.5603749999999996</v>
      </c>
      <c r="Z29">
        <v>6.6196010000000003</v>
      </c>
      <c r="AA29">
        <v>6.6622180000000002</v>
      </c>
      <c r="AB29">
        <v>6.7009670000000003</v>
      </c>
      <c r="AC29">
        <v>6.7438560000000001</v>
      </c>
      <c r="AD29">
        <v>6.7929919999999999</v>
      </c>
      <c r="AE29" s="6">
        <v>0.23264165234057024</v>
      </c>
    </row>
    <row r="30" spans="1:31" x14ac:dyDescent="0.25">
      <c r="A30" t="s">
        <v>76</v>
      </c>
      <c r="B30" t="s">
        <v>55</v>
      </c>
      <c r="C30" t="s">
        <v>47</v>
      </c>
      <c r="D30">
        <v>7.3158960000000004</v>
      </c>
      <c r="E30">
        <v>7.3543890000000003</v>
      </c>
      <c r="F30">
        <v>7.434234</v>
      </c>
      <c r="G30">
        <v>7.4779960000000001</v>
      </c>
      <c r="H30">
        <v>7.508286</v>
      </c>
      <c r="I30">
        <v>7.5367009999999999</v>
      </c>
      <c r="J30">
        <v>7.5576239999999997</v>
      </c>
      <c r="K30">
        <v>7.5725699999999998</v>
      </c>
      <c r="L30">
        <v>7.5863360000000002</v>
      </c>
      <c r="M30">
        <v>7.5977569999999996</v>
      </c>
      <c r="N30">
        <v>7.6066880000000001</v>
      </c>
      <c r="O30">
        <v>7.6226880000000001</v>
      </c>
      <c r="P30">
        <v>7.6335639999999998</v>
      </c>
      <c r="Q30">
        <v>7.6404129999999997</v>
      </c>
      <c r="R30">
        <v>7.6560550000000003</v>
      </c>
      <c r="S30">
        <v>7.6771909999999997</v>
      </c>
      <c r="T30">
        <v>7.6985530000000004</v>
      </c>
      <c r="U30">
        <v>7.7239230000000001</v>
      </c>
      <c r="V30">
        <v>7.7533310000000002</v>
      </c>
      <c r="W30">
        <v>7.7879300000000002</v>
      </c>
      <c r="X30">
        <v>7.8204969999999996</v>
      </c>
      <c r="Y30">
        <v>7.8545509999999998</v>
      </c>
      <c r="Z30">
        <v>7.8940570000000001</v>
      </c>
      <c r="AA30">
        <v>7.931832</v>
      </c>
      <c r="AB30">
        <v>7.9675079999999996</v>
      </c>
      <c r="AC30">
        <v>8.0037579999999995</v>
      </c>
      <c r="AD30">
        <v>8.0388750000000009</v>
      </c>
      <c r="AE30" s="6">
        <v>9.8823028648849093E-2</v>
      </c>
    </row>
    <row r="31" spans="1:31" x14ac:dyDescent="0.25">
      <c r="A31" t="s">
        <v>77</v>
      </c>
      <c r="B31" t="s">
        <v>53</v>
      </c>
      <c r="C31" t="s">
        <v>52</v>
      </c>
      <c r="D31">
        <v>10.324615</v>
      </c>
      <c r="E31">
        <v>11.019783</v>
      </c>
      <c r="F31">
        <v>8.5871650000000006</v>
      </c>
      <c r="G31">
        <v>5.4739230000000001</v>
      </c>
      <c r="H31">
        <v>5.2393679999999998</v>
      </c>
      <c r="I31">
        <v>5.0353539999999999</v>
      </c>
      <c r="J31">
        <v>4.8687529999999999</v>
      </c>
      <c r="K31">
        <v>4.7988309999999998</v>
      </c>
      <c r="L31">
        <v>5.0131769999999998</v>
      </c>
      <c r="M31">
        <v>5.3621100000000004</v>
      </c>
      <c r="N31">
        <v>5.5238969999999998</v>
      </c>
      <c r="O31">
        <v>6.3301319999999999</v>
      </c>
      <c r="P31">
        <v>6.3519129999999997</v>
      </c>
      <c r="Q31">
        <v>6.5300529999999997</v>
      </c>
      <c r="R31">
        <v>6.9180130000000002</v>
      </c>
      <c r="S31">
        <v>6.8454709999999999</v>
      </c>
      <c r="T31">
        <v>6.9099500000000003</v>
      </c>
      <c r="U31">
        <v>7.1086359999999997</v>
      </c>
      <c r="V31">
        <v>7.3708099999999996</v>
      </c>
      <c r="W31">
        <v>7.6661650000000003</v>
      </c>
      <c r="X31">
        <v>7.8650070000000003</v>
      </c>
      <c r="Y31">
        <v>7.8922109999999996</v>
      </c>
      <c r="Z31">
        <v>7.959975</v>
      </c>
      <c r="AA31">
        <v>8.1114090000000001</v>
      </c>
      <c r="AB31">
        <v>8.3449819999999999</v>
      </c>
      <c r="AC31">
        <v>8.4648409999999998</v>
      </c>
      <c r="AD31">
        <v>8.8598780000000001</v>
      </c>
      <c r="AE31" s="6" cm="1">
        <f t="array" ref="AE31:AE33">(AD31:AD33-D31:D33)/D31:D33</f>
        <v>-0.14186843770929952</v>
      </c>
    </row>
    <row r="32" spans="1:31" x14ac:dyDescent="0.25">
      <c r="A32" t="s">
        <v>77</v>
      </c>
      <c r="B32" t="s">
        <v>54</v>
      </c>
      <c r="C32" t="s">
        <v>52</v>
      </c>
      <c r="D32">
        <v>5.5109219999999999</v>
      </c>
      <c r="E32">
        <v>5.736548</v>
      </c>
      <c r="F32">
        <v>6.0082129999999996</v>
      </c>
      <c r="G32">
        <v>6.2153340000000004</v>
      </c>
      <c r="H32">
        <v>6.4171440000000004</v>
      </c>
      <c r="I32">
        <v>6.6071220000000004</v>
      </c>
      <c r="J32">
        <v>6.789021</v>
      </c>
      <c r="K32">
        <v>6.9707610000000004</v>
      </c>
      <c r="L32">
        <v>7.1564779999999999</v>
      </c>
      <c r="M32">
        <v>7.3576519999999999</v>
      </c>
      <c r="N32">
        <v>7.5581750000000003</v>
      </c>
      <c r="O32">
        <v>7.7705869999999999</v>
      </c>
      <c r="P32">
        <v>7.9810749999999997</v>
      </c>
      <c r="Q32">
        <v>8.1983829999999998</v>
      </c>
      <c r="R32">
        <v>8.4346689999999995</v>
      </c>
      <c r="S32">
        <v>8.6735179999999996</v>
      </c>
      <c r="T32">
        <v>8.9006620000000005</v>
      </c>
      <c r="U32">
        <v>9.126379</v>
      </c>
      <c r="V32">
        <v>9.3642380000000003</v>
      </c>
      <c r="W32">
        <v>9.6266499999999997</v>
      </c>
      <c r="X32">
        <v>9.9050720000000005</v>
      </c>
      <c r="Y32">
        <v>10.200497</v>
      </c>
      <c r="Z32">
        <v>10.504996</v>
      </c>
      <c r="AA32">
        <v>10.796047</v>
      </c>
      <c r="AB32">
        <v>11.092551</v>
      </c>
      <c r="AC32">
        <v>11.40573</v>
      </c>
      <c r="AD32">
        <v>11.742174</v>
      </c>
      <c r="AE32" s="6">
        <v>1.1307095255567037</v>
      </c>
    </row>
    <row r="33" spans="1:31" x14ac:dyDescent="0.25">
      <c r="A33" t="s">
        <v>77</v>
      </c>
      <c r="B33" t="s">
        <v>55</v>
      </c>
      <c r="C33" t="s">
        <v>52</v>
      </c>
      <c r="D33">
        <v>7.3158960000000004</v>
      </c>
      <c r="E33">
        <v>7.5092679999999996</v>
      </c>
      <c r="F33">
        <v>7.7293500000000002</v>
      </c>
      <c r="G33">
        <v>7.9104780000000003</v>
      </c>
      <c r="H33">
        <v>8.0967690000000001</v>
      </c>
      <c r="I33">
        <v>8.2845279999999999</v>
      </c>
      <c r="J33">
        <v>8.4793319999999994</v>
      </c>
      <c r="K33">
        <v>8.6883850000000002</v>
      </c>
      <c r="L33">
        <v>8.9056739999999994</v>
      </c>
      <c r="M33">
        <v>9.1358359999999994</v>
      </c>
      <c r="N33">
        <v>9.3698119999999996</v>
      </c>
      <c r="O33">
        <v>9.6159719999999993</v>
      </c>
      <c r="P33">
        <v>9.8552110000000006</v>
      </c>
      <c r="Q33">
        <v>10.087626</v>
      </c>
      <c r="R33">
        <v>10.326601999999999</v>
      </c>
      <c r="S33">
        <v>10.57056</v>
      </c>
      <c r="T33">
        <v>10.818954</v>
      </c>
      <c r="U33">
        <v>11.07658</v>
      </c>
      <c r="V33">
        <v>11.345029</v>
      </c>
      <c r="W33">
        <v>11.62825</v>
      </c>
      <c r="X33">
        <v>11.914154999999999</v>
      </c>
      <c r="Y33">
        <v>12.212766</v>
      </c>
      <c r="Z33">
        <v>12.527498</v>
      </c>
      <c r="AA33">
        <v>12.853441999999999</v>
      </c>
      <c r="AB33">
        <v>13.189139000000001</v>
      </c>
      <c r="AC33">
        <v>13.536573000000001</v>
      </c>
      <c r="AD33">
        <v>13.895773</v>
      </c>
      <c r="AE33" s="6">
        <v>0.89939455126207357</v>
      </c>
    </row>
    <row r="34" spans="1:31" x14ac:dyDescent="0.25">
      <c r="A34" t="s">
        <v>56</v>
      </c>
      <c r="B34" t="s">
        <v>57</v>
      </c>
      <c r="C34" t="s">
        <v>58</v>
      </c>
      <c r="D34">
        <v>7.4726509999999999</v>
      </c>
      <c r="E34">
        <v>6.7324609999999998</v>
      </c>
      <c r="F34">
        <v>5.0291649999999999</v>
      </c>
      <c r="G34">
        <v>4.3343230000000004</v>
      </c>
      <c r="H34">
        <v>3.955454</v>
      </c>
      <c r="I34">
        <v>3.9016060000000001</v>
      </c>
      <c r="J34">
        <v>3.1724459999999999</v>
      </c>
      <c r="K34">
        <v>2.8296929999999998</v>
      </c>
      <c r="L34">
        <v>3.1353599999999999</v>
      </c>
      <c r="M34">
        <v>3.0141019999999998</v>
      </c>
      <c r="N34">
        <v>3.042662</v>
      </c>
      <c r="O34">
        <v>3.1220970000000001</v>
      </c>
      <c r="P34">
        <v>3.2469109999999999</v>
      </c>
      <c r="Q34">
        <v>3.3675980000000001</v>
      </c>
      <c r="R34">
        <v>3.2246299999999999</v>
      </c>
      <c r="S34">
        <v>3.0418780000000001</v>
      </c>
      <c r="T34">
        <v>3.1335899999999999</v>
      </c>
      <c r="U34">
        <v>3.2140580000000001</v>
      </c>
      <c r="V34">
        <v>3.4026990000000001</v>
      </c>
      <c r="W34">
        <v>3.5260829999999999</v>
      </c>
      <c r="X34">
        <v>3.1832310000000001</v>
      </c>
      <c r="Y34">
        <v>2.59911</v>
      </c>
      <c r="Z34">
        <v>2.6275759999999999</v>
      </c>
      <c r="AA34">
        <v>2.7223670000000002</v>
      </c>
      <c r="AB34">
        <v>2.7524329999999999</v>
      </c>
      <c r="AC34">
        <v>2.737943</v>
      </c>
      <c r="AD34">
        <v>2.5547740000000001</v>
      </c>
      <c r="AE34" s="6" cm="1">
        <f t="array" ref="AE34:AE38">(AD34:AD38-D34:D38)/D34:D38</f>
        <v>-0.65811677810190783</v>
      </c>
    </row>
    <row r="35" spans="1:31" x14ac:dyDescent="0.25">
      <c r="A35" t="s">
        <v>56</v>
      </c>
      <c r="B35" t="s">
        <v>59</v>
      </c>
      <c r="C35" t="s">
        <v>58</v>
      </c>
      <c r="D35">
        <v>27.399716999999999</v>
      </c>
      <c r="E35">
        <v>24.685692</v>
      </c>
      <c r="F35">
        <v>18.440273000000001</v>
      </c>
      <c r="G35">
        <v>15.892509</v>
      </c>
      <c r="H35">
        <v>14.503323</v>
      </c>
      <c r="I35">
        <v>14.305883</v>
      </c>
      <c r="J35">
        <v>11.632294999999999</v>
      </c>
      <c r="K35">
        <v>10.375540000000001</v>
      </c>
      <c r="L35">
        <v>11.496320000000001</v>
      </c>
      <c r="M35">
        <v>11.051704000000001</v>
      </c>
      <c r="N35">
        <v>11.156421</v>
      </c>
      <c r="O35">
        <v>11.447685</v>
      </c>
      <c r="P35">
        <v>11.905329999999999</v>
      </c>
      <c r="Q35">
        <v>12.347849</v>
      </c>
      <c r="R35">
        <v>11.823631000000001</v>
      </c>
      <c r="S35">
        <v>11.153541000000001</v>
      </c>
      <c r="T35">
        <v>11.489819000000001</v>
      </c>
      <c r="U35">
        <v>11.784872</v>
      </c>
      <c r="V35">
        <v>12.476554999999999</v>
      </c>
      <c r="W35">
        <v>12.928965</v>
      </c>
      <c r="X35">
        <v>11.671837</v>
      </c>
      <c r="Y35">
        <v>9.5300659999999997</v>
      </c>
      <c r="Z35">
        <v>9.6344480000000008</v>
      </c>
      <c r="AA35">
        <v>9.9820030000000006</v>
      </c>
      <c r="AB35">
        <v>10.092250999999999</v>
      </c>
      <c r="AC35">
        <v>10.039125</v>
      </c>
      <c r="AD35">
        <v>9.3675010000000007</v>
      </c>
      <c r="AE35" s="6">
        <v>-0.65811687033117894</v>
      </c>
    </row>
    <row r="36" spans="1:31" x14ac:dyDescent="0.25">
      <c r="A36" t="s">
        <v>56</v>
      </c>
      <c r="B36" t="s">
        <v>60</v>
      </c>
      <c r="C36" t="s">
        <v>58</v>
      </c>
      <c r="D36">
        <v>1.1770000000000001E-3</v>
      </c>
      <c r="E36">
        <v>1.281E-3</v>
      </c>
      <c r="F36">
        <v>9.19E-4</v>
      </c>
      <c r="G36">
        <v>8.1800000000000004E-4</v>
      </c>
      <c r="H36">
        <v>7.7899999999999996E-4</v>
      </c>
      <c r="I36">
        <v>8.25E-4</v>
      </c>
      <c r="J36">
        <v>6.8900000000000005E-4</v>
      </c>
      <c r="K36">
        <v>7.36E-4</v>
      </c>
      <c r="L36">
        <v>1.4899999999999999E-4</v>
      </c>
      <c r="M36">
        <v>1.5799999999999999E-4</v>
      </c>
      <c r="N36">
        <v>1.55E-4</v>
      </c>
      <c r="O36">
        <v>1.66E-4</v>
      </c>
      <c r="P36">
        <v>1.94E-4</v>
      </c>
      <c r="Q36">
        <v>3.1399999999999999E-4</v>
      </c>
      <c r="R36">
        <v>4.5199999999999998E-4</v>
      </c>
      <c r="S36">
        <v>1.122E-3</v>
      </c>
      <c r="T36">
        <v>1.134E-3</v>
      </c>
      <c r="U36">
        <v>1.127E-3</v>
      </c>
      <c r="V36">
        <v>1.1490000000000001E-3</v>
      </c>
      <c r="W36">
        <v>1.126E-3</v>
      </c>
      <c r="X36">
        <v>1.111E-3</v>
      </c>
      <c r="Y36">
        <v>1.1069999999999999E-3</v>
      </c>
      <c r="Z36">
        <v>1.1100000000000001E-3</v>
      </c>
      <c r="AA36">
        <v>1.0790000000000001E-3</v>
      </c>
      <c r="AB36">
        <v>1.0889999999999999E-3</v>
      </c>
      <c r="AC36">
        <v>1.101E-3</v>
      </c>
      <c r="AD36">
        <v>1.1280000000000001E-3</v>
      </c>
      <c r="AE36" s="6">
        <v>-4.1631265930331347E-2</v>
      </c>
    </row>
    <row r="37" spans="1:31" x14ac:dyDescent="0.25">
      <c r="A37" t="s">
        <v>56</v>
      </c>
      <c r="B37" t="s">
        <v>61</v>
      </c>
      <c r="C37" t="s">
        <v>58</v>
      </c>
      <c r="D37">
        <v>1.5209E-2</v>
      </c>
      <c r="E37">
        <v>1.5656E-2</v>
      </c>
      <c r="F37">
        <v>1.3035E-2</v>
      </c>
      <c r="G37">
        <v>1.2520999999999999E-2</v>
      </c>
      <c r="H37">
        <v>1.1734E-2</v>
      </c>
      <c r="I37">
        <v>1.1159000000000001E-2</v>
      </c>
      <c r="J37">
        <v>1.3263E-2</v>
      </c>
      <c r="K37">
        <v>1.3462999999999999E-2</v>
      </c>
      <c r="L37">
        <v>1.3242E-2</v>
      </c>
      <c r="M37">
        <v>1.2833000000000001E-2</v>
      </c>
      <c r="N37">
        <v>1.2462000000000001E-2</v>
      </c>
      <c r="O37">
        <v>1.2123999999999999E-2</v>
      </c>
      <c r="P37">
        <v>1.2701E-2</v>
      </c>
      <c r="Q37">
        <v>1.2773E-2</v>
      </c>
      <c r="R37">
        <v>1.332E-2</v>
      </c>
      <c r="S37">
        <v>1.3216E-2</v>
      </c>
      <c r="T37">
        <v>1.3427E-2</v>
      </c>
      <c r="U37">
        <v>1.3362000000000001E-2</v>
      </c>
      <c r="V37">
        <v>1.3436999999999999E-2</v>
      </c>
      <c r="W37">
        <v>1.3498E-2</v>
      </c>
      <c r="X37">
        <v>1.3056E-2</v>
      </c>
      <c r="Y37">
        <v>1.2524E-2</v>
      </c>
      <c r="Z37">
        <v>1.2763E-2</v>
      </c>
      <c r="AA37">
        <v>1.2801999999999999E-2</v>
      </c>
      <c r="AB37">
        <v>1.2919E-2</v>
      </c>
      <c r="AC37">
        <v>1.2656000000000001E-2</v>
      </c>
      <c r="AD37">
        <v>1.2648E-2</v>
      </c>
      <c r="AE37" s="6">
        <v>-0.16838713919389839</v>
      </c>
    </row>
    <row r="38" spans="1:31" x14ac:dyDescent="0.25">
      <c r="A38" t="s">
        <v>56</v>
      </c>
      <c r="B38" t="s">
        <v>62</v>
      </c>
      <c r="C38" t="s">
        <v>63</v>
      </c>
      <c r="D38">
        <v>1.2999999999999999E-5</v>
      </c>
      <c r="E38">
        <v>5.1999999999999997E-5</v>
      </c>
      <c r="F38">
        <v>1.8E-5</v>
      </c>
      <c r="G38">
        <v>1.2E-5</v>
      </c>
      <c r="H38">
        <v>1.4E-5</v>
      </c>
      <c r="I38">
        <v>2.1999999999999999E-5</v>
      </c>
      <c r="J38">
        <v>1.2E-5</v>
      </c>
      <c r="K38">
        <v>1.1E-5</v>
      </c>
      <c r="L38">
        <v>7.9999999999999996E-6</v>
      </c>
      <c r="M38">
        <v>7.9999999999999996E-6</v>
      </c>
      <c r="N38">
        <v>6.0000000000000002E-6</v>
      </c>
      <c r="O38">
        <v>5.0000000000000004E-6</v>
      </c>
      <c r="P38">
        <v>6.9999999999999999E-6</v>
      </c>
      <c r="Q38">
        <v>6.0000000000000002E-6</v>
      </c>
      <c r="R38">
        <v>6.0000000000000002E-6</v>
      </c>
      <c r="S38">
        <v>3.6999999999999998E-5</v>
      </c>
      <c r="T38">
        <v>4.3999999999999999E-5</v>
      </c>
      <c r="U38">
        <v>4.1E-5</v>
      </c>
      <c r="V38">
        <v>5.1999999999999997E-5</v>
      </c>
      <c r="W38">
        <v>4.3000000000000002E-5</v>
      </c>
      <c r="X38">
        <v>3.8000000000000002E-5</v>
      </c>
      <c r="Y38">
        <v>3.8000000000000002E-5</v>
      </c>
      <c r="Z38">
        <v>4.0000000000000003E-5</v>
      </c>
      <c r="AA38">
        <v>3.1999999999999999E-5</v>
      </c>
      <c r="AB38">
        <v>4.3000000000000002E-5</v>
      </c>
      <c r="AC38">
        <v>5.0000000000000002E-5</v>
      </c>
      <c r="AD38">
        <v>6.0999999999999999E-5</v>
      </c>
      <c r="AE38" s="6">
        <v>3.6923076923076925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64.451058218800981</v>
      </c>
      <c r="E39" s="4" cm="1">
        <f t="array" ref="E39:E42">907185*E34:E37*10^6/(E17*10^9)</f>
        <v>57.749903457966383</v>
      </c>
      <c r="F39" s="4" cm="1">
        <f t="array" ref="F39:F42">907185*F34:F37*10^6/(F17*10^9)</f>
        <v>44.901120921370406</v>
      </c>
      <c r="G39" s="4" cm="1">
        <f t="array" ref="G39:G42">907185*G34:G37*10^6/(G17*10^9)</f>
        <v>39.301965443255604</v>
      </c>
      <c r="H39" s="4" cm="1">
        <f t="array" ref="H39:H42">907185*H34:H37*10^6/(H17*10^9)</f>
        <v>35.864859439714252</v>
      </c>
      <c r="I39" s="4" cm="1">
        <f t="array" ref="I39:I42">907185*I34:I37*10^6/(I17*10^9)</f>
        <v>34.430127617244295</v>
      </c>
      <c r="J39" s="4" cm="1">
        <f t="array" ref="J39:J42">907185*J34:J37*10^6/(J17*10^9)</f>
        <v>28.862214731929619</v>
      </c>
      <c r="K39" s="4" cm="1">
        <f t="array" ref="K39:K42">907185*K34:K37*10^6/(K17*10^9)</f>
        <v>26.151164386494305</v>
      </c>
      <c r="L39" s="4" cm="1">
        <f t="array" ref="L39:L42">907185*L34:L37*10^6/(L17*10^9)</f>
        <v>28.015210394769539</v>
      </c>
      <c r="M39" s="4" cm="1">
        <f t="array" ref="M39:M42">907185*M34:M37*10^6/(M17*10^9)</f>
        <v>26.990550096582083</v>
      </c>
      <c r="N39" s="4" cm="1">
        <f t="array" ref="N39:N42">907185*N34:N37*10^6/(N17*10^9)</f>
        <v>26.97118115050834</v>
      </c>
      <c r="O39" s="4" cm="1">
        <f t="array" ref="O39:O42">907185*O34:O37*10^6/(O17*10^9)</f>
        <v>27.287662706442273</v>
      </c>
      <c r="P39" s="4" cm="1">
        <f t="array" ref="P39:P42">907185*P34:P37*10^6/(P17*10^9)</f>
        <v>27.899354248282126</v>
      </c>
      <c r="Q39" s="4" cm="1">
        <f t="array" ref="Q39:Q42">907185*Q34:Q37*10^6/(Q17*10^9)</f>
        <v>27.714535044331146</v>
      </c>
      <c r="R39" s="4" cm="1">
        <f t="array" ref="R39:R42">907185*R34:R37*10^6/(R17*10^9)</f>
        <v>25.322288369475629</v>
      </c>
      <c r="S39" s="4" cm="1">
        <f t="array" ref="S39:S42">907185*S34:S37*10^6/(S17*10^9)</f>
        <v>22.560812010111228</v>
      </c>
      <c r="T39" s="4" cm="1">
        <f t="array" ref="T39:T42">907185*T34:T37*10^6/(T17*10^9)</f>
        <v>22.659225413323529</v>
      </c>
      <c r="U39" s="4" cm="1">
        <f t="array" ref="U39:U42">907185*U34:U37*10^6/(U17*10^9)</f>
        <v>22.961713562321101</v>
      </c>
      <c r="V39" s="4" cm="1">
        <f t="array" ref="V39:V42">907185*V34:V37*10^6/(V17*10^9)</f>
        <v>23.847212611529159</v>
      </c>
      <c r="W39" s="4" cm="1">
        <f t="array" ref="W39:W42">907185*W34:W37*10^6/(W17*10^9)</f>
        <v>24.06844445485374</v>
      </c>
      <c r="X39" s="4" cm="1">
        <f t="array" ref="X39:X42">907185*X34:X37*10^6/(X17*10^9)</f>
        <v>21.401415835030683</v>
      </c>
      <c r="Y39" s="4" cm="1">
        <f t="array" ref="Y39:Y42">907185*Y34:Y37*10^6/(Y17*10^9)</f>
        <v>16.934645014761116</v>
      </c>
      <c r="Z39" s="4" cm="1">
        <f t="array" ref="Z39:Z42">907185*Z34:Z37*10^6/(Z17*10^9)</f>
        <v>16.768515025708044</v>
      </c>
      <c r="AA39" s="4" cm="1">
        <f t="array" ref="AA39:AA42">907185*AA34:AA37*10^6/(AA17*10^9)</f>
        <v>17.167714091452503</v>
      </c>
      <c r="AB39" s="4" cm="1">
        <f t="array" ref="AB39:AB42">907185*AB34:AB37*10^6/(AB17*10^9)</f>
        <v>17.224444234928484</v>
      </c>
      <c r="AC39" s="4" cm="1">
        <f t="array" ref="AC39:AC42">907185*AC34:AC37*10^6/(AC17*10^9)</f>
        <v>17.021079492475931</v>
      </c>
      <c r="AD39" s="4" cm="1">
        <f t="array" ref="AD39:AD42">907185*AD34:AD37*10^6/(AD17*10^9)</f>
        <v>15.955055206396731</v>
      </c>
      <c r="AE39" s="6" cm="1">
        <f t="array" ref="AE39:AE43">(AD39:AD43-D39:D43)/D39:D43</f>
        <v>-0.75244696289963342</v>
      </c>
    </row>
    <row r="40" spans="1:31" x14ac:dyDescent="0.25">
      <c r="A40" t="s">
        <v>64</v>
      </c>
      <c r="B40" t="s">
        <v>66</v>
      </c>
      <c r="C40" t="s">
        <v>70</v>
      </c>
      <c r="D40" s="4">
        <v>236.32051805251857</v>
      </c>
      <c r="E40" s="4">
        <v>211.74966030892611</v>
      </c>
      <c r="F40" s="4">
        <v>164.63745528255325</v>
      </c>
      <c r="G40" s="4">
        <v>144.10712803928752</v>
      </c>
      <c r="H40" s="4">
        <v>131.50440905235527</v>
      </c>
      <c r="I40" s="4">
        <v>126.24375125714019</v>
      </c>
      <c r="J40" s="4">
        <v>105.82805699928423</v>
      </c>
      <c r="K40" s="4">
        <v>95.887593508782473</v>
      </c>
      <c r="L40" s="4">
        <v>102.72243811415498</v>
      </c>
      <c r="M40" s="4">
        <v>98.965320504945282</v>
      </c>
      <c r="N40" s="4">
        <v>98.89427474439664</v>
      </c>
      <c r="O40" s="4">
        <v>100.05472829626966</v>
      </c>
      <c r="P40" s="4">
        <v>102.29754345367049</v>
      </c>
      <c r="Q40" s="4">
        <v>101.61987678832487</v>
      </c>
      <c r="R40" s="4">
        <v>92.848293837206597</v>
      </c>
      <c r="S40" s="4">
        <v>82.722890841798389</v>
      </c>
      <c r="T40" s="4">
        <v>83.083746973690722</v>
      </c>
      <c r="U40" s="4">
        <v>84.192897338074857</v>
      </c>
      <c r="V40" s="4">
        <v>87.43972350902537</v>
      </c>
      <c r="W40" s="4">
        <v>88.250922046148119</v>
      </c>
      <c r="X40" s="4">
        <v>78.471790830039367</v>
      </c>
      <c r="Y40" s="4">
        <v>62.093672325236092</v>
      </c>
      <c r="Z40" s="4">
        <v>61.48457211224445</v>
      </c>
      <c r="AA40" s="4">
        <v>62.948226144388741</v>
      </c>
      <c r="AB40" s="4">
        <v>63.156274668411989</v>
      </c>
      <c r="AC40" s="4">
        <v>62.410628950238348</v>
      </c>
      <c r="AD40" s="4">
        <v>58.501846191082493</v>
      </c>
      <c r="AE40" s="6">
        <v>-0.75244702968160659</v>
      </c>
    </row>
    <row r="41" spans="1:31" x14ac:dyDescent="0.25">
      <c r="A41" t="s">
        <v>64</v>
      </c>
      <c r="B41" t="s">
        <v>67</v>
      </c>
      <c r="C41" t="s">
        <v>70</v>
      </c>
      <c r="D41" s="4">
        <v>1.015153732236776E-2</v>
      </c>
      <c r="E41" s="4">
        <v>1.0988199757808464E-2</v>
      </c>
      <c r="F41" s="4">
        <v>8.2049664560099756E-3</v>
      </c>
      <c r="G41" s="4">
        <v>7.41730778545648E-3</v>
      </c>
      <c r="H41" s="4">
        <v>7.0633422872664929E-3</v>
      </c>
      <c r="I41" s="4">
        <v>7.2802982372455203E-3</v>
      </c>
      <c r="J41" s="4">
        <v>6.268370194575261E-3</v>
      </c>
      <c r="K41" s="4">
        <v>6.8018887520518339E-3</v>
      </c>
      <c r="L41" s="4">
        <v>1.331351535013734E-3</v>
      </c>
      <c r="M41" s="4">
        <v>1.4148515595225274E-3</v>
      </c>
      <c r="N41" s="4">
        <v>1.3739722250873717E-3</v>
      </c>
      <c r="O41" s="4">
        <v>1.4508684417138277E-3</v>
      </c>
      <c r="P41" s="4">
        <v>1.6669612207315609E-3</v>
      </c>
      <c r="Q41" s="4">
        <v>2.5841457335228192E-3</v>
      </c>
      <c r="R41" s="4">
        <v>3.549453532034058E-3</v>
      </c>
      <c r="S41" s="4">
        <v>8.3215799829397478E-3</v>
      </c>
      <c r="T41" s="4">
        <v>8.2000394495479259E-3</v>
      </c>
      <c r="U41" s="4">
        <v>8.0514574362802044E-3</v>
      </c>
      <c r="V41" s="4">
        <v>8.0525627716841863E-3</v>
      </c>
      <c r="W41" s="4">
        <v>7.6858850050226584E-3</v>
      </c>
      <c r="X41" s="4">
        <v>7.4694462930020127E-3</v>
      </c>
      <c r="Y41" s="4">
        <v>7.212719750737966E-3</v>
      </c>
      <c r="Z41" s="4">
        <v>7.0837348485965502E-3</v>
      </c>
      <c r="AA41" s="4">
        <v>6.8043594066036104E-3</v>
      </c>
      <c r="AB41" s="4">
        <v>6.8148506328172629E-3</v>
      </c>
      <c r="AC41" s="4">
        <v>6.8446306300810498E-3</v>
      </c>
      <c r="AD41" s="4">
        <v>7.0445770439246345E-3</v>
      </c>
      <c r="AE41" s="6">
        <v>-0.30605810526818344</v>
      </c>
    </row>
    <row r="42" spans="1:31" x14ac:dyDescent="0.25">
      <c r="A42" t="s">
        <v>64</v>
      </c>
      <c r="B42" t="s">
        <v>68</v>
      </c>
      <c r="C42" t="s">
        <v>70</v>
      </c>
      <c r="D42" s="4">
        <v>0.13117649204408771</v>
      </c>
      <c r="E42" s="4">
        <v>0.13429450070901586</v>
      </c>
      <c r="F42" s="4">
        <v>0.11637838711000002</v>
      </c>
      <c r="G42" s="4">
        <v>0.11353558775269017</v>
      </c>
      <c r="H42" s="4">
        <v>0.10639442669933895</v>
      </c>
      <c r="I42" s="4">
        <v>9.8473755187179102E-2</v>
      </c>
      <c r="J42" s="4">
        <v>0.12066385180065557</v>
      </c>
      <c r="K42" s="4">
        <v>0.12442096232183944</v>
      </c>
      <c r="L42" s="4">
        <v>0.11832051695739508</v>
      </c>
      <c r="M42" s="4">
        <v>0.11491639280602908</v>
      </c>
      <c r="N42" s="4">
        <v>0.11046736689702467</v>
      </c>
      <c r="O42" s="4">
        <v>0.10596583727312317</v>
      </c>
      <c r="P42" s="4">
        <v>0.10913440445624513</v>
      </c>
      <c r="Q42" s="4">
        <v>0.10511876896269737</v>
      </c>
      <c r="R42" s="4">
        <v>0.10459894036879128</v>
      </c>
      <c r="S42" s="4">
        <v>9.8019608783005113E-2</v>
      </c>
      <c r="T42" s="4">
        <v>9.7091648755802451E-2</v>
      </c>
      <c r="U42" s="4">
        <v>9.5460136879836843E-2</v>
      </c>
      <c r="V42" s="4">
        <v>9.4170831995753171E-2</v>
      </c>
      <c r="W42" s="4">
        <v>9.2135058434987427E-2</v>
      </c>
      <c r="X42" s="4">
        <v>8.7777759497240579E-2</v>
      </c>
      <c r="Y42" s="4">
        <v>8.160081495776178E-2</v>
      </c>
      <c r="Z42" s="4">
        <v>8.1450187272646649E-2</v>
      </c>
      <c r="AA42" s="4">
        <v>8.073161179178813E-2</v>
      </c>
      <c r="AB42" s="4">
        <v>8.0845780831373948E-2</v>
      </c>
      <c r="AC42" s="4">
        <v>7.8679060176481172E-2</v>
      </c>
      <c r="AD42" s="4">
        <v>7.8989193662729398E-2</v>
      </c>
      <c r="AE42" s="6">
        <v>-0.39784032617535192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1.1212403159794466E-10</v>
      </c>
      <c r="E43" s="5">
        <f>907185*E38/(E17*10^9)</f>
        <v>4.4604714083219369E-10</v>
      </c>
      <c r="F43" s="5">
        <f>907185*F38/(F17*10^9)</f>
        <v>1.6070663352359036E-10</v>
      </c>
      <c r="G43" s="5">
        <f>907185*G38/(G17*10^9)</f>
        <v>1.0881136115584076E-10</v>
      </c>
      <c r="H43" s="5">
        <f>907185*H38/(H17*10^9)</f>
        <v>1.2694068295472519E-10</v>
      </c>
      <c r="I43" s="5">
        <f>907185*I38/(I17*10^9)</f>
        <v>1.941412863265472E-10</v>
      </c>
      <c r="J43" s="5">
        <f>907185*J38/(J17*10^9)</f>
        <v>1.0917335607387972E-10</v>
      </c>
      <c r="K43" s="5">
        <f>907185*K38/(K17*10^9)</f>
        <v>1.0165866341381817E-10</v>
      </c>
      <c r="L43" s="5">
        <f>907185*L38/(L17*10^9)</f>
        <v>7.1481961611475648E-11</v>
      </c>
      <c r="M43" s="5">
        <f>907185*M38/(M17*10^9)</f>
        <v>7.1638053646710241E-11</v>
      </c>
      <c r="N43" s="5">
        <f>907185*N38/(N17*10^9)</f>
        <v>5.3186021616285354E-11</v>
      </c>
      <c r="O43" s="5">
        <f>907185*O38/(O17*10^9)</f>
        <v>4.3700856678127356E-11</v>
      </c>
      <c r="P43" s="5">
        <f>907185*P38/(P17*10^9)</f>
        <v>6.0148085284128482E-11</v>
      </c>
      <c r="Q43" s="5">
        <f>907185*Q38/(Q17*10^9)</f>
        <v>4.9378580895340498E-11</v>
      </c>
      <c r="R43" s="5">
        <f>907185*R38/(R17*10^9)</f>
        <v>4.711663980576183E-11</v>
      </c>
      <c r="S43" s="5">
        <f>907185*S38/(S17*10^9)</f>
        <v>2.7441930425024124E-10</v>
      </c>
      <c r="T43" s="5">
        <f>907185*T38/(T17*10^9)</f>
        <v>3.1816731550274133E-10</v>
      </c>
      <c r="U43" s="5">
        <f>907185*U38/(U17*10^9)</f>
        <v>2.9291016405278476E-10</v>
      </c>
      <c r="V43" s="5">
        <f>907185*V38/(V17*10^9)</f>
        <v>3.6443277991956276E-10</v>
      </c>
      <c r="W43" s="5">
        <f>907185*W38/(W17*10^9)</f>
        <v>2.9351070623088305E-10</v>
      </c>
      <c r="X43" s="5">
        <f>907185*X38/(X17*10^9)</f>
        <v>2.5548061128179702E-10</v>
      </c>
      <c r="Y43" s="5">
        <f>907185*Y38/(Y17*10^9)</f>
        <v>2.4759110255469082E-10</v>
      </c>
      <c r="Z43" s="5">
        <f>907185*Z38/(Z17*10^9)</f>
        <v>2.5526972427374959E-10</v>
      </c>
      <c r="AA43" s="5">
        <f>907185*AA38/(AA17*10^9)</f>
        <v>2.0179749862031092E-10</v>
      </c>
      <c r="AB43" s="5">
        <f>907185*AB38/(AB17*10^9)</f>
        <v>2.6908960258139792E-10</v>
      </c>
      <c r="AC43" s="5">
        <f>907185*AC38/(AC17*10^9)</f>
        <v>3.1083699500822211E-10</v>
      </c>
      <c r="AD43" s="5">
        <f>907185*AD38/(AD17*10^9)</f>
        <v>3.8095673730443495E-10</v>
      </c>
      <c r="AE43" s="6">
        <v>2.3976368123336216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1.42578125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t="e" cm="1">
        <f t="array" ref="AE2:AE17">(AD2:AD17-D2:D17)/D2:D17</f>
        <v>#DIV/0!</v>
      </c>
    </row>
    <row r="3" spans="1:31" x14ac:dyDescent="0.25">
      <c r="A3" t="s">
        <v>28</v>
      </c>
      <c r="B3" t="s">
        <v>31</v>
      </c>
      <c r="C3" t="s">
        <v>30</v>
      </c>
      <c r="D3">
        <v>0.51483000000000001</v>
      </c>
      <c r="E3">
        <v>0.495201</v>
      </c>
      <c r="F3">
        <v>0.46970400000000001</v>
      </c>
      <c r="G3">
        <v>0.47098400000000001</v>
      </c>
      <c r="H3">
        <v>0.30803599999999998</v>
      </c>
      <c r="I3">
        <v>0.30681799999999998</v>
      </c>
      <c r="J3">
        <v>0.30769400000000002</v>
      </c>
      <c r="K3">
        <v>0.119793</v>
      </c>
      <c r="L3">
        <v>0.12421</v>
      </c>
      <c r="M3">
        <v>0.123559</v>
      </c>
      <c r="N3">
        <v>0.116857</v>
      </c>
      <c r="O3">
        <v>0.106542</v>
      </c>
      <c r="P3">
        <v>0.10464900000000001</v>
      </c>
      <c r="Q3">
        <v>0.104722</v>
      </c>
      <c r="R3">
        <v>0.104722</v>
      </c>
      <c r="S3">
        <v>0.104722</v>
      </c>
      <c r="T3">
        <v>0.104722</v>
      </c>
      <c r="U3">
        <v>0.104722</v>
      </c>
      <c r="V3">
        <v>0.104722</v>
      </c>
      <c r="W3">
        <v>0.104722</v>
      </c>
      <c r="X3">
        <v>3.8037000000000001E-2</v>
      </c>
      <c r="Y3">
        <v>3.8037000000000001E-2</v>
      </c>
      <c r="Z3">
        <v>3.8433000000000002E-2</v>
      </c>
      <c r="AA3">
        <v>3.8037000000000001E-2</v>
      </c>
      <c r="AB3">
        <v>3.8037000000000001E-2</v>
      </c>
      <c r="AC3">
        <v>3.8037000000000001E-2</v>
      </c>
      <c r="AD3">
        <v>3.8037000000000001E-2</v>
      </c>
      <c r="AE3" s="6">
        <v>-0.92611735912825599</v>
      </c>
    </row>
    <row r="4" spans="1:31" x14ac:dyDescent="0.25">
      <c r="A4" t="s">
        <v>28</v>
      </c>
      <c r="B4" t="s">
        <v>32</v>
      </c>
      <c r="C4" t="s">
        <v>30</v>
      </c>
      <c r="D4">
        <v>41.287159000000003</v>
      </c>
      <c r="E4">
        <v>19.363606999999998</v>
      </c>
      <c r="F4">
        <v>28.677606999999998</v>
      </c>
      <c r="G4">
        <v>27.113209000000001</v>
      </c>
      <c r="H4">
        <v>20.28735</v>
      </c>
      <c r="I4">
        <v>17.099270000000001</v>
      </c>
      <c r="J4">
        <v>29.278186999999999</v>
      </c>
      <c r="K4">
        <v>21.777853</v>
      </c>
      <c r="L4">
        <v>21.795652</v>
      </c>
      <c r="M4">
        <v>21.454872000000002</v>
      </c>
      <c r="N4">
        <v>20.953811999999999</v>
      </c>
      <c r="O4">
        <v>20.569327999999999</v>
      </c>
      <c r="P4">
        <v>20.636536</v>
      </c>
      <c r="Q4">
        <v>20.405654999999999</v>
      </c>
      <c r="R4">
        <v>19.455933000000002</v>
      </c>
      <c r="S4">
        <v>19.615738</v>
      </c>
      <c r="T4">
        <v>19.333572</v>
      </c>
      <c r="U4">
        <v>19.552759000000002</v>
      </c>
      <c r="V4">
        <v>19.199605999999999</v>
      </c>
      <c r="W4">
        <v>20.059083999999999</v>
      </c>
      <c r="X4">
        <v>21.040588</v>
      </c>
      <c r="Y4">
        <v>21.645178000000001</v>
      </c>
      <c r="Z4">
        <v>22.653694000000002</v>
      </c>
      <c r="AA4">
        <v>23.778130000000001</v>
      </c>
      <c r="AB4">
        <v>24.299410000000002</v>
      </c>
      <c r="AC4">
        <v>24.411106</v>
      </c>
      <c r="AD4">
        <v>25.046347000000001</v>
      </c>
      <c r="AE4" s="6">
        <v>-0.39336230424573415</v>
      </c>
    </row>
    <row r="5" spans="1:31" x14ac:dyDescent="0.25">
      <c r="A5" t="s">
        <v>28</v>
      </c>
      <c r="B5" t="s">
        <v>33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6" t="e">
        <v>#DIV/0!</v>
      </c>
    </row>
    <row r="6" spans="1:31" x14ac:dyDescent="0.25">
      <c r="A6" t="s">
        <v>28</v>
      </c>
      <c r="B6" t="s">
        <v>34</v>
      </c>
      <c r="C6" t="s">
        <v>30</v>
      </c>
      <c r="D6">
        <v>0.337754</v>
      </c>
      <c r="E6">
        <v>0.335644</v>
      </c>
      <c r="F6">
        <v>0.31970900000000002</v>
      </c>
      <c r="G6">
        <v>0.32606400000000002</v>
      </c>
      <c r="H6">
        <v>0.319077</v>
      </c>
      <c r="I6">
        <v>0.329484</v>
      </c>
      <c r="J6">
        <v>0.34160600000000002</v>
      </c>
      <c r="K6">
        <v>0.328735</v>
      </c>
      <c r="L6">
        <v>0.34134599999999998</v>
      </c>
      <c r="M6">
        <v>0.33806900000000001</v>
      </c>
      <c r="N6">
        <v>0.34064800000000001</v>
      </c>
      <c r="O6">
        <v>0.34</v>
      </c>
      <c r="P6">
        <v>0.33541300000000002</v>
      </c>
      <c r="Q6">
        <v>0.32075100000000001</v>
      </c>
      <c r="R6">
        <v>0.32351999999999997</v>
      </c>
      <c r="S6">
        <v>0.31158000000000002</v>
      </c>
      <c r="T6">
        <v>0.31551600000000002</v>
      </c>
      <c r="U6">
        <v>0.31786500000000001</v>
      </c>
      <c r="V6">
        <v>0.307195</v>
      </c>
      <c r="W6">
        <v>0.30931900000000001</v>
      </c>
      <c r="X6">
        <v>0.31668000000000002</v>
      </c>
      <c r="Y6">
        <v>0.31359999999999999</v>
      </c>
      <c r="Z6">
        <v>0.31084200000000001</v>
      </c>
      <c r="AA6">
        <v>0.29542000000000002</v>
      </c>
      <c r="AB6">
        <v>0.28093600000000002</v>
      </c>
      <c r="AC6">
        <v>0.27451199999999998</v>
      </c>
      <c r="AD6">
        <v>0.25523800000000002</v>
      </c>
      <c r="AE6" s="6">
        <v>-0.24430798747017055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s="6" t="e">
        <v>#DIV/0!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3.9469999999999998E-2</v>
      </c>
      <c r="E10">
        <v>5.5198999999999998E-2</v>
      </c>
      <c r="F10">
        <v>5.5198999999999998E-2</v>
      </c>
      <c r="G10">
        <v>5.5198999999999998E-2</v>
      </c>
      <c r="H10">
        <v>5.5198999999999998E-2</v>
      </c>
      <c r="I10">
        <v>5.5198999999999998E-2</v>
      </c>
      <c r="J10">
        <v>5.5198999999999998E-2</v>
      </c>
      <c r="K10">
        <v>5.5198999999999998E-2</v>
      </c>
      <c r="L10">
        <v>5.5198999999999998E-2</v>
      </c>
      <c r="M10">
        <v>5.5198999999999998E-2</v>
      </c>
      <c r="N10">
        <v>5.5198999999999998E-2</v>
      </c>
      <c r="O10">
        <v>5.5198999999999998E-2</v>
      </c>
      <c r="P10">
        <v>5.5198999999999998E-2</v>
      </c>
      <c r="Q10">
        <v>5.5198999999999998E-2</v>
      </c>
      <c r="R10">
        <v>5.5198999999999998E-2</v>
      </c>
      <c r="S10">
        <v>5.5198999999999998E-2</v>
      </c>
      <c r="T10">
        <v>5.5198999999999998E-2</v>
      </c>
      <c r="U10">
        <v>5.5198999999999998E-2</v>
      </c>
      <c r="V10">
        <v>5.5198999999999998E-2</v>
      </c>
      <c r="W10">
        <v>5.5198999999999998E-2</v>
      </c>
      <c r="X10">
        <v>5.5198999999999998E-2</v>
      </c>
      <c r="Y10">
        <v>5.5198999999999998E-2</v>
      </c>
      <c r="Z10">
        <v>5.5198999999999998E-2</v>
      </c>
      <c r="AA10">
        <v>5.5198999999999998E-2</v>
      </c>
      <c r="AB10">
        <v>5.5198999999999998E-2</v>
      </c>
      <c r="AC10">
        <v>5.5198999999999998E-2</v>
      </c>
      <c r="AD10">
        <v>5.5190000000000003E-2</v>
      </c>
      <c r="AE10" s="6">
        <v>0.39827717253610351</v>
      </c>
    </row>
    <row r="11" spans="1:31" x14ac:dyDescent="0.25">
      <c r="A11" t="s">
        <v>28</v>
      </c>
      <c r="B11" t="s">
        <v>39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s="6" t="e">
        <v>#DIV/0!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0.26185399999999998</v>
      </c>
      <c r="E13">
        <v>0.28143000000000001</v>
      </c>
      <c r="F13">
        <v>4.8137350000000003</v>
      </c>
      <c r="G13">
        <v>5.903346</v>
      </c>
      <c r="H13">
        <v>5.88687</v>
      </c>
      <c r="I13">
        <v>5.8791370000000001</v>
      </c>
      <c r="J13">
        <v>5.8605029999999996</v>
      </c>
      <c r="K13">
        <v>5.8809050000000003</v>
      </c>
      <c r="L13">
        <v>5.8758809999999997</v>
      </c>
      <c r="M13">
        <v>5.8942519999999998</v>
      </c>
      <c r="N13">
        <v>5.878762</v>
      </c>
      <c r="O13">
        <v>5.8803570000000001</v>
      </c>
      <c r="P13">
        <v>5.8873199999999999</v>
      </c>
      <c r="Q13">
        <v>5.8777509999999999</v>
      </c>
      <c r="R13">
        <v>5.8638279999999998</v>
      </c>
      <c r="S13">
        <v>5.8693489999999997</v>
      </c>
      <c r="T13">
        <v>5.8739179999999998</v>
      </c>
      <c r="U13">
        <v>5.8752649999999997</v>
      </c>
      <c r="V13">
        <v>5.8749779999999996</v>
      </c>
      <c r="W13">
        <v>5.8783260000000004</v>
      </c>
      <c r="X13">
        <v>5.8763820000000004</v>
      </c>
      <c r="Y13">
        <v>5.8697080000000001</v>
      </c>
      <c r="Z13">
        <v>5.8797079999999999</v>
      </c>
      <c r="AA13">
        <v>5.879982</v>
      </c>
      <c r="AB13">
        <v>5.881799</v>
      </c>
      <c r="AC13">
        <v>5.8818099999999998</v>
      </c>
      <c r="AD13">
        <v>5.8833580000000003</v>
      </c>
      <c r="AE13" s="6">
        <v>21.468085268890302</v>
      </c>
    </row>
    <row r="14" spans="1:31" x14ac:dyDescent="0.25">
      <c r="A14" t="s">
        <v>28</v>
      </c>
      <c r="B14" t="s">
        <v>42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6" t="e">
        <v>#DIV/0!</v>
      </c>
    </row>
    <row r="15" spans="1:31" x14ac:dyDescent="0.25">
      <c r="A15" t="s">
        <v>28</v>
      </c>
      <c r="B15" t="s">
        <v>43</v>
      </c>
      <c r="C15" t="s">
        <v>30</v>
      </c>
      <c r="D15">
        <v>0.25730500000000001</v>
      </c>
      <c r="E15">
        <v>2.8386079999999998</v>
      </c>
      <c r="F15">
        <v>4.5405480000000003</v>
      </c>
      <c r="G15">
        <v>7.9358230000000001</v>
      </c>
      <c r="H15">
        <v>10.566404</v>
      </c>
      <c r="I15">
        <v>13.649988</v>
      </c>
      <c r="J15">
        <v>16.736076000000001</v>
      </c>
      <c r="K15">
        <v>19.820540999999999</v>
      </c>
      <c r="L15">
        <v>22.904602000000001</v>
      </c>
      <c r="M15">
        <v>25.986189</v>
      </c>
      <c r="N15">
        <v>29.069468000000001</v>
      </c>
      <c r="O15">
        <v>32.152701999999998</v>
      </c>
      <c r="P15">
        <v>32.794407</v>
      </c>
      <c r="Q15">
        <v>32.782555000000002</v>
      </c>
      <c r="R15">
        <v>32.781494000000002</v>
      </c>
      <c r="S15">
        <v>32.793453</v>
      </c>
      <c r="T15">
        <v>32.781531999999999</v>
      </c>
      <c r="U15">
        <v>32.781002000000001</v>
      </c>
      <c r="V15">
        <v>32.769089000000001</v>
      </c>
      <c r="W15">
        <v>32.769137999999998</v>
      </c>
      <c r="X15">
        <v>32.768642</v>
      </c>
      <c r="Y15">
        <v>32.768352999999998</v>
      </c>
      <c r="Z15">
        <v>32.774985999999998</v>
      </c>
      <c r="AA15">
        <v>32.780082999999998</v>
      </c>
      <c r="AB15">
        <v>32.779594000000003</v>
      </c>
      <c r="AC15">
        <v>32.779594000000003</v>
      </c>
      <c r="AD15">
        <v>32.779110000000003</v>
      </c>
      <c r="AE15" s="6">
        <v>126.39398767999067</v>
      </c>
    </row>
    <row r="16" spans="1:31" x14ac:dyDescent="0.25">
      <c r="A16" t="s">
        <v>28</v>
      </c>
      <c r="B16" s="8" t="s">
        <v>44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7.2690000000000003E-3</v>
      </c>
      <c r="M16">
        <v>7.2690000000000003E-3</v>
      </c>
      <c r="N16">
        <v>1.005E-2</v>
      </c>
      <c r="O16">
        <v>1.3081000000000001E-2</v>
      </c>
      <c r="P16">
        <v>1.6375000000000001E-2</v>
      </c>
      <c r="Q16">
        <v>1.9664000000000001E-2</v>
      </c>
      <c r="R16">
        <v>2.2939000000000001E-2</v>
      </c>
      <c r="S16">
        <v>3.1864000000000003E-2</v>
      </c>
      <c r="T16">
        <v>3.5298999999999997E-2</v>
      </c>
      <c r="U16">
        <v>3.8637999999999999E-2</v>
      </c>
      <c r="V16">
        <v>4.1688999999999997E-2</v>
      </c>
      <c r="W16">
        <v>4.9681000000000003E-2</v>
      </c>
      <c r="X16">
        <v>5.8000000000000003E-2</v>
      </c>
      <c r="Y16">
        <v>6.6418000000000005E-2</v>
      </c>
      <c r="Z16">
        <v>7.4867000000000003E-2</v>
      </c>
      <c r="AA16">
        <v>8.3343E-2</v>
      </c>
      <c r="AB16">
        <v>9.1743000000000005E-2</v>
      </c>
      <c r="AC16">
        <v>9.4888E-2</v>
      </c>
      <c r="AD16">
        <v>0.103615</v>
      </c>
      <c r="AE16" s="6" t="e">
        <v>#DIV/0!</v>
      </c>
    </row>
    <row r="17" spans="1:31" x14ac:dyDescent="0.25">
      <c r="A17" t="s">
        <v>28</v>
      </c>
      <c r="B17" s="8" t="s">
        <v>45</v>
      </c>
      <c r="C17" t="s">
        <v>30</v>
      </c>
      <c r="D17">
        <v>42.698371999999999</v>
      </c>
      <c r="E17">
        <v>23.369689999999999</v>
      </c>
      <c r="F17">
        <v>38.876503</v>
      </c>
      <c r="G17">
        <v>41.804625999999999</v>
      </c>
      <c r="H17">
        <v>37.422935000000003</v>
      </c>
      <c r="I17">
        <v>37.319893</v>
      </c>
      <c r="J17">
        <v>52.579262</v>
      </c>
      <c r="K17">
        <v>47.983024999999998</v>
      </c>
      <c r="L17">
        <v>51.10416</v>
      </c>
      <c r="M17">
        <v>53.859408999999999</v>
      </c>
      <c r="N17">
        <v>56.424788999999997</v>
      </c>
      <c r="O17">
        <v>59.117207000000001</v>
      </c>
      <c r="P17">
        <v>59.829898999999997</v>
      </c>
      <c r="Q17">
        <v>59.566296000000001</v>
      </c>
      <c r="R17">
        <v>58.607632000000002</v>
      </c>
      <c r="S17">
        <v>58.781905999999999</v>
      </c>
      <c r="T17">
        <v>58.499752000000001</v>
      </c>
      <c r="U17">
        <v>58.725451999999997</v>
      </c>
      <c r="V17">
        <v>58.352477999999998</v>
      </c>
      <c r="W17">
        <v>59.225470999999999</v>
      </c>
      <c r="X17">
        <v>60.153525999999999</v>
      </c>
      <c r="Y17">
        <v>60.756492999999999</v>
      </c>
      <c r="Z17">
        <v>61.787726999999997</v>
      </c>
      <c r="AA17">
        <v>62.910193999999997</v>
      </c>
      <c r="AB17">
        <v>63.426715999999999</v>
      </c>
      <c r="AC17">
        <v>63.535141000000003</v>
      </c>
      <c r="AD17">
        <v>64.160895999999994</v>
      </c>
      <c r="AE17" s="6">
        <v>0.50265438691667208</v>
      </c>
    </row>
    <row r="18" spans="1:31" x14ac:dyDescent="0.25">
      <c r="A18" t="s">
        <v>74</v>
      </c>
      <c r="B18" t="s">
        <v>46</v>
      </c>
      <c r="C18" t="s">
        <v>47</v>
      </c>
      <c r="D18">
        <v>30.010351</v>
      </c>
      <c r="E18">
        <v>31.398586000000002</v>
      </c>
      <c r="F18">
        <v>30.440466000000001</v>
      </c>
      <c r="G18">
        <v>28.752365000000001</v>
      </c>
      <c r="H18">
        <v>28.568531</v>
      </c>
      <c r="I18">
        <v>28.659779</v>
      </c>
      <c r="J18">
        <v>29.055574</v>
      </c>
      <c r="K18">
        <v>28.839314999999999</v>
      </c>
      <c r="L18">
        <v>28.311426000000001</v>
      </c>
      <c r="M18">
        <v>29.079321</v>
      </c>
      <c r="N18">
        <v>29.120336999999999</v>
      </c>
      <c r="O18">
        <v>29.075695</v>
      </c>
      <c r="P18">
        <v>29.007176999999999</v>
      </c>
      <c r="Q18">
        <v>29.044094000000001</v>
      </c>
      <c r="R18">
        <v>29.231193999999999</v>
      </c>
      <c r="S18">
        <v>29.042486</v>
      </c>
      <c r="T18">
        <v>29.064882000000001</v>
      </c>
      <c r="U18">
        <v>29.265972000000001</v>
      </c>
      <c r="V18">
        <v>29.568076999999999</v>
      </c>
      <c r="W18">
        <v>29.855153999999999</v>
      </c>
      <c r="X18">
        <v>30.132185</v>
      </c>
      <c r="Y18">
        <v>30.203703000000001</v>
      </c>
      <c r="Z18">
        <v>30.293040999999999</v>
      </c>
      <c r="AA18">
        <v>30.530408999999999</v>
      </c>
      <c r="AB18">
        <v>30.686111</v>
      </c>
      <c r="AC18">
        <v>30.972898000000001</v>
      </c>
      <c r="AD18">
        <v>31.131802</v>
      </c>
      <c r="AE18" s="6" cm="1">
        <f t="array" ref="AE18:AE22">(AD18:AD22-D18:D22)/D18:D22</f>
        <v>3.7368806516125064E-2</v>
      </c>
    </row>
    <row r="19" spans="1:31" x14ac:dyDescent="0.25">
      <c r="A19" t="s">
        <v>74</v>
      </c>
      <c r="B19" t="s">
        <v>48</v>
      </c>
      <c r="C19" t="s">
        <v>47</v>
      </c>
      <c r="D19">
        <v>22.263162999999999</v>
      </c>
      <c r="E19">
        <v>23.075158999999999</v>
      </c>
      <c r="F19">
        <v>22.104675</v>
      </c>
      <c r="G19">
        <v>20.349551999999999</v>
      </c>
      <c r="H19">
        <v>20.191068999999999</v>
      </c>
      <c r="I19">
        <v>20.263553999999999</v>
      </c>
      <c r="J19">
        <v>20.751705000000001</v>
      </c>
      <c r="K19">
        <v>20.565313</v>
      </c>
      <c r="L19">
        <v>19.897015</v>
      </c>
      <c r="M19">
        <v>20.729244000000001</v>
      </c>
      <c r="N19">
        <v>20.791900999999999</v>
      </c>
      <c r="O19">
        <v>20.754795000000001</v>
      </c>
      <c r="P19">
        <v>20.646801</v>
      </c>
      <c r="Q19">
        <v>20.629819999999999</v>
      </c>
      <c r="R19">
        <v>20.778134999999999</v>
      </c>
      <c r="S19">
        <v>20.468288000000001</v>
      </c>
      <c r="T19">
        <v>20.398589999999999</v>
      </c>
      <c r="U19">
        <v>20.494271999999999</v>
      </c>
      <c r="V19">
        <v>20.669052000000001</v>
      </c>
      <c r="W19">
        <v>20.824255000000001</v>
      </c>
      <c r="X19">
        <v>20.955423</v>
      </c>
      <c r="Y19">
        <v>20.846432</v>
      </c>
      <c r="Z19">
        <v>20.747123999999999</v>
      </c>
      <c r="AA19">
        <v>20.810614000000001</v>
      </c>
      <c r="AB19">
        <v>20.775155999999999</v>
      </c>
      <c r="AC19">
        <v>20.874126</v>
      </c>
      <c r="AD19">
        <v>20.825686999999999</v>
      </c>
      <c r="AE19" s="6">
        <v>-6.4567465099186497E-2</v>
      </c>
    </row>
    <row r="20" spans="1:31" x14ac:dyDescent="0.25">
      <c r="A20" t="s">
        <v>74</v>
      </c>
      <c r="B20" t="s">
        <v>49</v>
      </c>
      <c r="C20" t="s">
        <v>47</v>
      </c>
      <c r="D20">
        <v>24.082767</v>
      </c>
      <c r="E20">
        <v>25.002624999999998</v>
      </c>
      <c r="F20">
        <v>23.816020999999999</v>
      </c>
      <c r="G20">
        <v>22.167929000000001</v>
      </c>
      <c r="H20">
        <v>22.158075</v>
      </c>
      <c r="I20">
        <v>22.381540000000001</v>
      </c>
      <c r="J20">
        <v>22.731795999999999</v>
      </c>
      <c r="K20">
        <v>22.592282999999998</v>
      </c>
      <c r="L20">
        <v>22.273319000000001</v>
      </c>
      <c r="M20">
        <v>22.994392000000001</v>
      </c>
      <c r="N20">
        <v>23.111418</v>
      </c>
      <c r="O20">
        <v>23.147469999999998</v>
      </c>
      <c r="P20">
        <v>23.141732999999999</v>
      </c>
      <c r="Q20">
        <v>23.193391999999999</v>
      </c>
      <c r="R20">
        <v>23.333178</v>
      </c>
      <c r="S20">
        <v>23.214552000000001</v>
      </c>
      <c r="T20">
        <v>23.253140999999999</v>
      </c>
      <c r="U20">
        <v>23.436703000000001</v>
      </c>
      <c r="V20">
        <v>23.733163999999999</v>
      </c>
      <c r="W20">
        <v>24.022047000000001</v>
      </c>
      <c r="X20">
        <v>24.295584000000002</v>
      </c>
      <c r="Y20">
        <v>24.336554</v>
      </c>
      <c r="Z20">
        <v>24.379881000000001</v>
      </c>
      <c r="AA20">
        <v>24.558071000000002</v>
      </c>
      <c r="AB20">
        <v>24.649027</v>
      </c>
      <c r="AC20">
        <v>24.821117000000001</v>
      </c>
      <c r="AD20">
        <v>24.892589999999998</v>
      </c>
      <c r="AE20" s="6">
        <v>3.3626659262201805E-2</v>
      </c>
    </row>
    <row r="21" spans="1:31" x14ac:dyDescent="0.25">
      <c r="A21" t="s">
        <v>74</v>
      </c>
      <c r="B21" t="s">
        <v>50</v>
      </c>
      <c r="C21" t="s">
        <v>47</v>
      </c>
      <c r="D21">
        <v>21.799603999999999</v>
      </c>
      <c r="E21">
        <v>22.713025999999999</v>
      </c>
      <c r="F21">
        <v>21.533733000000002</v>
      </c>
      <c r="G21">
        <v>19.767647</v>
      </c>
      <c r="H21">
        <v>19.579339999999998</v>
      </c>
      <c r="I21">
        <v>19.656663999999999</v>
      </c>
      <c r="J21">
        <v>19.937184999999999</v>
      </c>
      <c r="K21">
        <v>19.745374999999999</v>
      </c>
      <c r="L21">
        <v>19.417100999999999</v>
      </c>
      <c r="M21">
        <v>20.051431999999998</v>
      </c>
      <c r="N21">
        <v>20.157748999999999</v>
      </c>
      <c r="O21">
        <v>20.167618000000001</v>
      </c>
      <c r="P21">
        <v>20.114086</v>
      </c>
      <c r="Q21">
        <v>20.108426999999999</v>
      </c>
      <c r="R21">
        <v>20.206037999999999</v>
      </c>
      <c r="S21">
        <v>20.009035000000001</v>
      </c>
      <c r="T21">
        <v>19.961134000000001</v>
      </c>
      <c r="U21">
        <v>20.073844999999999</v>
      </c>
      <c r="V21">
        <v>20.269629999999999</v>
      </c>
      <c r="W21">
        <v>20.449945</v>
      </c>
      <c r="X21">
        <v>20.595631000000001</v>
      </c>
      <c r="Y21">
        <v>20.524985999999998</v>
      </c>
      <c r="Z21">
        <v>20.460343999999999</v>
      </c>
      <c r="AA21">
        <v>20.538295999999999</v>
      </c>
      <c r="AB21">
        <v>20.546006999999999</v>
      </c>
      <c r="AC21">
        <v>20.631899000000001</v>
      </c>
      <c r="AD21">
        <v>20.617660999999998</v>
      </c>
      <c r="AE21" s="6">
        <v>-5.4218553694828607E-2</v>
      </c>
    </row>
    <row r="22" spans="1:31" x14ac:dyDescent="0.25">
      <c r="A22" t="s">
        <v>74</v>
      </c>
      <c r="B22" t="s">
        <v>51</v>
      </c>
      <c r="C22" t="s">
        <v>47</v>
      </c>
      <c r="D22">
        <v>25.127596</v>
      </c>
      <c r="E22">
        <v>26.111601</v>
      </c>
      <c r="F22">
        <v>25.166823999999998</v>
      </c>
      <c r="G22">
        <v>23.433057999999999</v>
      </c>
      <c r="H22">
        <v>23.259042999999998</v>
      </c>
      <c r="I22">
        <v>23.323253999999999</v>
      </c>
      <c r="J22">
        <v>23.767323999999999</v>
      </c>
      <c r="K22">
        <v>23.557941</v>
      </c>
      <c r="L22">
        <v>22.927869999999999</v>
      </c>
      <c r="M22">
        <v>23.726168000000001</v>
      </c>
      <c r="N22">
        <v>23.769556000000001</v>
      </c>
      <c r="O22">
        <v>23.717044999999999</v>
      </c>
      <c r="P22">
        <v>23.609442000000001</v>
      </c>
      <c r="Q22">
        <v>23.599537000000002</v>
      </c>
      <c r="R22">
        <v>23.751009</v>
      </c>
      <c r="S22">
        <v>23.470877000000002</v>
      </c>
      <c r="T22">
        <v>23.421161999999999</v>
      </c>
      <c r="U22">
        <v>23.542351</v>
      </c>
      <c r="V22">
        <v>23.748025999999999</v>
      </c>
      <c r="W22">
        <v>23.934435000000001</v>
      </c>
      <c r="X22">
        <v>24.099253000000001</v>
      </c>
      <c r="Y22">
        <v>24.032909</v>
      </c>
      <c r="Z22">
        <v>23.977695000000001</v>
      </c>
      <c r="AA22">
        <v>24.079643000000001</v>
      </c>
      <c r="AB22">
        <v>24.086425999999999</v>
      </c>
      <c r="AC22">
        <v>24.224972000000001</v>
      </c>
      <c r="AD22">
        <v>24.220863000000001</v>
      </c>
      <c r="AE22" s="6">
        <v>-3.608514718240452E-2</v>
      </c>
    </row>
    <row r="23" spans="1:31" x14ac:dyDescent="0.25">
      <c r="A23" t="s">
        <v>75</v>
      </c>
      <c r="B23" t="s">
        <v>46</v>
      </c>
      <c r="C23" t="s">
        <v>52</v>
      </c>
      <c r="D23">
        <v>30.010351</v>
      </c>
      <c r="E23">
        <v>32.059826000000001</v>
      </c>
      <c r="F23">
        <v>31.648857</v>
      </c>
      <c r="G23">
        <v>30.415226000000001</v>
      </c>
      <c r="H23">
        <v>30.807670999999999</v>
      </c>
      <c r="I23">
        <v>31.503533999999998</v>
      </c>
      <c r="J23">
        <v>32.599117</v>
      </c>
      <c r="K23">
        <v>33.088771999999999</v>
      </c>
      <c r="L23">
        <v>33.235061999999999</v>
      </c>
      <c r="M23">
        <v>34.966095000000003</v>
      </c>
      <c r="N23">
        <v>35.870026000000003</v>
      </c>
      <c r="O23">
        <v>36.678801999999997</v>
      </c>
      <c r="P23">
        <v>37.449333000000003</v>
      </c>
      <c r="Q23">
        <v>38.346877999999997</v>
      </c>
      <c r="R23">
        <v>39.427475000000001</v>
      </c>
      <c r="S23">
        <v>39.98798</v>
      </c>
      <c r="T23">
        <v>40.845554</v>
      </c>
      <c r="U23">
        <v>41.969203999999998</v>
      </c>
      <c r="V23">
        <v>43.265366</v>
      </c>
      <c r="W23">
        <v>44.577083999999999</v>
      </c>
      <c r="X23">
        <v>45.904952999999999</v>
      </c>
      <c r="Y23">
        <v>46.962681000000003</v>
      </c>
      <c r="Z23">
        <v>48.073639</v>
      </c>
      <c r="AA23">
        <v>49.474173999999998</v>
      </c>
      <c r="AB23">
        <v>50.796737999999998</v>
      </c>
      <c r="AC23">
        <v>52.383755000000001</v>
      </c>
      <c r="AD23">
        <v>53.813557000000003</v>
      </c>
      <c r="AE23" s="6" cm="1">
        <f t="array" ref="AE23:AE27">(AD23:AD27-D23:D27)/D23:D27</f>
        <v>0.79316653110788349</v>
      </c>
    </row>
    <row r="24" spans="1:31" x14ac:dyDescent="0.25">
      <c r="A24" t="s">
        <v>75</v>
      </c>
      <c r="B24" t="s">
        <v>48</v>
      </c>
      <c r="C24" t="s">
        <v>52</v>
      </c>
      <c r="D24">
        <v>22.263162999999999</v>
      </c>
      <c r="E24">
        <v>23.561111</v>
      </c>
      <c r="F24">
        <v>22.982161999999999</v>
      </c>
      <c r="G24">
        <v>21.526444999999999</v>
      </c>
      <c r="H24">
        <v>21.773602</v>
      </c>
      <c r="I24">
        <v>22.274197000000001</v>
      </c>
      <c r="J24">
        <v>23.282530000000001</v>
      </c>
      <c r="K24">
        <v>23.595600000000001</v>
      </c>
      <c r="L24">
        <v>23.357299999999999</v>
      </c>
      <c r="M24">
        <v>24.925642</v>
      </c>
      <c r="N24">
        <v>25.611173999999998</v>
      </c>
      <c r="O24">
        <v>26.182039</v>
      </c>
      <c r="P24">
        <v>26.655778999999999</v>
      </c>
      <c r="Q24">
        <v>27.237521999999998</v>
      </c>
      <c r="R24">
        <v>28.025862</v>
      </c>
      <c r="S24">
        <v>28.182348000000001</v>
      </c>
      <c r="T24">
        <v>28.666611</v>
      </c>
      <c r="U24">
        <v>29.390045000000001</v>
      </c>
      <c r="V24">
        <v>30.243904000000001</v>
      </c>
      <c r="W24">
        <v>31.092943000000002</v>
      </c>
      <c r="X24">
        <v>31.924593000000002</v>
      </c>
      <c r="Y24">
        <v>32.413387</v>
      </c>
      <c r="Z24">
        <v>32.924712999999997</v>
      </c>
      <c r="AA24">
        <v>33.723357999999998</v>
      </c>
      <c r="AB24">
        <v>34.390479999999997</v>
      </c>
      <c r="AC24">
        <v>35.303932000000003</v>
      </c>
      <c r="AD24">
        <v>35.998699000000002</v>
      </c>
      <c r="AE24" s="6">
        <v>0.61696246845068714</v>
      </c>
    </row>
    <row r="25" spans="1:31" x14ac:dyDescent="0.25">
      <c r="A25" t="s">
        <v>75</v>
      </c>
      <c r="B25" t="s">
        <v>49</v>
      </c>
      <c r="C25" t="s">
        <v>52</v>
      </c>
      <c r="D25">
        <v>24.082767</v>
      </c>
      <c r="E25">
        <v>25.529167000000001</v>
      </c>
      <c r="F25">
        <v>24.761444000000001</v>
      </c>
      <c r="G25">
        <v>23.449987</v>
      </c>
      <c r="H25">
        <v>23.894779</v>
      </c>
      <c r="I25">
        <v>24.602340999999999</v>
      </c>
      <c r="J25">
        <v>25.504107999999999</v>
      </c>
      <c r="K25">
        <v>25.921244000000002</v>
      </c>
      <c r="L25">
        <v>26.146865999999999</v>
      </c>
      <c r="M25">
        <v>27.649342999999998</v>
      </c>
      <c r="N25">
        <v>28.468321</v>
      </c>
      <c r="O25">
        <v>29.200384</v>
      </c>
      <c r="P25">
        <v>29.876826999999999</v>
      </c>
      <c r="Q25">
        <v>30.622204</v>
      </c>
      <c r="R25">
        <v>31.472138999999999</v>
      </c>
      <c r="S25">
        <v>31.963621</v>
      </c>
      <c r="T25">
        <v>32.678181000000002</v>
      </c>
      <c r="U25">
        <v>33.609673000000001</v>
      </c>
      <c r="V25">
        <v>34.727454999999999</v>
      </c>
      <c r="W25">
        <v>35.867603000000003</v>
      </c>
      <c r="X25">
        <v>37.013168</v>
      </c>
      <c r="Y25">
        <v>37.840054000000002</v>
      </c>
      <c r="Z25">
        <v>38.689728000000002</v>
      </c>
      <c r="AA25">
        <v>39.79607</v>
      </c>
      <c r="AB25">
        <v>40.803153999999999</v>
      </c>
      <c r="AC25">
        <v>41.979385000000001</v>
      </c>
      <c r="AD25">
        <v>43.028629000000002</v>
      </c>
      <c r="AE25" s="6">
        <v>0.78669789065351181</v>
      </c>
    </row>
    <row r="26" spans="1:31" x14ac:dyDescent="0.25">
      <c r="A26" t="s">
        <v>75</v>
      </c>
      <c r="B26" t="s">
        <v>50</v>
      </c>
      <c r="C26" t="s">
        <v>52</v>
      </c>
      <c r="D26">
        <v>21.799603999999999</v>
      </c>
      <c r="E26">
        <v>23.191351000000001</v>
      </c>
      <c r="F26">
        <v>22.388553999999999</v>
      </c>
      <c r="G26">
        <v>20.910885</v>
      </c>
      <c r="H26">
        <v>21.113928000000001</v>
      </c>
      <c r="I26">
        <v>21.607088000000001</v>
      </c>
      <c r="J26">
        <v>22.368673000000001</v>
      </c>
      <c r="K26">
        <v>22.654844000000001</v>
      </c>
      <c r="L26">
        <v>22.793921999999998</v>
      </c>
      <c r="M26">
        <v>24.110614999999999</v>
      </c>
      <c r="N26">
        <v>24.830034000000001</v>
      </c>
      <c r="O26">
        <v>25.441319</v>
      </c>
      <c r="P26">
        <v>25.968022999999999</v>
      </c>
      <c r="Q26">
        <v>26.549128</v>
      </c>
      <c r="R26">
        <v>27.254207999999998</v>
      </c>
      <c r="S26">
        <v>27.550013</v>
      </c>
      <c r="T26">
        <v>28.051846000000001</v>
      </c>
      <c r="U26">
        <v>28.787127000000002</v>
      </c>
      <c r="V26">
        <v>29.659452000000002</v>
      </c>
      <c r="W26">
        <v>30.534058000000002</v>
      </c>
      <c r="X26">
        <v>31.376465</v>
      </c>
      <c r="Y26">
        <v>31.913582000000002</v>
      </c>
      <c r="Z26">
        <v>32.469608000000001</v>
      </c>
      <c r="AA26">
        <v>33.282069999999997</v>
      </c>
      <c r="AB26">
        <v>34.011158000000002</v>
      </c>
      <c r="AC26">
        <v>34.894257000000003</v>
      </c>
      <c r="AD26">
        <v>35.639111</v>
      </c>
      <c r="AE26" s="6">
        <v>0.63485130280348223</v>
      </c>
    </row>
    <row r="27" spans="1:31" x14ac:dyDescent="0.25">
      <c r="A27" t="s">
        <v>75</v>
      </c>
      <c r="B27" t="s">
        <v>51</v>
      </c>
      <c r="C27" t="s">
        <v>52</v>
      </c>
      <c r="D27">
        <v>25.127596</v>
      </c>
      <c r="E27">
        <v>26.661497000000001</v>
      </c>
      <c r="F27">
        <v>26.165869000000001</v>
      </c>
      <c r="G27">
        <v>24.788281999999999</v>
      </c>
      <c r="H27">
        <v>25.082037</v>
      </c>
      <c r="I27">
        <v>25.637495000000001</v>
      </c>
      <c r="J27">
        <v>26.665925999999999</v>
      </c>
      <c r="K27">
        <v>27.029191999999998</v>
      </c>
      <c r="L27">
        <v>26.915251000000001</v>
      </c>
      <c r="M27">
        <v>28.529257000000001</v>
      </c>
      <c r="N27">
        <v>29.279007</v>
      </c>
      <c r="O27">
        <v>29.918900000000001</v>
      </c>
      <c r="P27">
        <v>30.480657999999998</v>
      </c>
      <c r="Q27">
        <v>31.158435999999998</v>
      </c>
      <c r="R27">
        <v>32.035721000000002</v>
      </c>
      <c r="S27">
        <v>32.316547</v>
      </c>
      <c r="T27">
        <v>32.914302999999997</v>
      </c>
      <c r="U27">
        <v>33.761177000000004</v>
      </c>
      <c r="V27">
        <v>34.749198999999997</v>
      </c>
      <c r="W27">
        <v>35.736789999999999</v>
      </c>
      <c r="X27">
        <v>36.714066000000003</v>
      </c>
      <c r="Y27">
        <v>37.367927999999999</v>
      </c>
      <c r="Z27">
        <v>38.051479</v>
      </c>
      <c r="AA27">
        <v>39.020786000000001</v>
      </c>
      <c r="AB27">
        <v>39.871841000000003</v>
      </c>
      <c r="AC27">
        <v>40.971138000000003</v>
      </c>
      <c r="AD27">
        <v>41.867503999999997</v>
      </c>
      <c r="AE27" s="6">
        <v>0.66619616138368332</v>
      </c>
    </row>
    <row r="28" spans="1:31" x14ac:dyDescent="0.25">
      <c r="A28" t="s">
        <v>76</v>
      </c>
      <c r="B28" t="s">
        <v>53</v>
      </c>
      <c r="C28" t="s">
        <v>47</v>
      </c>
      <c r="D28">
        <v>8.8535219999999999</v>
      </c>
      <c r="E28">
        <v>9.2397430000000007</v>
      </c>
      <c r="F28">
        <v>7.7417990000000003</v>
      </c>
      <c r="G28">
        <v>5.68215</v>
      </c>
      <c r="H28">
        <v>5.4326179999999997</v>
      </c>
      <c r="I28">
        <v>5.4269889999999998</v>
      </c>
      <c r="J28">
        <v>5.8136039999999998</v>
      </c>
      <c r="K28">
        <v>5.5795659999999998</v>
      </c>
      <c r="L28">
        <v>4.9677930000000003</v>
      </c>
      <c r="M28">
        <v>5.7685740000000001</v>
      </c>
      <c r="N28">
        <v>5.8200279999999998</v>
      </c>
      <c r="O28">
        <v>5.7866340000000003</v>
      </c>
      <c r="P28">
        <v>5.7045430000000001</v>
      </c>
      <c r="Q28">
        <v>5.7279520000000002</v>
      </c>
      <c r="R28">
        <v>5.8775919999999999</v>
      </c>
      <c r="S28">
        <v>5.5955060000000003</v>
      </c>
      <c r="T28">
        <v>5.541925</v>
      </c>
      <c r="U28">
        <v>5.6278600000000001</v>
      </c>
      <c r="V28">
        <v>5.7837249999999996</v>
      </c>
      <c r="W28">
        <v>5.9108369999999999</v>
      </c>
      <c r="X28">
        <v>6.0257069999999997</v>
      </c>
      <c r="Y28">
        <v>5.9128829999999999</v>
      </c>
      <c r="Z28">
        <v>5.801463</v>
      </c>
      <c r="AA28">
        <v>5.8446550000000004</v>
      </c>
      <c r="AB28">
        <v>5.7996610000000004</v>
      </c>
      <c r="AC28">
        <v>5.8799340000000004</v>
      </c>
      <c r="AD28">
        <v>5.8310529999999998</v>
      </c>
      <c r="AE28" s="6" cm="1">
        <f t="array" ref="AE28:AE30">(AD28:AD30-D28:D30)/D28:D30</f>
        <v>-0.34138606082415562</v>
      </c>
    </row>
    <row r="29" spans="1:31" x14ac:dyDescent="0.25">
      <c r="A29" t="s">
        <v>76</v>
      </c>
      <c r="B29" t="s">
        <v>54</v>
      </c>
      <c r="C29" t="s">
        <v>47</v>
      </c>
      <c r="D29">
        <v>2.5099629999999999</v>
      </c>
      <c r="E29">
        <v>2.6481780000000001</v>
      </c>
      <c r="F29">
        <v>2.7691560000000002</v>
      </c>
      <c r="G29">
        <v>2.8766949999999998</v>
      </c>
      <c r="H29">
        <v>2.8867210000000001</v>
      </c>
      <c r="I29">
        <v>2.9014060000000002</v>
      </c>
      <c r="J29">
        <v>2.9119359999999999</v>
      </c>
      <c r="K29">
        <v>2.916032</v>
      </c>
      <c r="L29">
        <v>2.9135469999999999</v>
      </c>
      <c r="M29">
        <v>2.91269</v>
      </c>
      <c r="N29">
        <v>2.9132500000000001</v>
      </c>
      <c r="O29">
        <v>2.9077350000000002</v>
      </c>
      <c r="P29">
        <v>2.9002949999999998</v>
      </c>
      <c r="Q29">
        <v>2.8829379999999998</v>
      </c>
      <c r="R29">
        <v>2.870295</v>
      </c>
      <c r="S29">
        <v>2.8564989999999999</v>
      </c>
      <c r="T29">
        <v>2.8415050000000002</v>
      </c>
      <c r="U29">
        <v>2.8353760000000001</v>
      </c>
      <c r="V29">
        <v>2.8337180000000002</v>
      </c>
      <c r="W29">
        <v>2.834276</v>
      </c>
      <c r="X29">
        <v>2.8347989999999998</v>
      </c>
      <c r="Y29">
        <v>2.8366720000000001</v>
      </c>
      <c r="Z29">
        <v>2.8402449999999999</v>
      </c>
      <c r="AA29">
        <v>2.845742</v>
      </c>
      <c r="AB29">
        <v>2.85012</v>
      </c>
      <c r="AC29">
        <v>2.858212</v>
      </c>
      <c r="AD29">
        <v>2.8646419999999999</v>
      </c>
      <c r="AE29" s="6">
        <v>0.14130845753503138</v>
      </c>
    </row>
    <row r="30" spans="1:31" x14ac:dyDescent="0.25">
      <c r="A30" t="s">
        <v>76</v>
      </c>
      <c r="B30" t="s">
        <v>55</v>
      </c>
      <c r="C30" t="s">
        <v>47</v>
      </c>
      <c r="D30">
        <v>13.764111</v>
      </c>
      <c r="E30">
        <v>14.22368</v>
      </c>
      <c r="F30">
        <v>14.655868999999999</v>
      </c>
      <c r="G30">
        <v>14.874212999999999</v>
      </c>
      <c r="H30">
        <v>14.939704000000001</v>
      </c>
      <c r="I30">
        <v>14.994859</v>
      </c>
      <c r="J30">
        <v>15.041783000000001</v>
      </c>
      <c r="K30">
        <v>15.062344</v>
      </c>
      <c r="L30">
        <v>15.046530000000001</v>
      </c>
      <c r="M30">
        <v>15.044904000000001</v>
      </c>
      <c r="N30">
        <v>15.036277999999999</v>
      </c>
      <c r="O30">
        <v>15.022677</v>
      </c>
      <c r="P30">
        <v>15.004604</v>
      </c>
      <c r="Q30">
        <v>14.988647</v>
      </c>
      <c r="R30">
        <v>15.003121</v>
      </c>
      <c r="S30">
        <v>15.018869</v>
      </c>
      <c r="T30">
        <v>15.037729000000001</v>
      </c>
      <c r="U30">
        <v>15.079113</v>
      </c>
      <c r="V30">
        <v>15.130582</v>
      </c>
      <c r="W30">
        <v>15.189322000000001</v>
      </c>
      <c r="X30">
        <v>15.238746000000001</v>
      </c>
      <c r="Y30">
        <v>15.283353</v>
      </c>
      <c r="Z30">
        <v>15.335986</v>
      </c>
      <c r="AA30">
        <v>15.389246</v>
      </c>
      <c r="AB30">
        <v>15.436645</v>
      </c>
      <c r="AC30">
        <v>15.486825</v>
      </c>
      <c r="AD30">
        <v>15.525168000000001</v>
      </c>
      <c r="AE30" s="6">
        <v>0.12794556800653534</v>
      </c>
    </row>
    <row r="31" spans="1:31" x14ac:dyDescent="0.25">
      <c r="A31" t="s">
        <v>77</v>
      </c>
      <c r="B31" t="s">
        <v>53</v>
      </c>
      <c r="C31" t="s">
        <v>52</v>
      </c>
      <c r="D31">
        <v>8.8535219999999999</v>
      </c>
      <c r="E31">
        <v>9.4343280000000007</v>
      </c>
      <c r="F31">
        <v>8.0491250000000001</v>
      </c>
      <c r="G31">
        <v>6.0107699999999999</v>
      </c>
      <c r="H31">
        <v>5.8584149999999999</v>
      </c>
      <c r="I31">
        <v>5.9654790000000002</v>
      </c>
      <c r="J31">
        <v>6.5226170000000003</v>
      </c>
      <c r="K31">
        <v>6.401713</v>
      </c>
      <c r="L31">
        <v>5.8317410000000001</v>
      </c>
      <c r="M31">
        <v>6.936356</v>
      </c>
      <c r="N31">
        <v>7.1690300000000002</v>
      </c>
      <c r="O31">
        <v>7.2998010000000004</v>
      </c>
      <c r="P31">
        <v>7.3647739999999997</v>
      </c>
      <c r="Q31">
        <v>7.562608</v>
      </c>
      <c r="R31">
        <v>7.9277839999999999</v>
      </c>
      <c r="S31">
        <v>7.7043330000000001</v>
      </c>
      <c r="T31">
        <v>7.7881960000000001</v>
      </c>
      <c r="U31">
        <v>8.0706980000000001</v>
      </c>
      <c r="V31">
        <v>8.4630120000000009</v>
      </c>
      <c r="W31">
        <v>8.8255409999999994</v>
      </c>
      <c r="X31">
        <v>9.1798780000000004</v>
      </c>
      <c r="Y31">
        <v>9.1937339999999992</v>
      </c>
      <c r="Z31">
        <v>9.2066499999999998</v>
      </c>
      <c r="AA31">
        <v>9.4711960000000008</v>
      </c>
      <c r="AB31">
        <v>9.6005599999999998</v>
      </c>
      <c r="AC31">
        <v>9.9445979999999992</v>
      </c>
      <c r="AD31">
        <v>10.079393</v>
      </c>
      <c r="AE31" s="6" cm="1">
        <f t="array" ref="AE31:AE33">(AD31:AD33-D31:D33)/D31:D33</f>
        <v>0.13846139423384274</v>
      </c>
    </row>
    <row r="32" spans="1:31" x14ac:dyDescent="0.25">
      <c r="A32" t="s">
        <v>77</v>
      </c>
      <c r="B32" t="s">
        <v>54</v>
      </c>
      <c r="C32" t="s">
        <v>52</v>
      </c>
      <c r="D32">
        <v>2.5099629999999999</v>
      </c>
      <c r="E32">
        <v>2.7039469999999999</v>
      </c>
      <c r="F32">
        <v>2.8790830000000001</v>
      </c>
      <c r="G32">
        <v>3.0430649999999999</v>
      </c>
      <c r="H32">
        <v>3.1129769999999999</v>
      </c>
      <c r="I32">
        <v>3.1892969999999998</v>
      </c>
      <c r="J32">
        <v>3.2670680000000001</v>
      </c>
      <c r="K32">
        <v>3.345707</v>
      </c>
      <c r="L32">
        <v>3.420242</v>
      </c>
      <c r="M32">
        <v>3.5023300000000002</v>
      </c>
      <c r="N32">
        <v>3.5885009999999999</v>
      </c>
      <c r="O32">
        <v>3.668088</v>
      </c>
      <c r="P32">
        <v>3.7443870000000001</v>
      </c>
      <c r="Q32">
        <v>3.8063389999999999</v>
      </c>
      <c r="R32">
        <v>3.8714970000000002</v>
      </c>
      <c r="S32">
        <v>3.9330530000000001</v>
      </c>
      <c r="T32">
        <v>3.993233</v>
      </c>
      <c r="U32">
        <v>4.066103</v>
      </c>
      <c r="V32">
        <v>4.1464259999999999</v>
      </c>
      <c r="W32">
        <v>4.2318920000000002</v>
      </c>
      <c r="X32">
        <v>4.3186819999999999</v>
      </c>
      <c r="Y32">
        <v>4.410641</v>
      </c>
      <c r="Z32">
        <v>4.5073359999999996</v>
      </c>
      <c r="AA32">
        <v>4.6114920000000001</v>
      </c>
      <c r="AB32">
        <v>4.7179900000000004</v>
      </c>
      <c r="AC32">
        <v>4.8340290000000001</v>
      </c>
      <c r="AD32">
        <v>4.9517389999999999</v>
      </c>
      <c r="AE32" s="6">
        <v>0.97283346407895255</v>
      </c>
    </row>
    <row r="33" spans="1:31" x14ac:dyDescent="0.25">
      <c r="A33" t="s">
        <v>77</v>
      </c>
      <c r="B33" t="s">
        <v>55</v>
      </c>
      <c r="C33" t="s">
        <v>52</v>
      </c>
      <c r="D33">
        <v>13.764111</v>
      </c>
      <c r="E33">
        <v>14.523224000000001</v>
      </c>
      <c r="F33">
        <v>15.23766</v>
      </c>
      <c r="G33">
        <v>15.734446999999999</v>
      </c>
      <c r="H33">
        <v>16.110647</v>
      </c>
      <c r="I33">
        <v>16.482717999999998</v>
      </c>
      <c r="J33">
        <v>16.876242000000001</v>
      </c>
      <c r="K33">
        <v>17.281770999999999</v>
      </c>
      <c r="L33">
        <v>17.663269</v>
      </c>
      <c r="M33">
        <v>18.090572000000002</v>
      </c>
      <c r="N33">
        <v>18.521477000000001</v>
      </c>
      <c r="O33">
        <v>18.95101</v>
      </c>
      <c r="P33">
        <v>19.371496</v>
      </c>
      <c r="Q33">
        <v>19.789490000000001</v>
      </c>
      <c r="R33">
        <v>20.236436999999999</v>
      </c>
      <c r="S33">
        <v>20.679161000000001</v>
      </c>
      <c r="T33">
        <v>21.13287</v>
      </c>
      <c r="U33">
        <v>21.624374</v>
      </c>
      <c r="V33">
        <v>22.139761</v>
      </c>
      <c r="W33">
        <v>22.679358000000001</v>
      </c>
      <c r="X33">
        <v>23.215506000000001</v>
      </c>
      <c r="Y33">
        <v>23.763549999999999</v>
      </c>
      <c r="Z33">
        <v>24.337492000000001</v>
      </c>
      <c r="AA33">
        <v>24.938095000000001</v>
      </c>
      <c r="AB33">
        <v>25.553291000000002</v>
      </c>
      <c r="AC33">
        <v>26.192513000000002</v>
      </c>
      <c r="AD33">
        <v>26.836369000000001</v>
      </c>
      <c r="AE33" s="6">
        <v>0.94973500286360679</v>
      </c>
    </row>
    <row r="34" spans="1:31" x14ac:dyDescent="0.25">
      <c r="A34" t="s">
        <v>56</v>
      </c>
      <c r="B34" t="s">
        <v>57</v>
      </c>
      <c r="C34" t="s">
        <v>58</v>
      </c>
      <c r="D34">
        <v>5.82125</v>
      </c>
      <c r="E34">
        <v>3.012273</v>
      </c>
      <c r="F34">
        <v>4.0444069999999996</v>
      </c>
      <c r="G34">
        <v>3.8613590000000002</v>
      </c>
      <c r="H34">
        <v>2.9412159999999998</v>
      </c>
      <c r="I34">
        <v>2.5719289999999999</v>
      </c>
      <c r="J34">
        <v>3.9305150000000002</v>
      </c>
      <c r="K34">
        <v>2.6425809999999998</v>
      </c>
      <c r="L34">
        <v>2.5013730000000001</v>
      </c>
      <c r="M34">
        <v>2.462548</v>
      </c>
      <c r="N34">
        <v>2.403302</v>
      </c>
      <c r="O34">
        <v>2.3540570000000001</v>
      </c>
      <c r="P34">
        <v>2.3650159999999998</v>
      </c>
      <c r="Q34">
        <v>2.3414250000000001</v>
      </c>
      <c r="R34">
        <v>2.1966589999999999</v>
      </c>
      <c r="S34">
        <v>2.2485430000000002</v>
      </c>
      <c r="T34">
        <v>2.194118</v>
      </c>
      <c r="U34">
        <v>2.2354219999999998</v>
      </c>
      <c r="V34">
        <v>2.2246809999999999</v>
      </c>
      <c r="W34">
        <v>2.302502</v>
      </c>
      <c r="X34">
        <v>2.5851570000000001</v>
      </c>
      <c r="Y34">
        <v>2.6975959999999999</v>
      </c>
      <c r="Z34">
        <v>2.7969349999999999</v>
      </c>
      <c r="AA34">
        <v>3.3114119999999998</v>
      </c>
      <c r="AB34">
        <v>3.384757</v>
      </c>
      <c r="AC34">
        <v>3.3987340000000001</v>
      </c>
      <c r="AD34">
        <v>3.500229</v>
      </c>
      <c r="AE34" s="6" cm="1">
        <f t="array" ref="AE34:AE38">(AD34:AD38-D34:D38)/D34:D38</f>
        <v>-0.3987152243933863</v>
      </c>
    </row>
    <row r="35" spans="1:31" x14ac:dyDescent="0.25">
      <c r="A35" t="s">
        <v>56</v>
      </c>
      <c r="B35" t="s">
        <v>59</v>
      </c>
      <c r="C35" t="s">
        <v>58</v>
      </c>
      <c r="D35">
        <v>21.344593</v>
      </c>
      <c r="E35">
        <v>11.044997</v>
      </c>
      <c r="F35">
        <v>14.829488</v>
      </c>
      <c r="G35">
        <v>14.158310999999999</v>
      </c>
      <c r="H35">
        <v>10.784454999999999</v>
      </c>
      <c r="I35">
        <v>9.4304030000000001</v>
      </c>
      <c r="J35">
        <v>14.411883</v>
      </c>
      <c r="K35">
        <v>9.6894629999999999</v>
      </c>
      <c r="L35">
        <v>9.1717010000000005</v>
      </c>
      <c r="M35">
        <v>9.0293449999999993</v>
      </c>
      <c r="N35">
        <v>8.8121120000000008</v>
      </c>
      <c r="O35">
        <v>8.6315410000000004</v>
      </c>
      <c r="P35">
        <v>8.6717250000000003</v>
      </c>
      <c r="Q35">
        <v>8.5852249999999994</v>
      </c>
      <c r="R35">
        <v>8.0544130000000003</v>
      </c>
      <c r="S35">
        <v>8.2446570000000001</v>
      </c>
      <c r="T35">
        <v>8.045102</v>
      </c>
      <c r="U35">
        <v>8.1965500000000002</v>
      </c>
      <c r="V35">
        <v>8.1571599999999993</v>
      </c>
      <c r="W35">
        <v>8.4425109999999997</v>
      </c>
      <c r="X35">
        <v>9.4789139999999996</v>
      </c>
      <c r="Y35">
        <v>9.8911920000000002</v>
      </c>
      <c r="Z35">
        <v>10.255433999999999</v>
      </c>
      <c r="AA35">
        <v>12.141840999999999</v>
      </c>
      <c r="AB35">
        <v>12.410771</v>
      </c>
      <c r="AC35">
        <v>12.462023</v>
      </c>
      <c r="AD35">
        <v>12.834168999999999</v>
      </c>
      <c r="AE35" s="6">
        <v>-0.39871568410791436</v>
      </c>
    </row>
    <row r="36" spans="1:31" x14ac:dyDescent="0.25">
      <c r="A36" t="s">
        <v>56</v>
      </c>
      <c r="B36" t="s">
        <v>60</v>
      </c>
      <c r="C36" t="s">
        <v>58</v>
      </c>
      <c r="D36">
        <v>1.1770000000000001E-3</v>
      </c>
      <c r="E36">
        <v>9.4700000000000003E-4</v>
      </c>
      <c r="F36">
        <v>9.0799999999999995E-4</v>
      </c>
      <c r="G36">
        <v>8.5700000000000001E-4</v>
      </c>
      <c r="H36">
        <v>1.47E-4</v>
      </c>
      <c r="I36">
        <v>1.4200000000000001E-4</v>
      </c>
      <c r="J36">
        <v>1.2899999999999999E-4</v>
      </c>
      <c r="K36">
        <v>1.1400000000000001E-4</v>
      </c>
      <c r="L36">
        <v>1.5999999999999999E-5</v>
      </c>
      <c r="M36">
        <v>1.2999999999999999E-5</v>
      </c>
      <c r="N36">
        <v>1.4E-5</v>
      </c>
      <c r="O36">
        <v>1.4E-5</v>
      </c>
      <c r="P36">
        <v>1.5999999999999999E-5</v>
      </c>
      <c r="Q36">
        <v>2.5999999999999998E-5</v>
      </c>
      <c r="R36">
        <v>3.8000000000000002E-5</v>
      </c>
      <c r="S36">
        <v>9.0000000000000006E-5</v>
      </c>
      <c r="T36">
        <v>9.0000000000000006E-5</v>
      </c>
      <c r="U36">
        <v>9.0000000000000006E-5</v>
      </c>
      <c r="V36">
        <v>9.0000000000000006E-5</v>
      </c>
      <c r="W36">
        <v>9.0000000000000006E-5</v>
      </c>
      <c r="X36">
        <v>9.0000000000000006E-5</v>
      </c>
      <c r="Y36">
        <v>9.0000000000000006E-5</v>
      </c>
      <c r="Z36">
        <v>9.0000000000000006E-5</v>
      </c>
      <c r="AA36">
        <v>8.8999999999999995E-5</v>
      </c>
      <c r="AB36">
        <v>8.8999999999999995E-5</v>
      </c>
      <c r="AC36">
        <v>8.8999999999999995E-5</v>
      </c>
      <c r="AD36">
        <v>9.0000000000000006E-5</v>
      </c>
      <c r="AE36" s="6">
        <v>-0.92353440951571797</v>
      </c>
    </row>
    <row r="37" spans="1:31" x14ac:dyDescent="0.25">
      <c r="A37" t="s">
        <v>56</v>
      </c>
      <c r="B37" t="s">
        <v>61</v>
      </c>
      <c r="C37" t="s">
        <v>58</v>
      </c>
      <c r="D37">
        <v>5.855E-3</v>
      </c>
      <c r="E37">
        <v>4.2290000000000001E-3</v>
      </c>
      <c r="F37">
        <v>4.2360000000000002E-3</v>
      </c>
      <c r="G37">
        <v>4.1780000000000003E-3</v>
      </c>
      <c r="H37">
        <v>2.6809999999999998E-3</v>
      </c>
      <c r="I37">
        <v>2.4510000000000001E-3</v>
      </c>
      <c r="J37">
        <v>4.2680000000000001E-3</v>
      </c>
      <c r="K37">
        <v>3.882E-3</v>
      </c>
      <c r="L37">
        <v>3.6600000000000001E-3</v>
      </c>
      <c r="M37">
        <v>3.5490000000000001E-3</v>
      </c>
      <c r="N37">
        <v>3.4380000000000001E-3</v>
      </c>
      <c r="O37">
        <v>3.313E-3</v>
      </c>
      <c r="P37">
        <v>3.493E-3</v>
      </c>
      <c r="Q37">
        <v>3.5699999999999998E-3</v>
      </c>
      <c r="R37">
        <v>3.4689999999999999E-3</v>
      </c>
      <c r="S37">
        <v>3.7009999999999999E-3</v>
      </c>
      <c r="T37">
        <v>3.5439999999999998E-3</v>
      </c>
      <c r="U37">
        <v>3.669E-3</v>
      </c>
      <c r="V37">
        <v>3.64E-3</v>
      </c>
      <c r="W37">
        <v>3.7169999999999998E-3</v>
      </c>
      <c r="X37">
        <v>2.9520000000000002E-3</v>
      </c>
      <c r="Y37">
        <v>3.009E-3</v>
      </c>
      <c r="Z37">
        <v>3.1189999999999998E-3</v>
      </c>
      <c r="AA37">
        <v>3.1930000000000001E-3</v>
      </c>
      <c r="AB37">
        <v>3.2910000000000001E-3</v>
      </c>
      <c r="AC37">
        <v>3.2049999999999999E-3</v>
      </c>
      <c r="AD37">
        <v>3.4250000000000001E-3</v>
      </c>
      <c r="AE37" s="6">
        <v>-0.41502988898377452</v>
      </c>
    </row>
    <row r="38" spans="1:31" x14ac:dyDescent="0.25">
      <c r="A38" t="s">
        <v>56</v>
      </c>
      <c r="B38" t="s">
        <v>62</v>
      </c>
      <c r="C38" t="s">
        <v>63</v>
      </c>
      <c r="D38">
        <v>3.3700000000000001E-4</v>
      </c>
      <c r="E38">
        <v>3.2699999999999998E-4</v>
      </c>
      <c r="F38">
        <v>3.19E-4</v>
      </c>
      <c r="G38">
        <v>3.2000000000000003E-4</v>
      </c>
      <c r="H38">
        <v>2.1599999999999999E-4</v>
      </c>
      <c r="I38">
        <v>2.1499999999999999E-4</v>
      </c>
      <c r="J38">
        <v>2.1499999999999999E-4</v>
      </c>
      <c r="K38">
        <v>8.2999999999999998E-5</v>
      </c>
      <c r="L38">
        <v>8.2999999999999998E-5</v>
      </c>
      <c r="M38">
        <v>8.2999999999999998E-5</v>
      </c>
      <c r="N38">
        <v>7.7999999999999999E-5</v>
      </c>
      <c r="O38">
        <v>7.7000000000000001E-5</v>
      </c>
      <c r="P38">
        <v>7.3999999999999996E-5</v>
      </c>
      <c r="Q38">
        <v>8.2000000000000001E-5</v>
      </c>
      <c r="R38">
        <v>8.7000000000000001E-5</v>
      </c>
      <c r="S38">
        <v>2.7099999999999997E-4</v>
      </c>
      <c r="T38">
        <v>2.8200000000000002E-4</v>
      </c>
      <c r="U38">
        <v>2.8499999999999999E-4</v>
      </c>
      <c r="V38">
        <v>2.9500000000000001E-4</v>
      </c>
      <c r="W38">
        <v>3.0899999999999998E-4</v>
      </c>
      <c r="X38">
        <v>1.18E-4</v>
      </c>
      <c r="Y38">
        <v>1.2E-4</v>
      </c>
      <c r="Z38">
        <v>1.2300000000000001E-4</v>
      </c>
      <c r="AA38">
        <v>1.3999999999999999E-4</v>
      </c>
      <c r="AB38">
        <v>1.4999999999999999E-4</v>
      </c>
      <c r="AC38">
        <v>1.55E-4</v>
      </c>
      <c r="AD38">
        <v>1.46E-4</v>
      </c>
      <c r="AE38" s="6">
        <v>-0.56676557863501487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123.68037547778168</v>
      </c>
      <c r="E39" s="4" cm="1">
        <f t="array" ref="E39:E42">907185*E34:E37*10^6/(E17*10^9)</f>
        <v>116.93303939868265</v>
      </c>
      <c r="F39" s="4" cm="1">
        <f t="array" ref="F39:F42">907185*F34:F37*10^6/(F17*10^9)</f>
        <v>94.376424862467687</v>
      </c>
      <c r="G39" s="4" cm="1">
        <f t="array" ref="G39:G42">907185*G34:G37*10^6/(G17*10^9)</f>
        <v>83.793763982364069</v>
      </c>
      <c r="H39" s="4" cm="1">
        <f t="array" ref="H39:H42">907185*H34:H37*10^6/(H17*10^9)</f>
        <v>71.299245688773468</v>
      </c>
      <c r="I39" s="4" cm="1">
        <f t="array" ref="I39:I42">907185*I34:I37*10^6/(I17*10^9)</f>
        <v>62.51934885946752</v>
      </c>
      <c r="J39" s="4" cm="1">
        <f t="array" ref="J39:J42">907185*J34:J37*10^6/(J17*10^9)</f>
        <v>67.815791143569115</v>
      </c>
      <c r="K39" s="4" cm="1">
        <f t="array" ref="K39:K42">907185*K34:K37*10^6/(K17*10^9)</f>
        <v>49.961623813525719</v>
      </c>
      <c r="L39" s="4" cm="1">
        <f t="array" ref="L39:L42">907185*L34:L37*10^6/(L17*10^9)</f>
        <v>44.403587985889992</v>
      </c>
      <c r="M39" s="4" cm="1">
        <f t="array" ref="M39:M42">907185*M34:M37*10^6/(M17*10^9)</f>
        <v>41.478112160124148</v>
      </c>
      <c r="N39" s="4" cm="1">
        <f t="array" ref="N39:N42">907185*N34:N37*10^6/(N17*10^9)</f>
        <v>38.639746173796055</v>
      </c>
      <c r="O39" s="4" cm="1">
        <f t="array" ref="O39:O42">907185*O34:O37*10^6/(O17*10^9)</f>
        <v>36.124257351078853</v>
      </c>
      <c r="P39" s="4" cm="1">
        <f t="array" ref="P39:P42">907185*P34:P37*10^6/(P17*10^9)</f>
        <v>35.860114688811358</v>
      </c>
      <c r="Q39" s="4" cm="1">
        <f t="array" ref="Q39:Q42">907185*Q34:Q37*10^6/(Q17*10^9)</f>
        <v>35.659521932083877</v>
      </c>
      <c r="R39" s="4" cm="1">
        <f t="array" ref="R39:R42">907185*R34:R37*10^6/(R17*10^9)</f>
        <v>34.001989619969635</v>
      </c>
      <c r="S39" s="4" cm="1">
        <f t="array" ref="S39:S42">907185*S34:S37*10^6/(S17*10^9)</f>
        <v>34.701911187687585</v>
      </c>
      <c r="T39" s="4" cm="1">
        <f t="array" ref="T39:T42">907185*T34:T37*10^6/(T17*10^9)</f>
        <v>34.02528848036826</v>
      </c>
      <c r="U39" s="4" cm="1">
        <f t="array" ref="U39:U42">907185*U34:U37*10^6/(U17*10^9)</f>
        <v>34.532578941580553</v>
      </c>
      <c r="V39" s="4" cm="1">
        <f t="array" ref="V39:V42">907185*V34:V37*10^6/(V17*10^9)</f>
        <v>34.586315819955409</v>
      </c>
      <c r="W39" s="4" cm="1">
        <f t="array" ref="W39:W42">907185*W34:W37*10^6/(W17*10^9)</f>
        <v>35.268529597172808</v>
      </c>
      <c r="X39" s="4" cm="1">
        <f t="array" ref="X39:X42">907185*X34:X37*10^6/(X17*10^9)</f>
        <v>38.987168483606432</v>
      </c>
      <c r="Y39" s="4" cm="1">
        <f t="array" ref="Y39:Y42">907185*Y34:Y37*10^6/(Y17*10^9)</f>
        <v>40.279129133737193</v>
      </c>
      <c r="Z39" s="4" cm="1">
        <f t="array" ref="Z39:Z42">907185*Z34:Z37*10^6/(Z17*10^9)</f>
        <v>41.065396012625612</v>
      </c>
      <c r="AA39" s="4" cm="1">
        <f t="array" ref="AA39:AA42">907185*AA34:AA37*10^6/(AA17*10^9)</f>
        <v>47.751613915226514</v>
      </c>
      <c r="AB39" s="4" cm="1">
        <f t="array" ref="AB39:AB42">907185*AB34:AB37*10^6/(AB17*10^9)</f>
        <v>48.411788796459206</v>
      </c>
      <c r="AC39" s="4" cm="1">
        <f t="array" ref="AC39:AC42">907185*AC34:AC37*10^6/(AC17*10^9)</f>
        <v>48.528742602302557</v>
      </c>
      <c r="AD39" s="4" cm="1">
        <f t="array" ref="AD39:AD42">907185*AD34:AD37*10^6/(AD17*10^9)</f>
        <v>49.490506575297829</v>
      </c>
      <c r="AE39" s="6" cm="1">
        <f t="array" ref="AE39:AE43">(AD39:AD43-D39:D43)/D39:D43</f>
        <v>-0.59985158207909506</v>
      </c>
    </row>
    <row r="40" spans="1:31" x14ac:dyDescent="0.25">
      <c r="A40" t="s">
        <v>64</v>
      </c>
      <c r="B40" t="s">
        <v>66</v>
      </c>
      <c r="C40" t="s">
        <v>70</v>
      </c>
      <c r="D40" s="4">
        <v>453.49491546668338</v>
      </c>
      <c r="E40" s="4">
        <v>428.75432251968255</v>
      </c>
      <c r="F40" s="4">
        <v>346.04679004384724</v>
      </c>
      <c r="G40" s="4">
        <v>307.24368553219443</v>
      </c>
      <c r="H40" s="4">
        <v>261.43047864030439</v>
      </c>
      <c r="I40" s="4">
        <v>229.23753145688283</v>
      </c>
      <c r="J40" s="4">
        <v>248.65780884020396</v>
      </c>
      <c r="K40" s="4">
        <v>183.1926080453452</v>
      </c>
      <c r="L40" s="4">
        <v>162.8131559482633</v>
      </c>
      <c r="M40" s="4">
        <v>152.08645055546376</v>
      </c>
      <c r="N40" s="4">
        <v>141.67914433353045</v>
      </c>
      <c r="O40" s="4">
        <v>132.4555898265796</v>
      </c>
      <c r="P40" s="4">
        <v>131.48708213806279</v>
      </c>
      <c r="Q40" s="4">
        <v>130.75158041764087</v>
      </c>
      <c r="R40" s="4">
        <v>124.6739103433662</v>
      </c>
      <c r="S40" s="4">
        <v>127.24033073281088</v>
      </c>
      <c r="T40" s="4">
        <v>124.75943244802131</v>
      </c>
      <c r="U40" s="4">
        <v>126.6194973135328</v>
      </c>
      <c r="V40" s="4">
        <v>126.81643433548784</v>
      </c>
      <c r="W40" s="4">
        <v>129.31799802039566</v>
      </c>
      <c r="X40" s="4">
        <v>142.95302651236105</v>
      </c>
      <c r="Y40" s="4">
        <v>147.69023970030659</v>
      </c>
      <c r="Z40" s="4">
        <v>150.57320191257401</v>
      </c>
      <c r="AA40" s="4">
        <v>175.08920776154338</v>
      </c>
      <c r="AB40" s="4">
        <v>177.50982550688892</v>
      </c>
      <c r="AC40" s="4">
        <v>177.93869907764901</v>
      </c>
      <c r="AD40" s="4">
        <v>181.46513421921352</v>
      </c>
      <c r="AE40" s="6">
        <v>-0.59985188801406719</v>
      </c>
    </row>
    <row r="41" spans="1:31" x14ac:dyDescent="0.25">
      <c r="A41" t="s">
        <v>64</v>
      </c>
      <c r="B41" t="s">
        <v>67</v>
      </c>
      <c r="C41" t="s">
        <v>70</v>
      </c>
      <c r="D41" s="4">
        <v>2.5006966190654765E-2</v>
      </c>
      <c r="E41" s="4">
        <v>3.6761471589909833E-2</v>
      </c>
      <c r="F41" s="4">
        <v>2.1188222099091578E-2</v>
      </c>
      <c r="G41" s="4">
        <v>1.8597404626942482E-2</v>
      </c>
      <c r="H41" s="4">
        <v>3.5634884062407182E-3</v>
      </c>
      <c r="I41" s="4">
        <v>3.4517856200713118E-3</v>
      </c>
      <c r="J41" s="4">
        <v>2.225722852481269E-3</v>
      </c>
      <c r="K41" s="4">
        <v>2.1553265972705975E-3</v>
      </c>
      <c r="L41" s="4">
        <v>2.840269754947542E-4</v>
      </c>
      <c r="M41" s="4">
        <v>2.1896647621959611E-4</v>
      </c>
      <c r="N41" s="4">
        <v>2.2508883462550475E-4</v>
      </c>
      <c r="O41" s="4">
        <v>2.1483744994921699E-4</v>
      </c>
      <c r="P41" s="4">
        <v>2.4260378577607155E-4</v>
      </c>
      <c r="Q41" s="4">
        <v>3.95975771265012E-4</v>
      </c>
      <c r="R41" s="4">
        <v>5.8820035588539048E-4</v>
      </c>
      <c r="S41" s="4">
        <v>1.388975886559378E-3</v>
      </c>
      <c r="T41" s="4">
        <v>1.3956751474775485E-3</v>
      </c>
      <c r="U41" s="4">
        <v>1.3903111380053749E-3</v>
      </c>
      <c r="V41" s="4">
        <v>1.3991976484700446E-3</v>
      </c>
      <c r="W41" s="4">
        <v>1.378573249337266E-3</v>
      </c>
      <c r="X41" s="4">
        <v>1.3573044745539939E-3</v>
      </c>
      <c r="Y41" s="4">
        <v>1.3438341478992214E-3</v>
      </c>
      <c r="Z41" s="4">
        <v>1.3214056247772316E-3</v>
      </c>
      <c r="AA41" s="4">
        <v>1.2834082978666382E-3</v>
      </c>
      <c r="AB41" s="4">
        <v>1.2729567300946182E-3</v>
      </c>
      <c r="AC41" s="4">
        <v>1.2707843837160919E-3</v>
      </c>
      <c r="AD41" s="4">
        <v>1.2725297664172275E-3</v>
      </c>
      <c r="AE41" s="6">
        <v>-0.9491129888881612</v>
      </c>
    </row>
    <row r="42" spans="1:31" x14ac:dyDescent="0.25">
      <c r="A42" t="s">
        <v>64</v>
      </c>
      <c r="B42" t="s">
        <v>68</v>
      </c>
      <c r="C42" t="s">
        <v>70</v>
      </c>
      <c r="D42" s="4">
        <v>0.12439744014127752</v>
      </c>
      <c r="E42" s="4">
        <v>0.16416500882125523</v>
      </c>
      <c r="F42" s="4">
        <v>9.8847256400607847E-2</v>
      </c>
      <c r="G42" s="4">
        <v>9.0665060129948308E-2</v>
      </c>
      <c r="H42" s="4">
        <v>6.4991240932866443E-2</v>
      </c>
      <c r="I42" s="4">
        <v>5.9579764470385807E-2</v>
      </c>
      <c r="J42" s="4">
        <v>7.3638644452636098E-2</v>
      </c>
      <c r="K42" s="4">
        <v>7.3394542549161917E-2</v>
      </c>
      <c r="L42" s="4">
        <v>6.4971170644425036E-2</v>
      </c>
      <c r="M42" s="4">
        <v>5.9777848007949733E-2</v>
      </c>
      <c r="N42" s="4">
        <v>5.5275386674463238E-2</v>
      </c>
      <c r="O42" s="4">
        <v>5.0839747977268278E-2</v>
      </c>
      <c r="P42" s="4">
        <v>5.2963438982238632E-2</v>
      </c>
      <c r="Q42" s="4">
        <v>5.4370519362157407E-2</v>
      </c>
      <c r="R42" s="4">
        <v>5.3696500909642612E-2</v>
      </c>
      <c r="S42" s="4">
        <v>5.7117775068402848E-2</v>
      </c>
      <c r="T42" s="4">
        <v>5.4958585807338124E-2</v>
      </c>
      <c r="U42" s="4">
        <v>5.6678350726019101E-2</v>
      </c>
      <c r="V42" s="4">
        <v>5.6589771560344018E-2</v>
      </c>
      <c r="W42" s="4">
        <v>5.6935075197629074E-2</v>
      </c>
      <c r="X42" s="4">
        <v>4.4519586765371003E-2</v>
      </c>
      <c r="Y42" s="4">
        <v>4.4928855011430631E-2</v>
      </c>
      <c r="Z42" s="4">
        <v>4.5794046040890934E-2</v>
      </c>
      <c r="AA42" s="4">
        <v>4.6044075225709843E-2</v>
      </c>
      <c r="AB42" s="4">
        <v>4.7070793244285265E-2</v>
      </c>
      <c r="AC42" s="4">
        <v>4.5762516290000839E-2</v>
      </c>
      <c r="AD42" s="4">
        <v>4.8426827221988933E-2</v>
      </c>
      <c r="AE42" s="6">
        <v>-0.61070881227949025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7.1600234547584153E-9</v>
      </c>
      <c r="E43" s="5">
        <f>907185*E38/(E17*10^9)</f>
        <v>1.2693771076980483E-8</v>
      </c>
      <c r="F43" s="5">
        <f>907185*F38/(F17*10^9)</f>
        <v>7.4438797903196187E-9</v>
      </c>
      <c r="G43" s="5">
        <f>907185*G38/(G17*10^9)</f>
        <v>6.9441884254627713E-9</v>
      </c>
      <c r="H43" s="5">
        <f>907185*H38/(H17*10^9)</f>
        <v>5.2361462295781978E-9</v>
      </c>
      <c r="I43" s="5">
        <f>907185*I38/(I17*10^9)</f>
        <v>5.2262951289812105E-9</v>
      </c>
      <c r="J43" s="5">
        <f>907185*J38/(J17*10^9)</f>
        <v>3.7095380874687818E-9</v>
      </c>
      <c r="K43" s="5">
        <f>907185*K38/(K17*10^9)</f>
        <v>1.5692290138022768E-9</v>
      </c>
      <c r="L43" s="5">
        <f>907185*L38/(L17*10^9)</f>
        <v>1.4733899353790376E-9</v>
      </c>
      <c r="M43" s="5">
        <f>907185*M38/(M17*10^9)</f>
        <v>1.3980167327866518E-9</v>
      </c>
      <c r="N43" s="5">
        <f>907185*N38/(N17*10^9)</f>
        <v>1.254066364342098E-9</v>
      </c>
      <c r="O43" s="5">
        <f>907185*O38/(O17*10^9)</f>
        <v>1.1816059747206933E-9</v>
      </c>
      <c r="P43" s="5">
        <f>907185*P38/(P17*10^9)</f>
        <v>1.122042509214331E-9</v>
      </c>
      <c r="Q43" s="5">
        <f>907185*Q38/(Q17*10^9)</f>
        <v>1.2488466632204227E-9</v>
      </c>
      <c r="R43" s="5">
        <f>907185*R38/(R17*10^9)</f>
        <v>1.3466692358428677E-9</v>
      </c>
      <c r="S43" s="5">
        <f>907185*S38/(S17*10^9)</f>
        <v>4.1823607250843479E-9</v>
      </c>
      <c r="T43" s="5">
        <f>907185*T38/(T17*10^9)</f>
        <v>4.373115462096318E-9</v>
      </c>
      <c r="U43" s="5">
        <f>907185*U38/(U17*10^9)</f>
        <v>4.4026519370170195E-9</v>
      </c>
      <c r="V43" s="5">
        <f>907185*V38/(V17*10^9)</f>
        <v>4.5862589588740345E-9</v>
      </c>
      <c r="W43" s="5">
        <f>907185*W38/(W17*10^9)</f>
        <v>4.7331014893912781E-9</v>
      </c>
      <c r="X43" s="5">
        <f>907185*X38/(X17*10^9)</f>
        <v>1.7795769777485694E-9</v>
      </c>
      <c r="Y43" s="5">
        <f>907185*Y38/(Y17*10^9)</f>
        <v>1.7917788638656283E-9</v>
      </c>
      <c r="Z43" s="5">
        <f>907185*Z38/(Z17*10^9)</f>
        <v>1.8059210205288828E-9</v>
      </c>
      <c r="AA43" s="5">
        <f>907185*AA38/(AA17*10^9)</f>
        <v>2.0188445134980824E-9</v>
      </c>
      <c r="AB43" s="5">
        <f>907185*AB38/(AB17*10^9)</f>
        <v>2.1454326911707045E-9</v>
      </c>
      <c r="AC43" s="5">
        <f>907185*AC38/(AC17*10^9)</f>
        <v>2.2131638143370139E-9</v>
      </c>
      <c r="AD43" s="5">
        <f>907185*AD38/(AD17*10^9)</f>
        <v>2.0643260655212795E-9</v>
      </c>
      <c r="AE43" s="6">
        <v>-0.71168724815428253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1.774241</v>
      </c>
      <c r="E2">
        <v>1.5993949999999999</v>
      </c>
      <c r="F2">
        <v>0.117689</v>
      </c>
      <c r="G2">
        <v>0.38561099999999998</v>
      </c>
      <c r="H2">
        <v>0.31157699999999999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1.0902E-2</v>
      </c>
      <c r="E3">
        <v>9.6310000000000007E-3</v>
      </c>
      <c r="F3">
        <v>3.686E-3</v>
      </c>
      <c r="G3">
        <v>4.7619999999999997E-3</v>
      </c>
      <c r="H3">
        <v>4.457E-3</v>
      </c>
      <c r="I3">
        <v>3.2060000000000001E-3</v>
      </c>
      <c r="J3">
        <v>2.1810000000000002E-3</v>
      </c>
      <c r="K3">
        <v>2.173E-3</v>
      </c>
      <c r="L3">
        <v>1.057E-3</v>
      </c>
      <c r="M3">
        <v>1.057E-3</v>
      </c>
      <c r="N3">
        <v>1.057E-3</v>
      </c>
      <c r="O3">
        <v>1.057E-3</v>
      </c>
      <c r="P3">
        <v>1.057E-3</v>
      </c>
      <c r="Q3">
        <v>1.057E-3</v>
      </c>
      <c r="R3">
        <v>3.6600000000000001E-4</v>
      </c>
      <c r="S3">
        <v>1.057E-3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6">
        <v>-1</v>
      </c>
    </row>
    <row r="4" spans="1:31" x14ac:dyDescent="0.25">
      <c r="A4" t="s">
        <v>28</v>
      </c>
      <c r="B4" t="s">
        <v>32</v>
      </c>
      <c r="C4" t="s">
        <v>30</v>
      </c>
      <c r="D4">
        <v>31.514772000000001</v>
      </c>
      <c r="E4">
        <v>26.643598999999998</v>
      </c>
      <c r="F4">
        <v>31.6996</v>
      </c>
      <c r="G4">
        <v>32.415443000000003</v>
      </c>
      <c r="H4">
        <v>30.957129999999999</v>
      </c>
      <c r="I4">
        <v>31.011797000000001</v>
      </c>
      <c r="J4">
        <v>33.339478</v>
      </c>
      <c r="K4">
        <v>30.724657000000001</v>
      </c>
      <c r="L4">
        <v>35.858601</v>
      </c>
      <c r="M4">
        <v>31.272349999999999</v>
      </c>
      <c r="N4">
        <v>31.099909</v>
      </c>
      <c r="O4">
        <v>31.124293999999999</v>
      </c>
      <c r="P4">
        <v>31.167656000000001</v>
      </c>
      <c r="Q4">
        <v>31.321846000000001</v>
      </c>
      <c r="R4">
        <v>22.562117000000001</v>
      </c>
      <c r="S4">
        <v>21.424392999999998</v>
      </c>
      <c r="T4">
        <v>18.347235000000001</v>
      </c>
      <c r="U4">
        <v>18.737939999999998</v>
      </c>
      <c r="V4">
        <v>19.528953999999999</v>
      </c>
      <c r="W4">
        <v>19.5184</v>
      </c>
      <c r="X4">
        <v>21.221226000000001</v>
      </c>
      <c r="Y4">
        <v>22.734144000000001</v>
      </c>
      <c r="Z4">
        <v>23.527163999999999</v>
      </c>
      <c r="AA4">
        <v>23.807903</v>
      </c>
      <c r="AB4">
        <v>24.401683999999999</v>
      </c>
      <c r="AC4">
        <v>24.803657999999999</v>
      </c>
      <c r="AD4">
        <v>24.958603</v>
      </c>
      <c r="AE4" s="6">
        <v>-0.20803479079588455</v>
      </c>
    </row>
    <row r="5" spans="1:31" x14ac:dyDescent="0.25">
      <c r="A5" t="s">
        <v>28</v>
      </c>
      <c r="B5" t="s">
        <v>33</v>
      </c>
      <c r="C5" t="s">
        <v>30</v>
      </c>
      <c r="D5">
        <v>89.070824000000002</v>
      </c>
      <c r="E5">
        <v>90.452567999999999</v>
      </c>
      <c r="F5">
        <v>90.246689000000003</v>
      </c>
      <c r="G5">
        <v>90.040794000000005</v>
      </c>
      <c r="H5">
        <v>90.039803000000006</v>
      </c>
      <c r="I5">
        <v>90.040809999999993</v>
      </c>
      <c r="J5">
        <v>90.040809999999993</v>
      </c>
      <c r="K5">
        <v>90.041297999999998</v>
      </c>
      <c r="L5">
        <v>90.040809999999993</v>
      </c>
      <c r="M5">
        <v>90.039803000000006</v>
      </c>
      <c r="N5">
        <v>90.039803000000006</v>
      </c>
      <c r="O5">
        <v>90.039803000000006</v>
      </c>
      <c r="P5">
        <v>90.039803000000006</v>
      </c>
      <c r="Q5">
        <v>90.039803000000006</v>
      </c>
      <c r="R5">
        <v>90.039803000000006</v>
      </c>
      <c r="S5">
        <v>90.039803000000006</v>
      </c>
      <c r="T5">
        <v>90.039803000000006</v>
      </c>
      <c r="U5">
        <v>90.039803000000006</v>
      </c>
      <c r="V5">
        <v>90.039803000000006</v>
      </c>
      <c r="W5">
        <v>90.039803000000006</v>
      </c>
      <c r="X5">
        <v>90.039803000000006</v>
      </c>
      <c r="Y5">
        <v>90.039803000000006</v>
      </c>
      <c r="Z5">
        <v>90.039803000000006</v>
      </c>
      <c r="AA5">
        <v>90.039803000000006</v>
      </c>
      <c r="AB5">
        <v>90.039803000000006</v>
      </c>
      <c r="AC5">
        <v>90.039803000000006</v>
      </c>
      <c r="AD5">
        <v>90.039803000000006</v>
      </c>
      <c r="AE5" s="6">
        <v>1.0878747456069392E-2</v>
      </c>
    </row>
    <row r="6" spans="1:31" x14ac:dyDescent="0.25">
      <c r="A6" t="s">
        <v>28</v>
      </c>
      <c r="B6" t="s">
        <v>34</v>
      </c>
      <c r="C6" t="s">
        <v>30</v>
      </c>
      <c r="D6">
        <v>-2.1224E-2</v>
      </c>
      <c r="E6">
        <v>-9.1199999999999996E-3</v>
      </c>
      <c r="F6">
        <v>-1.2052999999999999E-2</v>
      </c>
      <c r="G6">
        <v>-1.2345E-2</v>
      </c>
      <c r="H6">
        <v>-1.4392E-2</v>
      </c>
      <c r="I6">
        <v>-1.2803999999999999E-2</v>
      </c>
      <c r="J6">
        <v>-1.5723000000000001E-2</v>
      </c>
      <c r="K6">
        <v>-1.2073E-2</v>
      </c>
      <c r="L6">
        <v>-8.3370000000000007E-3</v>
      </c>
      <c r="M6">
        <v>-8.9619999999999995E-3</v>
      </c>
      <c r="N6">
        <v>-1.0266000000000001E-2</v>
      </c>
      <c r="O6">
        <v>-1.2374E-2</v>
      </c>
      <c r="P6">
        <v>-1.5618999999999999E-2</v>
      </c>
      <c r="Q6">
        <v>-1.6641E-2</v>
      </c>
      <c r="R6">
        <v>-1.4688E-2</v>
      </c>
      <c r="S6">
        <v>-1.7756999999999998E-2</v>
      </c>
      <c r="T6">
        <v>-1.7462999999999999E-2</v>
      </c>
      <c r="U6">
        <v>-1.9401999999999999E-2</v>
      </c>
      <c r="V6">
        <v>-1.9299E-2</v>
      </c>
      <c r="W6">
        <v>-1.8165000000000001E-2</v>
      </c>
      <c r="X6">
        <v>-1.7194999999999998E-2</v>
      </c>
      <c r="Y6">
        <v>-1.7415E-2</v>
      </c>
      <c r="Z6">
        <v>-1.5657999999999998E-2</v>
      </c>
      <c r="AA6">
        <v>-1.7304E-2</v>
      </c>
      <c r="AB6">
        <v>-1.651E-2</v>
      </c>
      <c r="AC6">
        <v>-1.695E-2</v>
      </c>
      <c r="AD6">
        <v>-1.8311999999999998E-2</v>
      </c>
      <c r="AE6" s="6">
        <v>-0.137203166226913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4.6459E-2</v>
      </c>
      <c r="E8">
        <v>5.0448E-2</v>
      </c>
      <c r="F8">
        <v>5.2420000000000001E-2</v>
      </c>
      <c r="G8">
        <v>5.4354E-2</v>
      </c>
      <c r="H8">
        <v>5.4363000000000002E-2</v>
      </c>
      <c r="I8">
        <v>5.4345999999999998E-2</v>
      </c>
      <c r="J8">
        <v>5.4380999999999999E-2</v>
      </c>
      <c r="K8">
        <v>5.4397000000000001E-2</v>
      </c>
      <c r="L8">
        <v>5.4392999999999997E-2</v>
      </c>
      <c r="M8">
        <v>5.4393999999999998E-2</v>
      </c>
      <c r="N8">
        <v>5.4379999999999998E-2</v>
      </c>
      <c r="O8">
        <v>5.4363000000000002E-2</v>
      </c>
      <c r="P8">
        <v>5.4385000000000003E-2</v>
      </c>
      <c r="Q8">
        <v>5.4330999999999997E-2</v>
      </c>
      <c r="R8">
        <v>5.4325999999999999E-2</v>
      </c>
      <c r="S8">
        <v>5.4337999999999997E-2</v>
      </c>
      <c r="T8">
        <v>5.4379999999999998E-2</v>
      </c>
      <c r="U8">
        <v>5.4335000000000001E-2</v>
      </c>
      <c r="V8">
        <v>5.4346999999999999E-2</v>
      </c>
      <c r="W8">
        <v>5.4344000000000003E-2</v>
      </c>
      <c r="X8">
        <v>5.4306E-2</v>
      </c>
      <c r="Y8">
        <v>5.4310999999999998E-2</v>
      </c>
      <c r="Z8">
        <v>5.4308000000000002E-2</v>
      </c>
      <c r="AA8">
        <v>5.4324999999999998E-2</v>
      </c>
      <c r="AB8">
        <v>5.4343000000000002E-2</v>
      </c>
      <c r="AC8">
        <v>5.4332999999999999E-2</v>
      </c>
      <c r="AD8">
        <v>5.4331999999999998E-2</v>
      </c>
      <c r="AE8" s="6">
        <v>0.16946124539916912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0.201457</v>
      </c>
      <c r="E10">
        <v>0.205376</v>
      </c>
      <c r="F10">
        <v>0.20948</v>
      </c>
      <c r="G10">
        <v>0.21356900000000001</v>
      </c>
      <c r="H10">
        <v>0.21826200000000001</v>
      </c>
      <c r="I10">
        <v>0.222022</v>
      </c>
      <c r="J10">
        <v>0.225582</v>
      </c>
      <c r="K10">
        <v>0.229435</v>
      </c>
      <c r="L10">
        <v>0.233545</v>
      </c>
      <c r="M10">
        <v>0.23778299999999999</v>
      </c>
      <c r="N10">
        <v>0.24130099999999999</v>
      </c>
      <c r="O10">
        <v>0.24477699999999999</v>
      </c>
      <c r="P10">
        <v>0.24807999999999999</v>
      </c>
      <c r="Q10">
        <v>0.25212200000000001</v>
      </c>
      <c r="R10">
        <v>0.25600299999999998</v>
      </c>
      <c r="S10">
        <v>0.25873400000000002</v>
      </c>
      <c r="T10">
        <v>0.26156000000000001</v>
      </c>
      <c r="U10">
        <v>0.26443899999999998</v>
      </c>
      <c r="V10">
        <v>0.26745099999999999</v>
      </c>
      <c r="W10">
        <v>0.270511</v>
      </c>
      <c r="X10">
        <v>0.27209800000000001</v>
      </c>
      <c r="Y10">
        <v>0.273648</v>
      </c>
      <c r="Z10">
        <v>0.275198</v>
      </c>
      <c r="AA10">
        <v>0.27678199999999997</v>
      </c>
      <c r="AB10">
        <v>0.27835599999999999</v>
      </c>
      <c r="AC10">
        <v>0.27834599999999998</v>
      </c>
      <c r="AD10">
        <v>0.28368100000000002</v>
      </c>
      <c r="AE10" s="6">
        <v>0.40814665164278241</v>
      </c>
    </row>
    <row r="11" spans="1:31" x14ac:dyDescent="0.25">
      <c r="A11" t="s">
        <v>28</v>
      </c>
      <c r="B11" t="s">
        <v>39</v>
      </c>
      <c r="C11" t="s">
        <v>30</v>
      </c>
      <c r="D11">
        <v>9.2010000000000008E-3</v>
      </c>
      <c r="E11">
        <v>9.1529999999999997E-3</v>
      </c>
      <c r="F11">
        <v>8.7159999999999998E-3</v>
      </c>
      <c r="G11">
        <v>8.7159999999999998E-3</v>
      </c>
      <c r="H11">
        <v>8.7159999999999998E-3</v>
      </c>
      <c r="I11">
        <v>8.7159999999999998E-3</v>
      </c>
      <c r="J11">
        <v>8.8039999999999993E-3</v>
      </c>
      <c r="K11">
        <v>8.7159999999999998E-3</v>
      </c>
      <c r="L11">
        <v>8.8039999999999993E-3</v>
      </c>
      <c r="M11">
        <v>8.8039999999999993E-3</v>
      </c>
      <c r="N11">
        <v>8.8039999999999993E-3</v>
      </c>
      <c r="O11">
        <v>8.8039999999999993E-3</v>
      </c>
      <c r="P11">
        <v>8.7159999999999998E-3</v>
      </c>
      <c r="Q11">
        <v>8.7159999999999998E-3</v>
      </c>
      <c r="R11">
        <v>8.7159999999999998E-3</v>
      </c>
      <c r="S11">
        <v>8.7159999999999998E-3</v>
      </c>
      <c r="T11">
        <v>8.7159999999999998E-3</v>
      </c>
      <c r="U11">
        <v>8.7159999999999998E-3</v>
      </c>
      <c r="V11">
        <v>8.7159999999999998E-3</v>
      </c>
      <c r="W11">
        <v>8.7159999999999998E-3</v>
      </c>
      <c r="X11">
        <v>8.7159999999999998E-3</v>
      </c>
      <c r="Y11">
        <v>8.7159999999999998E-3</v>
      </c>
      <c r="Z11">
        <v>8.7159999999999998E-3</v>
      </c>
      <c r="AA11">
        <v>8.7159999999999998E-3</v>
      </c>
      <c r="AB11">
        <v>8.7159999999999998E-3</v>
      </c>
      <c r="AC11">
        <v>8.7159999999999998E-3</v>
      </c>
      <c r="AD11">
        <v>8.7159999999999998E-3</v>
      </c>
      <c r="AE11" s="6">
        <v>-5.2711661775894036E-2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0.39938299999999999</v>
      </c>
      <c r="E13">
        <v>0.53341899999999998</v>
      </c>
      <c r="F13">
        <v>0.70738599999999996</v>
      </c>
      <c r="G13">
        <v>0.76364399999999999</v>
      </c>
      <c r="H13">
        <v>0.76375000000000004</v>
      </c>
      <c r="I13">
        <v>0.762907</v>
      </c>
      <c r="J13">
        <v>0.76348800000000006</v>
      </c>
      <c r="K13">
        <v>0.76413799999999998</v>
      </c>
      <c r="L13">
        <v>0.76380099999999995</v>
      </c>
      <c r="M13">
        <v>0.76415500000000003</v>
      </c>
      <c r="N13">
        <v>0.76363800000000004</v>
      </c>
      <c r="O13">
        <v>0.76264299999999996</v>
      </c>
      <c r="P13">
        <v>0.76397999999999999</v>
      </c>
      <c r="Q13">
        <v>0.76335799999999998</v>
      </c>
      <c r="R13">
        <v>0.76312199999999997</v>
      </c>
      <c r="S13">
        <v>0.76344699999999999</v>
      </c>
      <c r="T13">
        <v>0.76384600000000002</v>
      </c>
      <c r="U13">
        <v>0.76315900000000003</v>
      </c>
      <c r="V13">
        <v>0.76390000000000002</v>
      </c>
      <c r="W13">
        <v>0.76393100000000003</v>
      </c>
      <c r="X13">
        <v>0.765266</v>
      </c>
      <c r="Y13">
        <v>0.76528799999999997</v>
      </c>
      <c r="Z13">
        <v>0.76525399999999999</v>
      </c>
      <c r="AA13">
        <v>0.76504000000000005</v>
      </c>
      <c r="AB13">
        <v>0.76532999999999995</v>
      </c>
      <c r="AC13">
        <v>0.76427299999999998</v>
      </c>
      <c r="AD13">
        <v>0.76427199999999995</v>
      </c>
      <c r="AE13" s="6">
        <v>0.91363177701604714</v>
      </c>
    </row>
    <row r="14" spans="1:31" x14ac:dyDescent="0.25">
      <c r="A14" t="s">
        <v>28</v>
      </c>
      <c r="B14" t="s">
        <v>42</v>
      </c>
      <c r="C14" t="s">
        <v>30</v>
      </c>
      <c r="D14">
        <v>14.5259</v>
      </c>
      <c r="E14">
        <v>14.410539999999999</v>
      </c>
      <c r="F14">
        <v>15.965138</v>
      </c>
      <c r="G14">
        <v>16.846352</v>
      </c>
      <c r="H14">
        <v>16.845882</v>
      </c>
      <c r="I14">
        <v>16.846869000000002</v>
      </c>
      <c r="J14">
        <v>16.845955</v>
      </c>
      <c r="K14">
        <v>16.683427999999999</v>
      </c>
      <c r="L14">
        <v>19.686209000000002</v>
      </c>
      <c r="M14">
        <v>20.433820999999998</v>
      </c>
      <c r="N14">
        <v>20.435032</v>
      </c>
      <c r="O14">
        <v>20.437563000000001</v>
      </c>
      <c r="P14">
        <v>20.434550999999999</v>
      </c>
      <c r="Q14">
        <v>20.435943999999999</v>
      </c>
      <c r="R14">
        <v>20.796768</v>
      </c>
      <c r="S14">
        <v>27.423525000000001</v>
      </c>
      <c r="T14">
        <v>29.056584999999998</v>
      </c>
      <c r="U14">
        <v>29.302336</v>
      </c>
      <c r="V14">
        <v>29.361383</v>
      </c>
      <c r="W14">
        <v>29.358326000000002</v>
      </c>
      <c r="X14">
        <v>29.354994000000001</v>
      </c>
      <c r="Y14">
        <v>29.351642999999999</v>
      </c>
      <c r="Z14">
        <v>29.348220999999999</v>
      </c>
      <c r="AA14">
        <v>29.344401999999999</v>
      </c>
      <c r="AB14">
        <v>29.352865000000001</v>
      </c>
      <c r="AC14">
        <v>29.351353</v>
      </c>
      <c r="AD14">
        <v>29.351832999999999</v>
      </c>
      <c r="AE14" s="6">
        <v>1.0206550368651857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8" t="s">
        <v>44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2.9559999999999999E-3</v>
      </c>
      <c r="M16">
        <v>2.9559999999999999E-3</v>
      </c>
      <c r="N16">
        <v>2.9559999999999999E-3</v>
      </c>
      <c r="O16">
        <v>2.9559999999999999E-3</v>
      </c>
      <c r="P16">
        <v>2.9559999999999999E-3</v>
      </c>
      <c r="Q16">
        <v>2.9559999999999999E-3</v>
      </c>
      <c r="R16">
        <v>2.9559999999999999E-3</v>
      </c>
      <c r="S16">
        <v>2.9559999999999999E-3</v>
      </c>
      <c r="T16">
        <v>2.9559999999999999E-3</v>
      </c>
      <c r="U16">
        <v>2.9559999999999999E-3</v>
      </c>
      <c r="V16">
        <v>2.9559999999999999E-3</v>
      </c>
      <c r="W16">
        <v>2.9559999999999999E-3</v>
      </c>
      <c r="X16">
        <v>2.9559999999999999E-3</v>
      </c>
      <c r="Y16">
        <v>2.9559999999999999E-3</v>
      </c>
      <c r="Z16">
        <v>2.9559999999999999E-3</v>
      </c>
      <c r="AA16">
        <v>5.927E-3</v>
      </c>
      <c r="AB16">
        <v>8.9569999999999997E-3</v>
      </c>
      <c r="AC16">
        <v>1.1923E-2</v>
      </c>
      <c r="AD16">
        <v>1.4839E-2</v>
      </c>
      <c r="AE16" s="6" t="e">
        <v>#DIV/0!</v>
      </c>
    </row>
    <row r="17" spans="1:31" x14ac:dyDescent="0.25">
      <c r="A17" t="s">
        <v>28</v>
      </c>
      <c r="B17" s="8" t="s">
        <v>45</v>
      </c>
      <c r="C17" t="s">
        <v>30</v>
      </c>
      <c r="D17">
        <v>137.53192100000001</v>
      </c>
      <c r="E17">
        <v>133.90501399999999</v>
      </c>
      <c r="F17">
        <v>138.998749</v>
      </c>
      <c r="G17">
        <v>140.720901</v>
      </c>
      <c r="H17">
        <v>139.18954500000001</v>
      </c>
      <c r="I17">
        <v>138.93786600000001</v>
      </c>
      <c r="J17">
        <v>141.26495399999999</v>
      </c>
      <c r="K17">
        <v>138.49617000000001</v>
      </c>
      <c r="L17">
        <v>146.64184599999999</v>
      </c>
      <c r="M17">
        <v>142.80616800000001</v>
      </c>
      <c r="N17">
        <v>142.63661200000001</v>
      </c>
      <c r="O17">
        <v>142.663895</v>
      </c>
      <c r="P17">
        <v>142.705566</v>
      </c>
      <c r="Q17">
        <v>142.863495</v>
      </c>
      <c r="R17">
        <v>134.46949799999999</v>
      </c>
      <c r="S17">
        <v>139.95922899999999</v>
      </c>
      <c r="T17">
        <v>138.51762400000001</v>
      </c>
      <c r="U17">
        <v>139.15428199999999</v>
      </c>
      <c r="V17">
        <v>140.00820899999999</v>
      </c>
      <c r="W17">
        <v>139.99882500000001</v>
      </c>
      <c r="X17">
        <v>141.702179</v>
      </c>
      <c r="Y17">
        <v>143.21310399999999</v>
      </c>
      <c r="Z17">
        <v>144.00598099999999</v>
      </c>
      <c r="AA17">
        <v>144.285583</v>
      </c>
      <c r="AB17">
        <v>144.893539</v>
      </c>
      <c r="AC17">
        <v>145.29544100000001</v>
      </c>
      <c r="AD17">
        <v>145.457764</v>
      </c>
      <c r="AE17" s="6">
        <v>5.7629115789053699E-2</v>
      </c>
    </row>
    <row r="18" spans="1:31" x14ac:dyDescent="0.25">
      <c r="A18" t="s">
        <v>74</v>
      </c>
      <c r="B18" t="s">
        <v>46</v>
      </c>
      <c r="C18" t="s">
        <v>47</v>
      </c>
      <c r="D18">
        <v>12.935525</v>
      </c>
      <c r="E18">
        <v>12.785266</v>
      </c>
      <c r="F18">
        <v>12.124753999999999</v>
      </c>
      <c r="G18">
        <v>11.237393000000001</v>
      </c>
      <c r="H18">
        <v>11.683244</v>
      </c>
      <c r="I18">
        <v>11.70298</v>
      </c>
      <c r="J18">
        <v>11.776464000000001</v>
      </c>
      <c r="K18">
        <v>12.018991</v>
      </c>
      <c r="L18">
        <v>11.917425</v>
      </c>
      <c r="M18">
        <v>12.073803</v>
      </c>
      <c r="N18">
        <v>12.054520999999999</v>
      </c>
      <c r="O18">
        <v>11.588153</v>
      </c>
      <c r="P18">
        <v>12.001388</v>
      </c>
      <c r="Q18">
        <v>11.929802</v>
      </c>
      <c r="R18">
        <v>11.743649</v>
      </c>
      <c r="S18">
        <v>11.590899</v>
      </c>
      <c r="T18">
        <v>11.505596000000001</v>
      </c>
      <c r="U18">
        <v>11.402081000000001</v>
      </c>
      <c r="V18">
        <v>11.482944</v>
      </c>
      <c r="W18">
        <v>11.477309</v>
      </c>
      <c r="X18">
        <v>11.447082</v>
      </c>
      <c r="Y18">
        <v>11.420553999999999</v>
      </c>
      <c r="Z18">
        <v>11.431293</v>
      </c>
      <c r="AA18">
        <v>11.413613</v>
      </c>
      <c r="AB18">
        <v>11.383298</v>
      </c>
      <c r="AC18">
        <v>11.355209</v>
      </c>
      <c r="AD18">
        <v>11.305213</v>
      </c>
      <c r="AE18" s="6" cm="1">
        <f t="array" ref="AE18:AE22">(AD18:AD22-D18:D22)/D18:D22</f>
        <v>-0.12603369403251896</v>
      </c>
    </row>
    <row r="19" spans="1:31" x14ac:dyDescent="0.25">
      <c r="A19" t="s">
        <v>74</v>
      </c>
      <c r="B19" t="s">
        <v>48</v>
      </c>
      <c r="C19" t="s">
        <v>47</v>
      </c>
      <c r="D19">
        <v>11.125793</v>
      </c>
      <c r="E19">
        <v>10.730815</v>
      </c>
      <c r="F19">
        <v>10.168505</v>
      </c>
      <c r="G19">
        <v>9.3074499999999993</v>
      </c>
      <c r="H19">
        <v>9.8839900000000007</v>
      </c>
      <c r="I19">
        <v>9.9061319999999995</v>
      </c>
      <c r="J19">
        <v>9.9845059999999997</v>
      </c>
      <c r="K19">
        <v>10.276218999999999</v>
      </c>
      <c r="L19">
        <v>10.111587999999999</v>
      </c>
      <c r="M19">
        <v>10.262617000000001</v>
      </c>
      <c r="N19">
        <v>10.190507</v>
      </c>
      <c r="O19">
        <v>9.6380520000000001</v>
      </c>
      <c r="P19">
        <v>10.194265</v>
      </c>
      <c r="Q19">
        <v>10.085234</v>
      </c>
      <c r="R19">
        <v>9.9293589999999998</v>
      </c>
      <c r="S19">
        <v>9.7478350000000002</v>
      </c>
      <c r="T19">
        <v>9.6890830000000001</v>
      </c>
      <c r="U19">
        <v>9.5922900000000002</v>
      </c>
      <c r="V19">
        <v>9.6968789999999991</v>
      </c>
      <c r="W19">
        <v>9.6960660000000001</v>
      </c>
      <c r="X19">
        <v>9.6694329999999997</v>
      </c>
      <c r="Y19">
        <v>9.6481270000000006</v>
      </c>
      <c r="Z19">
        <v>9.6570149999999995</v>
      </c>
      <c r="AA19">
        <v>9.6297940000000004</v>
      </c>
      <c r="AB19">
        <v>9.5845660000000006</v>
      </c>
      <c r="AC19">
        <v>9.5329870000000003</v>
      </c>
      <c r="AD19">
        <v>9.453201</v>
      </c>
      <c r="AE19" s="6">
        <v>-0.15033463232688221</v>
      </c>
    </row>
    <row r="20" spans="1:31" x14ac:dyDescent="0.25">
      <c r="A20" t="s">
        <v>74</v>
      </c>
      <c r="B20" t="s">
        <v>49</v>
      </c>
      <c r="C20" t="s">
        <v>47</v>
      </c>
      <c r="D20">
        <v>9.1273160000000004</v>
      </c>
      <c r="E20">
        <v>8.8667770000000008</v>
      </c>
      <c r="F20">
        <v>8.1979679999999995</v>
      </c>
      <c r="G20">
        <v>7.3437089999999996</v>
      </c>
      <c r="H20">
        <v>7.740291</v>
      </c>
      <c r="I20">
        <v>7.7869849999999996</v>
      </c>
      <c r="J20">
        <v>7.8813610000000001</v>
      </c>
      <c r="K20">
        <v>8.1133319999999998</v>
      </c>
      <c r="L20">
        <v>8.0561500000000006</v>
      </c>
      <c r="M20">
        <v>8.2375319999999999</v>
      </c>
      <c r="N20">
        <v>8.2186009999999996</v>
      </c>
      <c r="O20">
        <v>7.8275940000000004</v>
      </c>
      <c r="P20">
        <v>8.2657679999999996</v>
      </c>
      <c r="Q20">
        <v>8.1462699999999995</v>
      </c>
      <c r="R20">
        <v>8.0079759999999993</v>
      </c>
      <c r="S20">
        <v>7.8637180000000004</v>
      </c>
      <c r="T20">
        <v>7.7908350000000004</v>
      </c>
      <c r="U20">
        <v>7.7139259999999998</v>
      </c>
      <c r="V20">
        <v>7.8027129999999998</v>
      </c>
      <c r="W20">
        <v>7.8071929999999998</v>
      </c>
      <c r="X20">
        <v>7.7856759999999996</v>
      </c>
      <c r="Y20">
        <v>7.7595559999999999</v>
      </c>
      <c r="Z20">
        <v>7.766133</v>
      </c>
      <c r="AA20">
        <v>7.745762</v>
      </c>
      <c r="AB20">
        <v>7.702858</v>
      </c>
      <c r="AC20">
        <v>7.6485789999999998</v>
      </c>
      <c r="AD20">
        <v>7.5689640000000002</v>
      </c>
      <c r="AE20" s="6">
        <v>-0.17073496743182773</v>
      </c>
    </row>
    <row r="21" spans="1:31" x14ac:dyDescent="0.25">
      <c r="A21" t="s">
        <v>74</v>
      </c>
      <c r="B21" t="s">
        <v>50</v>
      </c>
      <c r="C21" t="s">
        <v>47</v>
      </c>
      <c r="D21">
        <v>10.496816000000001</v>
      </c>
      <c r="E21">
        <v>10.203673999999999</v>
      </c>
      <c r="F21">
        <v>9.5491170000000007</v>
      </c>
      <c r="G21">
        <v>8.6883940000000006</v>
      </c>
      <c r="H21">
        <v>9.1662389999999991</v>
      </c>
      <c r="I21">
        <v>9.1766039999999993</v>
      </c>
      <c r="J21">
        <v>9.2836210000000001</v>
      </c>
      <c r="K21">
        <v>9.5407659999999996</v>
      </c>
      <c r="L21">
        <v>9.477608</v>
      </c>
      <c r="M21">
        <v>9.6648340000000008</v>
      </c>
      <c r="N21">
        <v>9.6918710000000008</v>
      </c>
      <c r="O21">
        <v>9.2671340000000004</v>
      </c>
      <c r="P21">
        <v>9.7324789999999997</v>
      </c>
      <c r="Q21">
        <v>9.6348240000000001</v>
      </c>
      <c r="R21">
        <v>9.4852019999999992</v>
      </c>
      <c r="S21">
        <v>9.3025330000000004</v>
      </c>
      <c r="T21">
        <v>9.2382039999999996</v>
      </c>
      <c r="U21">
        <v>9.1532529999999994</v>
      </c>
      <c r="V21">
        <v>9.2445170000000001</v>
      </c>
      <c r="W21">
        <v>9.2544380000000004</v>
      </c>
      <c r="X21">
        <v>9.23813</v>
      </c>
      <c r="Y21">
        <v>9.2177740000000004</v>
      </c>
      <c r="Z21">
        <v>9.2303239999999995</v>
      </c>
      <c r="AA21">
        <v>9.2177439999999997</v>
      </c>
      <c r="AB21">
        <v>9.1812129999999996</v>
      </c>
      <c r="AC21">
        <v>9.1310199999999995</v>
      </c>
      <c r="AD21">
        <v>9.0594099999999997</v>
      </c>
      <c r="AE21" s="6">
        <v>-0.13693733414018128</v>
      </c>
    </row>
    <row r="22" spans="1:31" x14ac:dyDescent="0.25">
      <c r="A22" t="s">
        <v>74</v>
      </c>
      <c r="B22" t="s">
        <v>51</v>
      </c>
      <c r="C22" t="s">
        <v>47</v>
      </c>
      <c r="D22">
        <v>11.071609</v>
      </c>
      <c r="E22">
        <v>10.791148</v>
      </c>
      <c r="F22">
        <v>10.158787</v>
      </c>
      <c r="G22">
        <v>9.3005060000000004</v>
      </c>
      <c r="H22">
        <v>9.7894539999999992</v>
      </c>
      <c r="I22">
        <v>9.8249340000000007</v>
      </c>
      <c r="J22">
        <v>9.9070359999999997</v>
      </c>
      <c r="K22">
        <v>10.164332999999999</v>
      </c>
      <c r="L22">
        <v>10.051306</v>
      </c>
      <c r="M22">
        <v>10.21391</v>
      </c>
      <c r="N22">
        <v>10.175547</v>
      </c>
      <c r="O22">
        <v>9.7016550000000006</v>
      </c>
      <c r="P22">
        <v>10.223879</v>
      </c>
      <c r="Q22">
        <v>10.081811999999999</v>
      </c>
      <c r="R22">
        <v>9.926126</v>
      </c>
      <c r="S22">
        <v>9.7710349999999995</v>
      </c>
      <c r="T22">
        <v>9.7043590000000002</v>
      </c>
      <c r="U22">
        <v>9.61571</v>
      </c>
      <c r="V22">
        <v>9.7121849999999998</v>
      </c>
      <c r="W22">
        <v>9.7164429999999999</v>
      </c>
      <c r="X22">
        <v>9.6957070000000005</v>
      </c>
      <c r="Y22">
        <v>9.6750220000000002</v>
      </c>
      <c r="Z22">
        <v>9.6869709999999998</v>
      </c>
      <c r="AA22">
        <v>9.6677350000000004</v>
      </c>
      <c r="AB22">
        <v>9.6296660000000003</v>
      </c>
      <c r="AC22">
        <v>9.5861180000000008</v>
      </c>
      <c r="AD22">
        <v>9.517182</v>
      </c>
      <c r="AE22" s="6">
        <v>-0.14039757003701994</v>
      </c>
    </row>
    <row r="23" spans="1:31" x14ac:dyDescent="0.25">
      <c r="A23" t="s">
        <v>75</v>
      </c>
      <c r="B23" t="s">
        <v>46</v>
      </c>
      <c r="C23" t="s">
        <v>52</v>
      </c>
      <c r="D23">
        <v>12.935525</v>
      </c>
      <c r="E23">
        <v>13.054517000000001</v>
      </c>
      <c r="F23">
        <v>12.606070000000001</v>
      </c>
      <c r="G23">
        <v>11.887295</v>
      </c>
      <c r="H23">
        <v>12.598951</v>
      </c>
      <c r="I23">
        <v>12.864204000000001</v>
      </c>
      <c r="J23">
        <v>13.21269</v>
      </c>
      <c r="K23">
        <v>13.789984</v>
      </c>
      <c r="L23">
        <v>13.989981999999999</v>
      </c>
      <c r="M23">
        <v>14.518006</v>
      </c>
      <c r="N23">
        <v>14.84859</v>
      </c>
      <c r="O23">
        <v>14.61838</v>
      </c>
      <c r="P23">
        <v>15.494232999999999</v>
      </c>
      <c r="Q23">
        <v>15.750901000000001</v>
      </c>
      <c r="R23">
        <v>15.840011000000001</v>
      </c>
      <c r="S23">
        <v>15.959262000000001</v>
      </c>
      <c r="T23">
        <v>16.169080999999998</v>
      </c>
      <c r="U23">
        <v>16.351284</v>
      </c>
      <c r="V23">
        <v>16.80237</v>
      </c>
      <c r="W23">
        <v>17.136907999999998</v>
      </c>
      <c r="X23">
        <v>17.439084999999999</v>
      </c>
      <c r="Y23">
        <v>17.757418000000001</v>
      </c>
      <c r="Z23">
        <v>18.140923999999998</v>
      </c>
      <c r="AA23">
        <v>18.495628</v>
      </c>
      <c r="AB23">
        <v>18.843520999999999</v>
      </c>
      <c r="AC23">
        <v>19.204805</v>
      </c>
      <c r="AD23">
        <v>19.541872000000001</v>
      </c>
      <c r="AE23" s="6" cm="1">
        <f t="array" ref="AE23:AE27">(AD23:AD27-D23:D27)/D23:D27</f>
        <v>0.51071348089853341</v>
      </c>
    </row>
    <row r="24" spans="1:31" x14ac:dyDescent="0.25">
      <c r="A24" t="s">
        <v>75</v>
      </c>
      <c r="B24" t="s">
        <v>48</v>
      </c>
      <c r="C24" t="s">
        <v>52</v>
      </c>
      <c r="D24">
        <v>11.125793</v>
      </c>
      <c r="E24">
        <v>10.956799999999999</v>
      </c>
      <c r="F24">
        <v>10.572163</v>
      </c>
      <c r="G24">
        <v>9.8457369999999997</v>
      </c>
      <c r="H24">
        <v>10.658676</v>
      </c>
      <c r="I24">
        <v>10.889063999999999</v>
      </c>
      <c r="J24">
        <v>11.20219</v>
      </c>
      <c r="K24">
        <v>11.790414999999999</v>
      </c>
      <c r="L24">
        <v>11.870091</v>
      </c>
      <c r="M24">
        <v>12.340166</v>
      </c>
      <c r="N24">
        <v>12.552524</v>
      </c>
      <c r="O24">
        <v>12.158340000000001</v>
      </c>
      <c r="P24">
        <v>13.161172000000001</v>
      </c>
      <c r="Q24">
        <v>13.315519999999999</v>
      </c>
      <c r="R24">
        <v>13.392868999999999</v>
      </c>
      <c r="S24">
        <v>13.421586</v>
      </c>
      <c r="T24">
        <v>13.616293000000001</v>
      </c>
      <c r="U24">
        <v>13.755933000000001</v>
      </c>
      <c r="V24">
        <v>14.188919</v>
      </c>
      <c r="W24">
        <v>14.477311</v>
      </c>
      <c r="X24">
        <v>14.730922</v>
      </c>
      <c r="Y24">
        <v>15.001533999999999</v>
      </c>
      <c r="Z24">
        <v>15.325231</v>
      </c>
      <c r="AA24">
        <v>15.60497</v>
      </c>
      <c r="AB24">
        <v>15.865962</v>
      </c>
      <c r="AC24">
        <v>16.122923</v>
      </c>
      <c r="AD24">
        <v>16.340537999999999</v>
      </c>
      <c r="AE24" s="6">
        <v>0.4687077136883635</v>
      </c>
    </row>
    <row r="25" spans="1:31" x14ac:dyDescent="0.25">
      <c r="A25" t="s">
        <v>75</v>
      </c>
      <c r="B25" t="s">
        <v>49</v>
      </c>
      <c r="C25" t="s">
        <v>52</v>
      </c>
      <c r="D25">
        <v>9.1273160000000004</v>
      </c>
      <c r="E25">
        <v>9.0535069999999997</v>
      </c>
      <c r="F25">
        <v>8.5234020000000008</v>
      </c>
      <c r="G25">
        <v>7.7684249999999997</v>
      </c>
      <c r="H25">
        <v>8.346959</v>
      </c>
      <c r="I25">
        <v>8.5596460000000008</v>
      </c>
      <c r="J25">
        <v>8.8425510000000003</v>
      </c>
      <c r="K25">
        <v>9.3088259999999998</v>
      </c>
      <c r="L25">
        <v>9.4571939999999994</v>
      </c>
      <c r="M25">
        <v>9.9051259999999992</v>
      </c>
      <c r="N25">
        <v>10.123557999999999</v>
      </c>
      <c r="O25">
        <v>9.8744589999999999</v>
      </c>
      <c r="P25">
        <v>10.671411000000001</v>
      </c>
      <c r="Q25">
        <v>10.755508000000001</v>
      </c>
      <c r="R25">
        <v>10.801278</v>
      </c>
      <c r="S25">
        <v>10.827386000000001</v>
      </c>
      <c r="T25">
        <v>10.948641</v>
      </c>
      <c r="U25">
        <v>11.062243</v>
      </c>
      <c r="V25">
        <v>11.417287</v>
      </c>
      <c r="W25">
        <v>11.657012999999999</v>
      </c>
      <c r="X25">
        <v>11.861109000000001</v>
      </c>
      <c r="Y25">
        <v>12.065061999999999</v>
      </c>
      <c r="Z25">
        <v>12.324490000000001</v>
      </c>
      <c r="AA25">
        <v>12.551918000000001</v>
      </c>
      <c r="AB25">
        <v>12.751047</v>
      </c>
      <c r="AC25">
        <v>12.935866000000001</v>
      </c>
      <c r="AD25">
        <v>13.083499</v>
      </c>
      <c r="AE25" s="6">
        <v>0.43344428964659482</v>
      </c>
    </row>
    <row r="26" spans="1:31" x14ac:dyDescent="0.25">
      <c r="A26" t="s">
        <v>75</v>
      </c>
      <c r="B26" t="s">
        <v>50</v>
      </c>
      <c r="C26" t="s">
        <v>52</v>
      </c>
      <c r="D26">
        <v>10.496816000000001</v>
      </c>
      <c r="E26">
        <v>10.418559</v>
      </c>
      <c r="F26">
        <v>9.9281869999999994</v>
      </c>
      <c r="G26">
        <v>9.1908770000000004</v>
      </c>
      <c r="H26">
        <v>9.8846690000000006</v>
      </c>
      <c r="I26">
        <v>10.087149999999999</v>
      </c>
      <c r="J26">
        <v>10.415827999999999</v>
      </c>
      <c r="K26">
        <v>10.946592000000001</v>
      </c>
      <c r="L26">
        <v>11.125856000000001</v>
      </c>
      <c r="M26">
        <v>11.621369</v>
      </c>
      <c r="N26">
        <v>11.938312</v>
      </c>
      <c r="O26">
        <v>11.690429999999999</v>
      </c>
      <c r="P26">
        <v>12.564988</v>
      </c>
      <c r="Q26">
        <v>12.720845000000001</v>
      </c>
      <c r="R26">
        <v>12.793782999999999</v>
      </c>
      <c r="S26">
        <v>12.808458999999999</v>
      </c>
      <c r="T26">
        <v>12.982661999999999</v>
      </c>
      <c r="U26">
        <v>13.126327</v>
      </c>
      <c r="V26">
        <v>13.527002</v>
      </c>
      <c r="W26">
        <v>13.817912</v>
      </c>
      <c r="X26">
        <v>14.073852</v>
      </c>
      <c r="Y26">
        <v>14.332394000000001</v>
      </c>
      <c r="Z26">
        <v>14.648091000000001</v>
      </c>
      <c r="AA26">
        <v>14.937246999999999</v>
      </c>
      <c r="AB26">
        <v>15.198266</v>
      </c>
      <c r="AC26">
        <v>15.443085</v>
      </c>
      <c r="AD26">
        <v>15.659841</v>
      </c>
      <c r="AE26" s="6">
        <v>0.49186581912076949</v>
      </c>
    </row>
    <row r="27" spans="1:31" x14ac:dyDescent="0.25">
      <c r="A27" t="s">
        <v>75</v>
      </c>
      <c r="B27" t="s">
        <v>51</v>
      </c>
      <c r="C27" t="s">
        <v>52</v>
      </c>
      <c r="D27">
        <v>11.071609</v>
      </c>
      <c r="E27">
        <v>11.018404</v>
      </c>
      <c r="F27">
        <v>10.562058</v>
      </c>
      <c r="G27">
        <v>9.8383889999999994</v>
      </c>
      <c r="H27">
        <v>10.55673</v>
      </c>
      <c r="I27">
        <v>10.799809</v>
      </c>
      <c r="J27">
        <v>11.115273</v>
      </c>
      <c r="K27">
        <v>11.662043000000001</v>
      </c>
      <c r="L27">
        <v>11.799325</v>
      </c>
      <c r="M27">
        <v>12.281599</v>
      </c>
      <c r="N27">
        <v>12.534096999999999</v>
      </c>
      <c r="O27">
        <v>12.238575000000001</v>
      </c>
      <c r="P27">
        <v>13.199403999999999</v>
      </c>
      <c r="Q27">
        <v>13.311002</v>
      </c>
      <c r="R27">
        <v>13.388507000000001</v>
      </c>
      <c r="S27">
        <v>13.453530000000001</v>
      </c>
      <c r="T27">
        <v>13.63776</v>
      </c>
      <c r="U27">
        <v>13.789519</v>
      </c>
      <c r="V27">
        <v>14.211314</v>
      </c>
      <c r="W27">
        <v>14.507737000000001</v>
      </c>
      <c r="X27">
        <v>14.770949999999999</v>
      </c>
      <c r="Y27">
        <v>15.043353</v>
      </c>
      <c r="Z27">
        <v>15.372769</v>
      </c>
      <c r="AA27">
        <v>15.666453000000001</v>
      </c>
      <c r="AB27">
        <v>15.940619</v>
      </c>
      <c r="AC27">
        <v>16.212782000000001</v>
      </c>
      <c r="AD27">
        <v>16.451134</v>
      </c>
      <c r="AE27" s="6">
        <v>0.48588466229253569</v>
      </c>
    </row>
    <row r="28" spans="1:31" x14ac:dyDescent="0.25">
      <c r="A28" t="s">
        <v>76</v>
      </c>
      <c r="B28" t="s">
        <v>53</v>
      </c>
      <c r="C28" t="s">
        <v>47</v>
      </c>
      <c r="D28">
        <v>5.9830110000000003</v>
      </c>
      <c r="E28">
        <v>5.7287920000000003</v>
      </c>
      <c r="F28">
        <v>5.0989110000000002</v>
      </c>
      <c r="G28">
        <v>4.2298369999999998</v>
      </c>
      <c r="H28">
        <v>4.696161</v>
      </c>
      <c r="I28">
        <v>4.7047860000000004</v>
      </c>
      <c r="J28">
        <v>4.7678000000000003</v>
      </c>
      <c r="K28">
        <v>5.0099530000000003</v>
      </c>
      <c r="L28">
        <v>4.8899650000000001</v>
      </c>
      <c r="M28">
        <v>5.047955</v>
      </c>
      <c r="N28">
        <v>5.0104030000000002</v>
      </c>
      <c r="O28">
        <v>4.5390620000000004</v>
      </c>
      <c r="P28">
        <v>5.019825</v>
      </c>
      <c r="Q28">
        <v>4.9158569999999999</v>
      </c>
      <c r="R28">
        <v>4.7849110000000001</v>
      </c>
      <c r="S28">
        <v>4.6284559999999999</v>
      </c>
      <c r="T28">
        <v>4.5527870000000004</v>
      </c>
      <c r="U28">
        <v>4.4631080000000001</v>
      </c>
      <c r="V28">
        <v>4.5543899999999997</v>
      </c>
      <c r="W28">
        <v>4.5491979999999996</v>
      </c>
      <c r="X28">
        <v>4.5179830000000001</v>
      </c>
      <c r="Y28">
        <v>4.484909</v>
      </c>
      <c r="Z28">
        <v>4.4810670000000004</v>
      </c>
      <c r="AA28">
        <v>4.4464480000000002</v>
      </c>
      <c r="AB28">
        <v>4.3934509999999998</v>
      </c>
      <c r="AC28">
        <v>4.3307359999999999</v>
      </c>
      <c r="AD28">
        <v>4.2412359999999998</v>
      </c>
      <c r="AE28" s="6" cm="1">
        <f t="array" ref="AE28:AE30">(AD28:AD30-D28:D30)/D28:D30</f>
        <v>-0.29112014000977104</v>
      </c>
    </row>
    <row r="29" spans="1:31" x14ac:dyDescent="0.25">
      <c r="A29" t="s">
        <v>76</v>
      </c>
      <c r="B29" t="s">
        <v>54</v>
      </c>
      <c r="C29" t="s">
        <v>47</v>
      </c>
      <c r="D29">
        <v>1.3685149999999999</v>
      </c>
      <c r="E29">
        <v>1.364098</v>
      </c>
      <c r="F29">
        <v>1.3664970000000001</v>
      </c>
      <c r="G29">
        <v>1.370142</v>
      </c>
      <c r="H29">
        <v>1.3765829999999999</v>
      </c>
      <c r="I29">
        <v>1.3830800000000001</v>
      </c>
      <c r="J29">
        <v>1.387567</v>
      </c>
      <c r="K29">
        <v>1.3931549999999999</v>
      </c>
      <c r="L29">
        <v>1.397489</v>
      </c>
      <c r="M29">
        <v>1.4051959999999999</v>
      </c>
      <c r="N29">
        <v>1.4072249999999999</v>
      </c>
      <c r="O29">
        <v>1.40744</v>
      </c>
      <c r="P29">
        <v>1.4214549999999999</v>
      </c>
      <c r="Q29">
        <v>1.4131990000000001</v>
      </c>
      <c r="R29">
        <v>1.4168829999999999</v>
      </c>
      <c r="S29">
        <v>1.423516</v>
      </c>
      <c r="T29">
        <v>1.43631</v>
      </c>
      <c r="U29">
        <v>1.4381839999999999</v>
      </c>
      <c r="V29">
        <v>1.4408110000000001</v>
      </c>
      <c r="W29">
        <v>1.4436869999999999</v>
      </c>
      <c r="X29">
        <v>1.447044</v>
      </c>
      <c r="Y29">
        <v>1.451055</v>
      </c>
      <c r="Z29">
        <v>1.455543</v>
      </c>
      <c r="AA29">
        <v>1.4598450000000001</v>
      </c>
      <c r="AB29">
        <v>1.463551</v>
      </c>
      <c r="AC29">
        <v>1.46913</v>
      </c>
      <c r="AD29">
        <v>1.4767889999999999</v>
      </c>
      <c r="AE29" s="6">
        <v>7.9117875945824478E-2</v>
      </c>
    </row>
    <row r="30" spans="1:31" x14ac:dyDescent="0.25">
      <c r="A30" t="s">
        <v>76</v>
      </c>
      <c r="B30" t="s">
        <v>55</v>
      </c>
      <c r="C30" t="s">
        <v>47</v>
      </c>
      <c r="D30">
        <v>3.7200829999999998</v>
      </c>
      <c r="E30">
        <v>3.698258</v>
      </c>
      <c r="F30">
        <v>3.6933769999999999</v>
      </c>
      <c r="G30">
        <v>3.700526</v>
      </c>
      <c r="H30">
        <v>3.71671</v>
      </c>
      <c r="I30">
        <v>3.737069</v>
      </c>
      <c r="J30">
        <v>3.751668</v>
      </c>
      <c r="K30">
        <v>3.761225</v>
      </c>
      <c r="L30">
        <v>3.7638500000000001</v>
      </c>
      <c r="M30">
        <v>3.7607590000000002</v>
      </c>
      <c r="N30">
        <v>3.7579189999999998</v>
      </c>
      <c r="O30">
        <v>3.7551540000000001</v>
      </c>
      <c r="P30">
        <v>3.7825980000000001</v>
      </c>
      <c r="Q30">
        <v>3.7527560000000002</v>
      </c>
      <c r="R30">
        <v>3.724332</v>
      </c>
      <c r="S30">
        <v>3.7190639999999999</v>
      </c>
      <c r="T30">
        <v>3.7152609999999999</v>
      </c>
      <c r="U30">
        <v>3.7144189999999999</v>
      </c>
      <c r="V30">
        <v>3.7169829999999999</v>
      </c>
      <c r="W30">
        <v>3.7235589999999998</v>
      </c>
      <c r="X30">
        <v>3.73068</v>
      </c>
      <c r="Y30">
        <v>3.739058</v>
      </c>
      <c r="Z30">
        <v>3.7503609999999998</v>
      </c>
      <c r="AA30">
        <v>3.7614420000000002</v>
      </c>
      <c r="AB30">
        <v>3.7726639999999998</v>
      </c>
      <c r="AC30">
        <v>3.7862520000000002</v>
      </c>
      <c r="AD30">
        <v>3.7991579999999998</v>
      </c>
      <c r="AE30" s="6">
        <v>2.1256246164400097E-2</v>
      </c>
    </row>
    <row r="31" spans="1:31" x14ac:dyDescent="0.25">
      <c r="A31" t="s">
        <v>77</v>
      </c>
      <c r="B31" t="s">
        <v>53</v>
      </c>
      <c r="C31" t="s">
        <v>52</v>
      </c>
      <c r="D31">
        <v>5.9830110000000003</v>
      </c>
      <c r="E31">
        <v>5.8494380000000001</v>
      </c>
      <c r="F31">
        <v>5.3013219999999999</v>
      </c>
      <c r="G31">
        <v>4.4744650000000004</v>
      </c>
      <c r="H31">
        <v>5.0642360000000002</v>
      </c>
      <c r="I31">
        <v>5.1716170000000004</v>
      </c>
      <c r="J31">
        <v>5.3492680000000004</v>
      </c>
      <c r="K31">
        <v>5.7481669999999996</v>
      </c>
      <c r="L31">
        <v>5.7403779999999998</v>
      </c>
      <c r="M31">
        <v>6.0698550000000004</v>
      </c>
      <c r="N31">
        <v>6.1717440000000003</v>
      </c>
      <c r="O31">
        <v>5.7259960000000003</v>
      </c>
      <c r="P31">
        <v>6.4807790000000001</v>
      </c>
      <c r="Q31">
        <v>6.490399</v>
      </c>
      <c r="R31">
        <v>6.4539590000000002</v>
      </c>
      <c r="S31">
        <v>6.3728220000000002</v>
      </c>
      <c r="T31">
        <v>6.3981380000000003</v>
      </c>
      <c r="U31">
        <v>6.4003709999999998</v>
      </c>
      <c r="V31">
        <v>6.664193</v>
      </c>
      <c r="W31">
        <v>6.7924620000000004</v>
      </c>
      <c r="X31">
        <v>6.8829339999999997</v>
      </c>
      <c r="Y31">
        <v>6.9734280000000002</v>
      </c>
      <c r="Z31">
        <v>7.1112440000000001</v>
      </c>
      <c r="AA31">
        <v>7.2054169999999997</v>
      </c>
      <c r="AB31">
        <v>7.2727680000000001</v>
      </c>
      <c r="AC31">
        <v>7.3244740000000004</v>
      </c>
      <c r="AD31">
        <v>7.3312809999999997</v>
      </c>
      <c r="AE31" s="6" cm="1">
        <f t="array" ref="AE31:AE33">(AD31:AD33-D31:D33)/D31:D33</f>
        <v>0.22534974446812805</v>
      </c>
    </row>
    <row r="32" spans="1:31" x14ac:dyDescent="0.25">
      <c r="A32" t="s">
        <v>77</v>
      </c>
      <c r="B32" t="s">
        <v>54</v>
      </c>
      <c r="C32" t="s">
        <v>52</v>
      </c>
      <c r="D32">
        <v>1.3685149999999999</v>
      </c>
      <c r="E32">
        <v>1.392825</v>
      </c>
      <c r="F32">
        <v>1.4207430000000001</v>
      </c>
      <c r="G32">
        <v>1.4493830000000001</v>
      </c>
      <c r="H32">
        <v>1.4844759999999999</v>
      </c>
      <c r="I32">
        <v>1.5203150000000001</v>
      </c>
      <c r="J32">
        <v>1.556791</v>
      </c>
      <c r="K32">
        <v>1.5984350000000001</v>
      </c>
      <c r="L32">
        <v>1.6405259999999999</v>
      </c>
      <c r="M32">
        <v>1.689662</v>
      </c>
      <c r="N32">
        <v>1.7334000000000001</v>
      </c>
      <c r="O32">
        <v>1.7754760000000001</v>
      </c>
      <c r="P32">
        <v>1.835151</v>
      </c>
      <c r="Q32">
        <v>1.8658440000000001</v>
      </c>
      <c r="R32">
        <v>1.911114</v>
      </c>
      <c r="S32">
        <v>1.960008</v>
      </c>
      <c r="T32">
        <v>2.0184799999999998</v>
      </c>
      <c r="U32">
        <v>2.0624440000000002</v>
      </c>
      <c r="V32">
        <v>2.1082610000000002</v>
      </c>
      <c r="W32">
        <v>2.155586</v>
      </c>
      <c r="X32">
        <v>2.2045029999999999</v>
      </c>
      <c r="Y32">
        <v>2.256195</v>
      </c>
      <c r="Z32">
        <v>2.3098779999999999</v>
      </c>
      <c r="AA32">
        <v>2.3656619999999999</v>
      </c>
      <c r="AB32">
        <v>2.4227120000000002</v>
      </c>
      <c r="AC32">
        <v>2.4847060000000001</v>
      </c>
      <c r="AD32">
        <v>2.5527359999999999</v>
      </c>
      <c r="AE32" s="6">
        <v>0.86533286080167193</v>
      </c>
    </row>
    <row r="33" spans="1:31" x14ac:dyDescent="0.25">
      <c r="A33" t="s">
        <v>77</v>
      </c>
      <c r="B33" t="s">
        <v>55</v>
      </c>
      <c r="C33" t="s">
        <v>52</v>
      </c>
      <c r="D33">
        <v>3.7200829999999998</v>
      </c>
      <c r="E33">
        <v>3.776141</v>
      </c>
      <c r="F33">
        <v>3.8399930000000002</v>
      </c>
      <c r="G33">
        <v>3.914542</v>
      </c>
      <c r="H33">
        <v>4.0080179999999999</v>
      </c>
      <c r="I33">
        <v>4.1078780000000004</v>
      </c>
      <c r="J33">
        <v>4.209212</v>
      </c>
      <c r="K33">
        <v>4.3154399999999997</v>
      </c>
      <c r="L33">
        <v>4.4184210000000004</v>
      </c>
      <c r="M33">
        <v>4.522081</v>
      </c>
      <c r="N33">
        <v>4.628952</v>
      </c>
      <c r="O33">
        <v>4.7371030000000003</v>
      </c>
      <c r="P33">
        <v>4.8834730000000004</v>
      </c>
      <c r="Q33">
        <v>4.954758</v>
      </c>
      <c r="R33">
        <v>5.0234350000000001</v>
      </c>
      <c r="S33">
        <v>5.1206990000000001</v>
      </c>
      <c r="T33">
        <v>5.2211429999999996</v>
      </c>
      <c r="U33">
        <v>5.3267049999999996</v>
      </c>
      <c r="V33">
        <v>5.43886</v>
      </c>
      <c r="W33">
        <v>5.5596899999999998</v>
      </c>
      <c r="X33">
        <v>5.6835149999999999</v>
      </c>
      <c r="Y33">
        <v>5.8137290000000004</v>
      </c>
      <c r="Z33">
        <v>5.9516470000000004</v>
      </c>
      <c r="AA33">
        <v>6.0953739999999996</v>
      </c>
      <c r="AB33">
        <v>6.245139</v>
      </c>
      <c r="AC33">
        <v>6.4036010000000001</v>
      </c>
      <c r="AD33">
        <v>6.5671179999999998</v>
      </c>
      <c r="AE33" s="6">
        <v>0.76531491367262505</v>
      </c>
    </row>
    <row r="34" spans="1:31" x14ac:dyDescent="0.25">
      <c r="A34" t="s">
        <v>56</v>
      </c>
      <c r="B34" t="s">
        <v>57</v>
      </c>
      <c r="C34" t="s">
        <v>58</v>
      </c>
      <c r="D34">
        <v>4.391305</v>
      </c>
      <c r="E34">
        <v>3.8081450000000001</v>
      </c>
      <c r="F34">
        <v>3.8956650000000002</v>
      </c>
      <c r="G34">
        <v>4.0920899999999998</v>
      </c>
      <c r="H34">
        <v>3.867677</v>
      </c>
      <c r="I34">
        <v>3.7558690000000001</v>
      </c>
      <c r="J34">
        <v>4.0375420000000002</v>
      </c>
      <c r="K34">
        <v>3.7124160000000002</v>
      </c>
      <c r="L34">
        <v>4.3584880000000004</v>
      </c>
      <c r="M34">
        <v>3.7703199999999999</v>
      </c>
      <c r="N34">
        <v>3.7265929999999998</v>
      </c>
      <c r="O34">
        <v>3.7196419999999999</v>
      </c>
      <c r="P34">
        <v>3.7311510000000001</v>
      </c>
      <c r="Q34">
        <v>3.7466689999999998</v>
      </c>
      <c r="R34">
        <v>2.6773419999999999</v>
      </c>
      <c r="S34">
        <v>2.572946</v>
      </c>
      <c r="T34">
        <v>2.2424759999999999</v>
      </c>
      <c r="U34">
        <v>2.2894869999999998</v>
      </c>
      <c r="V34">
        <v>2.3898700000000002</v>
      </c>
      <c r="W34">
        <v>2.3904649999999998</v>
      </c>
      <c r="X34">
        <v>2.5937459999999999</v>
      </c>
      <c r="Y34">
        <v>2.7697620000000001</v>
      </c>
      <c r="Z34">
        <v>2.8696109999999999</v>
      </c>
      <c r="AA34">
        <v>2.9135779999999998</v>
      </c>
      <c r="AB34">
        <v>2.9972479999999999</v>
      </c>
      <c r="AC34">
        <v>3.0536859999999999</v>
      </c>
      <c r="AD34">
        <v>3.0873490000000001</v>
      </c>
      <c r="AE34" s="6" cm="1">
        <f t="array" ref="AE34:AE38">(AD34:AD38-D34:D38)/D34:D38</f>
        <v>-0.29694043114746071</v>
      </c>
    </row>
    <row r="35" spans="1:31" x14ac:dyDescent="0.25">
      <c r="A35" t="s">
        <v>56</v>
      </c>
      <c r="B35" t="s">
        <v>59</v>
      </c>
      <c r="C35" t="s">
        <v>58</v>
      </c>
      <c r="D35">
        <v>16.101454</v>
      </c>
      <c r="E35">
        <v>13.963194</v>
      </c>
      <c r="F35">
        <v>14.284101</v>
      </c>
      <c r="G35">
        <v>15.004322</v>
      </c>
      <c r="H35">
        <v>14.181483999999999</v>
      </c>
      <c r="I35">
        <v>13.771516999999999</v>
      </c>
      <c r="J35">
        <v>14.804318</v>
      </c>
      <c r="K35">
        <v>13.612195</v>
      </c>
      <c r="L35">
        <v>15.981118</v>
      </c>
      <c r="M35">
        <v>13.824503</v>
      </c>
      <c r="N35">
        <v>13.66418</v>
      </c>
      <c r="O35">
        <v>13.638686999999999</v>
      </c>
      <c r="P35">
        <v>13.680892</v>
      </c>
      <c r="Q35">
        <v>13.737784</v>
      </c>
      <c r="R35">
        <v>9.8169190000000004</v>
      </c>
      <c r="S35">
        <v>9.4341340000000002</v>
      </c>
      <c r="T35">
        <v>8.2224090000000007</v>
      </c>
      <c r="U35">
        <v>8.3947870000000009</v>
      </c>
      <c r="V35">
        <v>8.7628599999999999</v>
      </c>
      <c r="W35">
        <v>8.7650380000000006</v>
      </c>
      <c r="X35">
        <v>9.5104039999999994</v>
      </c>
      <c r="Y35">
        <v>10.155798000000001</v>
      </c>
      <c r="Z35">
        <v>10.521905</v>
      </c>
      <c r="AA35">
        <v>10.683121999999999</v>
      </c>
      <c r="AB35">
        <v>10.989915999999999</v>
      </c>
      <c r="AC35">
        <v>11.196851000000001</v>
      </c>
      <c r="AD35">
        <v>11.320289000000001</v>
      </c>
      <c r="AE35" s="6">
        <v>-0.29693995337315499</v>
      </c>
    </row>
    <row r="36" spans="1:31" x14ac:dyDescent="0.25">
      <c r="A36" t="s">
        <v>56</v>
      </c>
      <c r="B36" t="s">
        <v>60</v>
      </c>
      <c r="C36" t="s">
        <v>58</v>
      </c>
      <c r="D36">
        <v>1.9289999999999999E-3</v>
      </c>
      <c r="E36">
        <v>1.542E-3</v>
      </c>
      <c r="F36">
        <v>1.92E-4</v>
      </c>
      <c r="G36">
        <v>4.2400000000000001E-4</v>
      </c>
      <c r="H36">
        <v>3.3E-4</v>
      </c>
      <c r="I36">
        <v>7.2000000000000002E-5</v>
      </c>
      <c r="J36">
        <v>6.7000000000000002E-5</v>
      </c>
      <c r="K36">
        <v>7.2999999999999999E-5</v>
      </c>
      <c r="L36">
        <v>1.5E-5</v>
      </c>
      <c r="M36">
        <v>1.5999999999999999E-5</v>
      </c>
      <c r="N36">
        <v>1.7E-5</v>
      </c>
      <c r="O36">
        <v>1.8E-5</v>
      </c>
      <c r="P36">
        <v>2.0999999999999999E-5</v>
      </c>
      <c r="Q36">
        <v>3.4999999999999997E-5</v>
      </c>
      <c r="R36">
        <v>5.1999999999999997E-5</v>
      </c>
      <c r="S36">
        <v>1.2400000000000001E-4</v>
      </c>
      <c r="T36">
        <v>1.26E-4</v>
      </c>
      <c r="U36">
        <v>1.27E-4</v>
      </c>
      <c r="V36">
        <v>1.2799999999999999E-4</v>
      </c>
      <c r="W36">
        <v>1.2999999999999999E-4</v>
      </c>
      <c r="X36">
        <v>1.3100000000000001E-4</v>
      </c>
      <c r="Y36">
        <v>1.3200000000000001E-4</v>
      </c>
      <c r="Z36">
        <v>1.3200000000000001E-4</v>
      </c>
      <c r="AA36">
        <v>1.3200000000000001E-4</v>
      </c>
      <c r="AB36">
        <v>1.3200000000000001E-4</v>
      </c>
      <c r="AC36">
        <v>1.3200000000000001E-4</v>
      </c>
      <c r="AD36">
        <v>1.36E-4</v>
      </c>
      <c r="AE36" s="6">
        <v>-0.92949714878175216</v>
      </c>
    </row>
    <row r="37" spans="1:31" x14ac:dyDescent="0.25">
      <c r="A37" t="s">
        <v>56</v>
      </c>
      <c r="B37" t="s">
        <v>61</v>
      </c>
      <c r="C37" t="s">
        <v>58</v>
      </c>
      <c r="D37">
        <v>5.9550000000000002E-3</v>
      </c>
      <c r="E37">
        <v>5.6559999999999996E-3</v>
      </c>
      <c r="F37">
        <v>2.5110000000000002E-3</v>
      </c>
      <c r="G37">
        <v>3.3600000000000001E-3</v>
      </c>
      <c r="H37">
        <v>2.735E-3</v>
      </c>
      <c r="I37">
        <v>1.9629999999999999E-3</v>
      </c>
      <c r="J37">
        <v>2.7850000000000001E-3</v>
      </c>
      <c r="K37">
        <v>2.4459999999999998E-3</v>
      </c>
      <c r="L37">
        <v>3.14E-3</v>
      </c>
      <c r="M37">
        <v>2.2680000000000001E-3</v>
      </c>
      <c r="N37">
        <v>2.0660000000000001E-3</v>
      </c>
      <c r="O37">
        <v>1.946E-3</v>
      </c>
      <c r="P37">
        <v>2.0140000000000002E-3</v>
      </c>
      <c r="Q37">
        <v>1.9980000000000002E-3</v>
      </c>
      <c r="R37">
        <v>1.7229999999999999E-3</v>
      </c>
      <c r="S37">
        <v>1.73E-3</v>
      </c>
      <c r="T37">
        <v>1.585E-3</v>
      </c>
      <c r="U37">
        <v>1.6360000000000001E-3</v>
      </c>
      <c r="V37">
        <v>1.7639999999999999E-3</v>
      </c>
      <c r="W37">
        <v>1.7619999999999999E-3</v>
      </c>
      <c r="X37">
        <v>2.006E-3</v>
      </c>
      <c r="Y37">
        <v>2.1310000000000001E-3</v>
      </c>
      <c r="Z37">
        <v>2.2659999999999998E-3</v>
      </c>
      <c r="AA37">
        <v>2.369E-3</v>
      </c>
      <c r="AB37">
        <v>2.5100000000000001E-3</v>
      </c>
      <c r="AC37">
        <v>2.5360000000000001E-3</v>
      </c>
      <c r="AD37">
        <v>2.6640000000000001E-3</v>
      </c>
      <c r="AE37" s="6">
        <v>-0.55264483627204031</v>
      </c>
    </row>
    <row r="38" spans="1:31" x14ac:dyDescent="0.25">
      <c r="A38" t="s">
        <v>56</v>
      </c>
      <c r="B38" t="s">
        <v>62</v>
      </c>
      <c r="C38" t="s">
        <v>63</v>
      </c>
      <c r="D38">
        <v>8.2059999999999998E-3</v>
      </c>
      <c r="E38">
        <v>7.3289999999999996E-3</v>
      </c>
      <c r="F38">
        <v>5.5000000000000003E-4</v>
      </c>
      <c r="G38">
        <v>1.8710000000000001E-3</v>
      </c>
      <c r="H38">
        <v>1.426E-3</v>
      </c>
      <c r="I38">
        <v>1.9999999999999999E-6</v>
      </c>
      <c r="J38">
        <v>1.9999999999999999E-6</v>
      </c>
      <c r="K38">
        <v>1.9999999999999999E-6</v>
      </c>
      <c r="L38">
        <v>9.9999999999999995E-7</v>
      </c>
      <c r="M38">
        <v>9.9999999999999995E-7</v>
      </c>
      <c r="N38">
        <v>9.9999999999999995E-7</v>
      </c>
      <c r="O38">
        <v>9.9999999999999995E-7</v>
      </c>
      <c r="P38">
        <v>9.9999999999999995E-7</v>
      </c>
      <c r="Q38">
        <v>9.9999999999999995E-7</v>
      </c>
      <c r="R38">
        <v>0</v>
      </c>
      <c r="S38">
        <v>3.0000000000000001E-6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6">
        <v>-1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28.965828423388341</v>
      </c>
      <c r="E39" s="4" cm="1">
        <f t="array" ref="E39:E42">907185*E34:E37*10^6/(E17*10^9)</f>
        <v>25.799571790679924</v>
      </c>
      <c r="F39" s="4" cm="1">
        <f t="array" ref="F39:F42">907185*F34:F37*10^6/(F17*10^9)</f>
        <v>25.42532849000677</v>
      </c>
      <c r="G39" s="4" cm="1">
        <f t="array" ref="G39:G42">907185*G34:G37*10^6/(G17*10^9)</f>
        <v>26.380464026804376</v>
      </c>
      <c r="H39" s="4" cm="1">
        <f t="array" ref="H39:H42">907185*H34:H37*10^6/(H17*10^9)</f>
        <v>25.208061131638875</v>
      </c>
      <c r="I39" s="4" cm="1">
        <f t="array" ref="I39:I42">907185*I34:I37*10^6/(I17*10^9)</f>
        <v>24.523681821664081</v>
      </c>
      <c r="J39" s="4" cm="1">
        <f t="array" ref="J39:J42">907185*J34:J37*10^6/(J17*10^9)</f>
        <v>25.928564980596672</v>
      </c>
      <c r="K39" s="4" cm="1">
        <f t="array" ref="K39:K42">907185*K34:K37*10^6/(K17*10^9)</f>
        <v>24.317265300260654</v>
      </c>
      <c r="L39" s="4" cm="1">
        <f t="array" ref="L39:L42">907185*L34:L37*10^6/(L17*10^9)</f>
        <v>26.963346712642995</v>
      </c>
      <c r="M39" s="4" cm="1">
        <f t="array" ref="M39:M42">907185*M34:M37*10^6/(M17*10^9)</f>
        <v>23.951190604036096</v>
      </c>
      <c r="N39" s="4" cm="1">
        <f t="array" ref="N39:N42">907185*N34:N37*10^6/(N17*10^9)</f>
        <v>23.701553362084905</v>
      </c>
      <c r="O39" s="4" cm="1">
        <f t="array" ref="O39:O42">907185*O34:O37*10^6/(O17*10^9)</f>
        <v>23.652819991841664</v>
      </c>
      <c r="P39" s="4" cm="1">
        <f t="array" ref="P39:P42">907185*P34:P37*10^6/(P17*10^9)</f>
        <v>23.71907638091005</v>
      </c>
      <c r="Q39" s="4" cm="1">
        <f t="array" ref="Q39:Q42">907185*Q34:Q37*10^6/(Q17*10^9)</f>
        <v>23.791395532952624</v>
      </c>
      <c r="R39" s="4" cm="1">
        <f t="array" ref="R39:R42">907185*R34:R37*10^6/(R17*10^9)</f>
        <v>18.062419644565047</v>
      </c>
      <c r="S39" s="4" cm="1">
        <f t="array" ref="S39:S42">907185*S34:S37*10^6/(S17*10^9)</f>
        <v>16.677271185953732</v>
      </c>
      <c r="T39" s="4" cm="1">
        <f t="array" ref="T39:T42">907185*T34:T37*10^6/(T17*10^9)</f>
        <v>14.686510866371774</v>
      </c>
      <c r="U39" s="4" cm="1">
        <f t="array" ref="U39:U42">907185*U34:U37*10^6/(U17*10^9)</f>
        <v>14.925794838961547</v>
      </c>
      <c r="V39" s="4" cm="1">
        <f t="array" ref="V39:V42">907185*V34:V37*10^6/(V17*10^9)</f>
        <v>15.485193557114926</v>
      </c>
      <c r="W39" s="4" cm="1">
        <f t="array" ref="W39:W42">907185*W34:W37*10^6/(W17*10^9)</f>
        <v>15.490087084838034</v>
      </c>
      <c r="X39" s="4" cm="1">
        <f t="array" ref="X39:X42">907185*X34:X37*10^6/(X17*10^9)</f>
        <v>16.605301919951422</v>
      </c>
      <c r="Y39" s="4" cm="1">
        <f t="array" ref="Y39:Y42">907185*Y34:Y37*10^6/(Y17*10^9)</f>
        <v>17.545088192278833</v>
      </c>
      <c r="Z39" s="4" cm="1">
        <f t="array" ref="Z39:Z42">907185*Z34:Z37*10^6/(Z17*10^9)</f>
        <v>18.077499538265702</v>
      </c>
      <c r="AA39" s="4" cm="1">
        <f t="array" ref="AA39:AA42">907185*AA34:AA37*10^6/(AA17*10^9)</f>
        <v>18.318907564936687</v>
      </c>
      <c r="AB39" s="4" cm="1">
        <f t="array" ref="AB39:AB42">907185*AB34:AB37*10^6/(AB17*10^9)</f>
        <v>18.765905268419178</v>
      </c>
      <c r="AC39" s="4" cm="1">
        <f t="array" ref="AC39:AC42">907185*AC34:AC37*10^6/(AC17*10^9)</f>
        <v>19.066380299640649</v>
      </c>
      <c r="AD39" s="4" cm="1">
        <f t="array" ref="AD39:AD42">907185*AD34:AD37*10^6/(AD17*10^9)</f>
        <v>19.255051263987532</v>
      </c>
      <c r="AE39" s="6" cm="1">
        <f t="array" ref="AE39:AE43">(AD39:AD43-D39:D43)/D39:D43</f>
        <v>-0.33524941933163843</v>
      </c>
    </row>
    <row r="40" spans="1:31" x14ac:dyDescent="0.25">
      <c r="A40" t="s">
        <v>64</v>
      </c>
      <c r="B40" t="s">
        <v>66</v>
      </c>
      <c r="C40" t="s">
        <v>70</v>
      </c>
      <c r="D40" s="4">
        <v>106.20805294350538</v>
      </c>
      <c r="E40" s="4">
        <v>94.598400541521173</v>
      </c>
      <c r="F40" s="4">
        <v>93.22617835708003</v>
      </c>
      <c r="G40" s="4">
        <v>96.728316524707296</v>
      </c>
      <c r="H40" s="4">
        <v>92.429568345381114</v>
      </c>
      <c r="I40" s="4">
        <v>89.920149267622975</v>
      </c>
      <c r="J40" s="4">
        <v>95.071387803871019</v>
      </c>
      <c r="K40" s="4">
        <v>89.163325751715732</v>
      </c>
      <c r="L40" s="4">
        <v>98.86557574316133</v>
      </c>
      <c r="M40" s="4">
        <v>87.821008922072608</v>
      </c>
      <c r="N40" s="4">
        <v>86.905731701619501</v>
      </c>
      <c r="O40" s="4">
        <v>86.727004517120463</v>
      </c>
      <c r="P40" s="4">
        <v>86.96997851520382</v>
      </c>
      <c r="Q40" s="4">
        <v>87.235102137463457</v>
      </c>
      <c r="R40" s="4">
        <v>66.228860786072104</v>
      </c>
      <c r="S40" s="4">
        <v>61.149985706123033</v>
      </c>
      <c r="T40" s="4">
        <v>53.850520195646737</v>
      </c>
      <c r="U40" s="4">
        <v>54.727923101892053</v>
      </c>
      <c r="V40" s="4">
        <v>56.77906464113115</v>
      </c>
      <c r="W40" s="4">
        <v>56.796983817757045</v>
      </c>
      <c r="X40" s="4">
        <v>60.886119843929848</v>
      </c>
      <c r="Y40" s="4">
        <v>64.332015376400207</v>
      </c>
      <c r="Z40" s="4">
        <v>66.284152374372567</v>
      </c>
      <c r="AA40" s="4">
        <v>67.169344504571868</v>
      </c>
      <c r="AB40" s="4">
        <v>68.808361057838468</v>
      </c>
      <c r="AC40" s="4">
        <v>69.910075667377612</v>
      </c>
      <c r="AD40" s="4">
        <v>70.601912844370418</v>
      </c>
      <c r="AE40" s="6">
        <v>-0.33524896759076006</v>
      </c>
    </row>
    <row r="41" spans="1:31" x14ac:dyDescent="0.25">
      <c r="A41" t="s">
        <v>64</v>
      </c>
      <c r="B41" t="s">
        <v>67</v>
      </c>
      <c r="C41" t="s">
        <v>70</v>
      </c>
      <c r="D41" s="4">
        <v>1.2724026918812543E-2</v>
      </c>
      <c r="E41" s="4">
        <v>1.0446802761246864E-2</v>
      </c>
      <c r="F41" s="4">
        <v>1.2531013498545947E-3</v>
      </c>
      <c r="G41" s="4">
        <v>2.7333994969233463E-3</v>
      </c>
      <c r="H41" s="4">
        <v>2.1508156377693455E-3</v>
      </c>
      <c r="I41" s="4">
        <v>4.7011892351938092E-4</v>
      </c>
      <c r="J41" s="4">
        <v>4.3026520930308023E-4</v>
      </c>
      <c r="K41" s="4">
        <v>4.781684937569031E-4</v>
      </c>
      <c r="L41" s="4">
        <v>9.2795988124699409E-5</v>
      </c>
      <c r="M41" s="4">
        <v>1.0164098794388208E-4</v>
      </c>
      <c r="N41" s="4">
        <v>1.0812192454487071E-4</v>
      </c>
      <c r="O41" s="4">
        <v>1.1446014424322285E-4</v>
      </c>
      <c r="P41" s="4">
        <v>1.3349784128251869E-4</v>
      </c>
      <c r="Q41" s="4">
        <v>2.2225044263406824E-4</v>
      </c>
      <c r="R41" s="4">
        <v>3.5081279176040359E-4</v>
      </c>
      <c r="S41" s="4">
        <v>8.0374078082410714E-4</v>
      </c>
      <c r="T41" s="4">
        <v>8.2520409099711388E-4</v>
      </c>
      <c r="U41" s="4">
        <v>8.2794789599072486E-4</v>
      </c>
      <c r="V41" s="4">
        <v>8.2937765456309769E-4</v>
      </c>
      <c r="W41" s="4">
        <v>8.4239314151386615E-4</v>
      </c>
      <c r="X41" s="4">
        <v>8.3866907226599538E-4</v>
      </c>
      <c r="Y41" s="4">
        <v>8.3615546800801146E-4</v>
      </c>
      <c r="Z41" s="4">
        <v>8.3155171173063995E-4</v>
      </c>
      <c r="AA41" s="4">
        <v>8.2994029971795601E-4</v>
      </c>
      <c r="AB41" s="4">
        <v>8.2645796925423997E-4</v>
      </c>
      <c r="AC41" s="4">
        <v>8.2417190226911539E-4</v>
      </c>
      <c r="AD41" s="4">
        <v>8.4819920647205874E-4</v>
      </c>
      <c r="AE41" s="6">
        <v>-0.93333877616857353</v>
      </c>
    </row>
    <row r="42" spans="1:31" x14ac:dyDescent="0.25">
      <c r="A42" t="s">
        <v>64</v>
      </c>
      <c r="B42" t="s">
        <v>68</v>
      </c>
      <c r="C42" t="s">
        <v>70</v>
      </c>
      <c r="D42" s="4">
        <v>3.9280238621839651E-2</v>
      </c>
      <c r="E42" s="4">
        <v>3.8318493137232339E-2</v>
      </c>
      <c r="F42" s="4">
        <v>1.6388216091067127E-2</v>
      </c>
      <c r="G42" s="4">
        <v>2.1660901673732177E-2</v>
      </c>
      <c r="H42" s="4">
        <v>1.7825699300906543E-2</v>
      </c>
      <c r="I42" s="4">
        <v>1.2817270095396453E-2</v>
      </c>
      <c r="J42" s="4">
        <v>1.7884904595657888E-2</v>
      </c>
      <c r="K42" s="4">
        <v>1.6021919667525825E-2</v>
      </c>
      <c r="L42" s="4">
        <v>1.9425293514103742E-2</v>
      </c>
      <c r="M42" s="4">
        <v>1.4407610041045288E-2</v>
      </c>
      <c r="N42" s="4">
        <v>1.3139993888806052E-2</v>
      </c>
      <c r="O42" s="4">
        <v>1.2374413372072872E-2</v>
      </c>
      <c r="P42" s="4">
        <v>1.2803078682999652E-2</v>
      </c>
      <c r="Q42" s="4">
        <v>1.2687325268081957E-2</v>
      </c>
      <c r="R42" s="4">
        <v>1.1624046926984141E-2</v>
      </c>
      <c r="S42" s="4">
        <v>1.1213480248594396E-2</v>
      </c>
      <c r="T42" s="4">
        <v>1.0380543525638298E-2</v>
      </c>
      <c r="U42" s="4">
        <v>1.0665533526305717E-2</v>
      </c>
      <c r="V42" s="4">
        <v>1.1429860801947692E-2</v>
      </c>
      <c r="W42" s="4">
        <v>1.1417667041134096E-2</v>
      </c>
      <c r="X42" s="4">
        <v>1.2842520297447226E-2</v>
      </c>
      <c r="Y42" s="4">
        <v>1.3498843199432365E-2</v>
      </c>
      <c r="Z42" s="4">
        <v>1.4274971051375982E-2</v>
      </c>
      <c r="AA42" s="4">
        <v>1.4894913409332102E-2</v>
      </c>
      <c r="AB42" s="4">
        <v>1.5715223506273805E-2</v>
      </c>
      <c r="AC42" s="4">
        <v>1.5834090486018759E-2</v>
      </c>
      <c r="AD42" s="4">
        <v>1.6614725632658565E-2</v>
      </c>
      <c r="AE42" s="6">
        <v>-0.57702075609538572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5.4128234782672739E-8</v>
      </c>
      <c r="E43" s="5">
        <f>907185*E38/(E17*10^9)</f>
        <v>4.9652799894408731E-8</v>
      </c>
      <c r="F43" s="5">
        <f>907185*F38/(F17*10^9)</f>
        <v>3.5896132417709746E-9</v>
      </c>
      <c r="G43" s="5">
        <f>907185*G38/(G17*10^9)</f>
        <v>1.2061769949866936E-8</v>
      </c>
      <c r="H43" s="5">
        <f>907185*H38/(H17*10^9)</f>
        <v>9.2941306044214746E-9</v>
      </c>
      <c r="I43" s="5">
        <f>907185*I38/(I17*10^9)</f>
        <v>1.305885898664947E-11</v>
      </c>
      <c r="J43" s="5">
        <f>907185*J38/(J17*10^9)</f>
        <v>1.2843737591136721E-11</v>
      </c>
      <c r="K43" s="5">
        <f>907185*K38/(K17*10^9)</f>
        <v>1.3100506678271318E-11</v>
      </c>
      <c r="L43" s="5">
        <f>907185*L38/(L17*10^9)</f>
        <v>6.1863992083132935E-12</v>
      </c>
      <c r="M43" s="5">
        <f>907185*M38/(M17*10^9)</f>
        <v>6.3525617464926297E-12</v>
      </c>
      <c r="N43" s="5">
        <f>907185*N38/(N17*10^9)</f>
        <v>6.3601132085218056E-12</v>
      </c>
      <c r="O43" s="5">
        <f>907185*O38/(O17*10^9)</f>
        <v>6.3588969024012691E-12</v>
      </c>
      <c r="P43" s="5">
        <f>907185*P38/(P17*10^9)</f>
        <v>6.3570400610723192E-12</v>
      </c>
      <c r="Q43" s="5">
        <f>907185*Q38/(Q17*10^9)</f>
        <v>6.3500126466876645E-12</v>
      </c>
      <c r="R43" s="5">
        <f>907185*R38/(R17*10^9)</f>
        <v>0</v>
      </c>
      <c r="S43" s="5">
        <f>907185*S38/(S17*10^9)</f>
        <v>1.9445341471550975E-11</v>
      </c>
      <c r="T43" s="5">
        <f>907185*T38/(T17*10^9)</f>
        <v>0</v>
      </c>
      <c r="U43" s="5">
        <f>907185*U38/(U17*10^9)</f>
        <v>0</v>
      </c>
      <c r="V43" s="5">
        <f>907185*V38/(V17*10^9)</f>
        <v>0</v>
      </c>
      <c r="W43" s="5">
        <f>907185*W38/(W17*10^9)</f>
        <v>0</v>
      </c>
      <c r="X43" s="5">
        <f>907185*X38/(X17*10^9)</f>
        <v>0</v>
      </c>
      <c r="Y43" s="5">
        <f>907185*Y38/(Y17*10^9)</f>
        <v>0</v>
      </c>
      <c r="Z43" s="5">
        <f>907185*Z38/(Z17*10^9)</f>
        <v>0</v>
      </c>
      <c r="AA43" s="5">
        <f>907185*AA38/(AA17*10^9)</f>
        <v>0</v>
      </c>
      <c r="AB43" s="5">
        <f>907185*AB38/(AB17*10^9)</f>
        <v>0</v>
      </c>
      <c r="AC43" s="5">
        <f>907185*AC38/(AC17*10^9)</f>
        <v>0</v>
      </c>
      <c r="AD43" s="5">
        <f>907185*AD38/(AD17*10^9)</f>
        <v>0</v>
      </c>
      <c r="AE43" s="6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7.270308</v>
      </c>
      <c r="E2">
        <v>10.360336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0.203043</v>
      </c>
      <c r="E3">
        <v>0.21575900000000001</v>
      </c>
      <c r="F3">
        <v>0.15190899999999999</v>
      </c>
      <c r="G3">
        <v>0.124611</v>
      </c>
      <c r="H3">
        <v>0.124754</v>
      </c>
      <c r="I3">
        <v>0.105305</v>
      </c>
      <c r="J3">
        <v>8.3058000000000007E-2</v>
      </c>
      <c r="K3">
        <v>8.2569000000000004E-2</v>
      </c>
      <c r="L3">
        <v>8.2830000000000001E-2</v>
      </c>
      <c r="M3">
        <v>7.6952000000000007E-2</v>
      </c>
      <c r="N3">
        <v>7.6550000000000007E-2</v>
      </c>
      <c r="O3">
        <v>7.4600000000000003E-4</v>
      </c>
      <c r="P3">
        <v>8.9999999999999998E-4</v>
      </c>
      <c r="Q3">
        <v>1.2279999999999999E-3</v>
      </c>
      <c r="R3">
        <v>1.5989999999999999E-3</v>
      </c>
      <c r="S3">
        <v>1.0790000000000001E-3</v>
      </c>
      <c r="T3">
        <v>1.1039999999999999E-3</v>
      </c>
      <c r="U3">
        <v>1.0200000000000001E-3</v>
      </c>
      <c r="V3">
        <v>8.0099999999999995E-4</v>
      </c>
      <c r="W3">
        <v>7.4100000000000001E-4</v>
      </c>
      <c r="X3">
        <v>8.6600000000000002E-4</v>
      </c>
      <c r="Y3">
        <v>1.1E-4</v>
      </c>
      <c r="Z3">
        <v>1.9000000000000001E-4</v>
      </c>
      <c r="AA3">
        <v>1.3899999999999999E-4</v>
      </c>
      <c r="AB3">
        <v>2.72E-4</v>
      </c>
      <c r="AC3">
        <v>3.3000000000000003E-5</v>
      </c>
      <c r="AD3">
        <v>3.3000000000000003E-5</v>
      </c>
      <c r="AE3" s="6">
        <v>-0.99983747285057845</v>
      </c>
    </row>
    <row r="4" spans="1:31" x14ac:dyDescent="0.25">
      <c r="A4" t="s">
        <v>28</v>
      </c>
      <c r="B4" t="s">
        <v>32</v>
      </c>
      <c r="C4" t="s">
        <v>30</v>
      </c>
      <c r="D4">
        <v>54.498469999999998</v>
      </c>
      <c r="E4">
        <v>60.941608000000002</v>
      </c>
      <c r="F4">
        <v>61.860500000000002</v>
      </c>
      <c r="G4">
        <v>61.185299000000001</v>
      </c>
      <c r="H4">
        <v>61.734959000000003</v>
      </c>
      <c r="I4">
        <v>61.187308999999999</v>
      </c>
      <c r="J4">
        <v>58.9529</v>
      </c>
      <c r="K4">
        <v>58.350327</v>
      </c>
      <c r="L4">
        <v>63.171619</v>
      </c>
      <c r="M4">
        <v>61.284531000000001</v>
      </c>
      <c r="N4">
        <v>62.231955999999997</v>
      </c>
      <c r="O4">
        <v>57.148021999999997</v>
      </c>
      <c r="P4">
        <v>53.227432</v>
      </c>
      <c r="Q4">
        <v>54.906395000000003</v>
      </c>
      <c r="R4">
        <v>53.695591</v>
      </c>
      <c r="S4">
        <v>48.555878</v>
      </c>
      <c r="T4">
        <v>54.486041999999998</v>
      </c>
      <c r="U4">
        <v>56.161102</v>
      </c>
      <c r="V4">
        <v>55.519947000000002</v>
      </c>
      <c r="W4">
        <v>47.033473999999998</v>
      </c>
      <c r="X4">
        <v>45.601447999999998</v>
      </c>
      <c r="Y4">
        <v>41.743819999999999</v>
      </c>
      <c r="Z4">
        <v>40.641815000000001</v>
      </c>
      <c r="AA4">
        <v>40.515762000000002</v>
      </c>
      <c r="AB4">
        <v>40.248328999999998</v>
      </c>
      <c r="AC4">
        <v>40.722423999999997</v>
      </c>
      <c r="AD4">
        <v>39.809722999999998</v>
      </c>
      <c r="AE4" s="6">
        <v>-0.26952586008377849</v>
      </c>
    </row>
    <row r="5" spans="1:31" x14ac:dyDescent="0.25">
      <c r="A5" t="s">
        <v>28</v>
      </c>
      <c r="B5" t="s">
        <v>33</v>
      </c>
      <c r="C5" t="s">
        <v>30</v>
      </c>
      <c r="D5">
        <v>28.872747</v>
      </c>
      <c r="E5">
        <v>29.320326000000001</v>
      </c>
      <c r="F5">
        <v>29.253589999999999</v>
      </c>
      <c r="G5">
        <v>29.186851999999998</v>
      </c>
      <c r="H5">
        <v>29.186851999999998</v>
      </c>
      <c r="I5">
        <v>29.186851999999998</v>
      </c>
      <c r="J5">
        <v>29.186851999999998</v>
      </c>
      <c r="K5">
        <v>29.182344000000001</v>
      </c>
      <c r="L5">
        <v>29.182825000000001</v>
      </c>
      <c r="M5">
        <v>29.186851999999998</v>
      </c>
      <c r="N5">
        <v>29.186851999999998</v>
      </c>
      <c r="O5">
        <v>29.186851999999998</v>
      </c>
      <c r="P5">
        <v>29.186851999999998</v>
      </c>
      <c r="Q5">
        <v>29.186851999999998</v>
      </c>
      <c r="R5">
        <v>29.186851999999998</v>
      </c>
      <c r="S5">
        <v>29.186851999999998</v>
      </c>
      <c r="T5">
        <v>29.186851999999998</v>
      </c>
      <c r="U5">
        <v>29.186851999999998</v>
      </c>
      <c r="V5">
        <v>29.186851999999998</v>
      </c>
      <c r="W5">
        <v>29.186851999999998</v>
      </c>
      <c r="X5">
        <v>29.186851999999998</v>
      </c>
      <c r="Y5">
        <v>29.186851999999998</v>
      </c>
      <c r="Z5">
        <v>29.186851999999998</v>
      </c>
      <c r="AA5">
        <v>29.186851999999998</v>
      </c>
      <c r="AB5">
        <v>29.186851999999998</v>
      </c>
      <c r="AC5">
        <v>29.186851999999998</v>
      </c>
      <c r="AD5">
        <v>29.186851999999998</v>
      </c>
      <c r="AE5" s="6">
        <v>1.0878944078303247E-2</v>
      </c>
    </row>
    <row r="6" spans="1:31" x14ac:dyDescent="0.25">
      <c r="A6" t="s">
        <v>28</v>
      </c>
      <c r="B6" t="s">
        <v>34</v>
      </c>
      <c r="C6" t="s">
        <v>30</v>
      </c>
      <c r="D6">
        <v>-0.40115899999999999</v>
      </c>
      <c r="E6">
        <v>-0.47350999999999999</v>
      </c>
      <c r="F6">
        <v>-0.54814099999999999</v>
      </c>
      <c r="G6">
        <v>-0.60006199999999998</v>
      </c>
      <c r="H6">
        <v>-0.64457799999999998</v>
      </c>
      <c r="I6">
        <v>-0.68682799999999999</v>
      </c>
      <c r="J6">
        <v>-0.79912000000000005</v>
      </c>
      <c r="K6">
        <v>-0.83247899999999997</v>
      </c>
      <c r="L6">
        <v>-0.93119499999999999</v>
      </c>
      <c r="M6">
        <v>-0.95870100000000003</v>
      </c>
      <c r="N6">
        <v>-0.90507400000000005</v>
      </c>
      <c r="O6">
        <v>-1.0270379999999999</v>
      </c>
      <c r="P6">
        <v>-1.191692</v>
      </c>
      <c r="Q6">
        <v>-1.1724250000000001</v>
      </c>
      <c r="R6">
        <v>-1.208097</v>
      </c>
      <c r="S6">
        <v>-1.2081090000000001</v>
      </c>
      <c r="T6">
        <v>-1.2131460000000001</v>
      </c>
      <c r="U6">
        <v>-1.217519</v>
      </c>
      <c r="V6">
        <v>-1.2132449999999999</v>
      </c>
      <c r="W6">
        <v>-1.2117180000000001</v>
      </c>
      <c r="X6">
        <v>-1.2122580000000001</v>
      </c>
      <c r="Y6">
        <v>-1.2111609999999999</v>
      </c>
      <c r="Z6">
        <v>-1.211946</v>
      </c>
      <c r="AA6">
        <v>-1.210709</v>
      </c>
      <c r="AB6">
        <v>-1.237778</v>
      </c>
      <c r="AC6">
        <v>-1.269857</v>
      </c>
      <c r="AD6">
        <v>-1.298419</v>
      </c>
      <c r="AE6" s="6">
        <v>2.2366692508456745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1.1389290000000001</v>
      </c>
      <c r="E8">
        <v>1.2362280000000001</v>
      </c>
      <c r="F8">
        <v>1.2811429999999999</v>
      </c>
      <c r="G8">
        <v>1.330511</v>
      </c>
      <c r="H8">
        <v>1.330603</v>
      </c>
      <c r="I8">
        <v>1.3313390000000001</v>
      </c>
      <c r="J8">
        <v>1.3307059999999999</v>
      </c>
      <c r="K8">
        <v>1.331555</v>
      </c>
      <c r="L8">
        <v>1.32877</v>
      </c>
      <c r="M8">
        <v>1.3289930000000001</v>
      </c>
      <c r="N8">
        <v>1.329007</v>
      </c>
      <c r="O8">
        <v>1.3294790000000001</v>
      </c>
      <c r="P8">
        <v>1.3301350000000001</v>
      </c>
      <c r="Q8">
        <v>1.3333060000000001</v>
      </c>
      <c r="R8">
        <v>1.3335399999999999</v>
      </c>
      <c r="S8">
        <v>1.333653</v>
      </c>
      <c r="T8">
        <v>1.334252</v>
      </c>
      <c r="U8">
        <v>1.3328880000000001</v>
      </c>
      <c r="V8">
        <v>1.333029</v>
      </c>
      <c r="W8">
        <v>1.332662</v>
      </c>
      <c r="X8">
        <v>1.3326979999999999</v>
      </c>
      <c r="Y8">
        <v>1.2891049999999999</v>
      </c>
      <c r="Z8">
        <v>1.239676</v>
      </c>
      <c r="AA8">
        <v>1.23231</v>
      </c>
      <c r="AB8">
        <v>1.23366</v>
      </c>
      <c r="AC8">
        <v>1.232008</v>
      </c>
      <c r="AD8">
        <v>1.242624</v>
      </c>
      <c r="AE8" s="6">
        <v>9.104606169480263E-2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3.8131999999999999E-2</v>
      </c>
      <c r="E10">
        <v>4.6358999999999997E-2</v>
      </c>
      <c r="F10">
        <v>5.4609999999999999E-2</v>
      </c>
      <c r="G10">
        <v>6.3143000000000005E-2</v>
      </c>
      <c r="H10">
        <v>7.2977E-2</v>
      </c>
      <c r="I10">
        <v>8.0982999999999999E-2</v>
      </c>
      <c r="J10">
        <v>8.8459999999999997E-2</v>
      </c>
      <c r="K10">
        <v>9.6529000000000004E-2</v>
      </c>
      <c r="L10">
        <v>0.10508099999999999</v>
      </c>
      <c r="M10">
        <v>0.113908</v>
      </c>
      <c r="N10">
        <v>0.121279</v>
      </c>
      <c r="O10">
        <v>0.128612</v>
      </c>
      <c r="P10">
        <v>0.13610900000000001</v>
      </c>
      <c r="Q10">
        <v>0.14402999999999999</v>
      </c>
      <c r="R10">
        <v>0.15204400000000001</v>
      </c>
      <c r="S10">
        <v>0.157721</v>
      </c>
      <c r="T10">
        <v>0.174488</v>
      </c>
      <c r="U10">
        <v>0.180446</v>
      </c>
      <c r="V10">
        <v>0.18665399999999999</v>
      </c>
      <c r="W10">
        <v>0.193074</v>
      </c>
      <c r="X10">
        <v>0.19639899999999999</v>
      </c>
      <c r="Y10">
        <v>0.15176100000000001</v>
      </c>
      <c r="Z10">
        <v>0.16244</v>
      </c>
      <c r="AA10">
        <v>0.16580900000000001</v>
      </c>
      <c r="AB10">
        <v>6.3231999999999997E-2</v>
      </c>
      <c r="AC10">
        <v>6.3231999999999997E-2</v>
      </c>
      <c r="AD10">
        <v>0</v>
      </c>
      <c r="AE10" s="6">
        <v>-1</v>
      </c>
    </row>
    <row r="11" spans="1:31" x14ac:dyDescent="0.25">
      <c r="A11" t="s">
        <v>28</v>
      </c>
      <c r="B11" t="s">
        <v>39</v>
      </c>
      <c r="C11" t="s">
        <v>30</v>
      </c>
      <c r="D11">
        <v>1.1494180000000001</v>
      </c>
      <c r="E11">
        <v>1.1511849999999999</v>
      </c>
      <c r="F11">
        <v>1.1405860000000001</v>
      </c>
      <c r="G11">
        <v>1.1405860000000001</v>
      </c>
      <c r="H11">
        <v>0.55729799999999996</v>
      </c>
      <c r="I11">
        <v>0.25670999999999999</v>
      </c>
      <c r="J11">
        <v>0.25670999999999999</v>
      </c>
      <c r="K11">
        <v>0.25670999999999999</v>
      </c>
      <c r="L11">
        <v>0.25670999999999999</v>
      </c>
      <c r="M11">
        <v>0.25670999999999999</v>
      </c>
      <c r="N11">
        <v>0.25670999999999999</v>
      </c>
      <c r="O11">
        <v>0.25670999999999999</v>
      </c>
      <c r="P11">
        <v>0.25670999999999999</v>
      </c>
      <c r="Q11">
        <v>0.25670999999999999</v>
      </c>
      <c r="R11">
        <v>0.25670999999999999</v>
      </c>
      <c r="S11">
        <v>0.25670999999999999</v>
      </c>
      <c r="T11">
        <v>0.25670999999999999</v>
      </c>
      <c r="U11">
        <v>0.25670999999999999</v>
      </c>
      <c r="V11">
        <v>0.25670999999999999</v>
      </c>
      <c r="W11">
        <v>0.25670999999999999</v>
      </c>
      <c r="X11">
        <v>0.25670999999999999</v>
      </c>
      <c r="Y11">
        <v>0.25670999999999999</v>
      </c>
      <c r="Z11">
        <v>0.25670999999999999</v>
      </c>
      <c r="AA11">
        <v>0.25670999999999999</v>
      </c>
      <c r="AB11">
        <v>0.25670999999999999</v>
      </c>
      <c r="AC11">
        <v>0.25670999999999999</v>
      </c>
      <c r="AD11">
        <v>0.25670999999999999</v>
      </c>
      <c r="AE11" s="6">
        <v>-0.77666088403000477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9.3890790000000006</v>
      </c>
      <c r="E13">
        <v>10.830310000000001</v>
      </c>
      <c r="F13">
        <v>14.378204999999999</v>
      </c>
      <c r="G13">
        <v>15.091234999999999</v>
      </c>
      <c r="H13">
        <v>15.088105000000001</v>
      </c>
      <c r="I13">
        <v>15.083591999999999</v>
      </c>
      <c r="J13">
        <v>15.065454000000001</v>
      </c>
      <c r="K13">
        <v>15.081277</v>
      </c>
      <c r="L13">
        <v>15.058989</v>
      </c>
      <c r="M13">
        <v>15.057582999999999</v>
      </c>
      <c r="N13">
        <v>15.073465000000001</v>
      </c>
      <c r="O13">
        <v>15.072291</v>
      </c>
      <c r="P13">
        <v>23.767188999999998</v>
      </c>
      <c r="Q13">
        <v>25.950861</v>
      </c>
      <c r="R13">
        <v>25.949324000000001</v>
      </c>
      <c r="S13">
        <v>25.943079000000001</v>
      </c>
      <c r="T13">
        <v>25.934528</v>
      </c>
      <c r="U13">
        <v>25.916557000000001</v>
      </c>
      <c r="V13">
        <v>35.848694000000002</v>
      </c>
      <c r="W13">
        <v>50.048713999999997</v>
      </c>
      <c r="X13">
        <v>53.635406000000003</v>
      </c>
      <c r="Y13">
        <v>65.533195000000006</v>
      </c>
      <c r="Z13">
        <v>77.311561999999995</v>
      </c>
      <c r="AA13">
        <v>79.491767999999993</v>
      </c>
      <c r="AB13">
        <v>80.502921999999998</v>
      </c>
      <c r="AC13">
        <v>80.803321999999994</v>
      </c>
      <c r="AD13">
        <v>81.414360000000002</v>
      </c>
      <c r="AE13" s="6">
        <v>7.6711763741683292</v>
      </c>
    </row>
    <row r="14" spans="1:31" x14ac:dyDescent="0.25">
      <c r="A14" t="s">
        <v>28</v>
      </c>
      <c r="B14" t="s">
        <v>42</v>
      </c>
      <c r="C14" t="s">
        <v>30</v>
      </c>
      <c r="D14">
        <v>1.541334</v>
      </c>
      <c r="E14">
        <v>1.8601989999999999</v>
      </c>
      <c r="F14">
        <v>1.9231119999999999</v>
      </c>
      <c r="G14">
        <v>1.987263</v>
      </c>
      <c r="H14">
        <v>1.987665</v>
      </c>
      <c r="I14">
        <v>1.987714</v>
      </c>
      <c r="J14">
        <v>1.987746</v>
      </c>
      <c r="K14">
        <v>1.986639</v>
      </c>
      <c r="L14">
        <v>1.9866349999999999</v>
      </c>
      <c r="M14">
        <v>1.9869490000000001</v>
      </c>
      <c r="N14">
        <v>1.9862359999999999</v>
      </c>
      <c r="O14">
        <v>1.9861150000000001</v>
      </c>
      <c r="P14">
        <v>1.986602</v>
      </c>
      <c r="Q14">
        <v>1.987133</v>
      </c>
      <c r="R14">
        <v>1.987417</v>
      </c>
      <c r="S14">
        <v>1.987439</v>
      </c>
      <c r="T14">
        <v>1.98777</v>
      </c>
      <c r="U14">
        <v>1.98777</v>
      </c>
      <c r="V14">
        <v>1.9875430000000001</v>
      </c>
      <c r="W14">
        <v>1.987255</v>
      </c>
      <c r="X14">
        <v>1.9871799999999999</v>
      </c>
      <c r="Y14">
        <v>1.9518390000000001</v>
      </c>
      <c r="Z14">
        <v>1.8005599999999999</v>
      </c>
      <c r="AA14">
        <v>1.8044100000000001</v>
      </c>
      <c r="AB14">
        <v>1.806514</v>
      </c>
      <c r="AC14">
        <v>1.7964169999999999</v>
      </c>
      <c r="AD14">
        <v>1.814619</v>
      </c>
      <c r="AE14" s="6">
        <v>0.17730420531825031</v>
      </c>
    </row>
    <row r="15" spans="1:31" x14ac:dyDescent="0.25">
      <c r="A15" t="s">
        <v>28</v>
      </c>
      <c r="B15" t="s">
        <v>43</v>
      </c>
      <c r="C15" t="s">
        <v>30</v>
      </c>
      <c r="D15">
        <v>4.7553999999999999E-2</v>
      </c>
      <c r="E15">
        <v>1.5375749999999999</v>
      </c>
      <c r="F15">
        <v>3.5564550000000001</v>
      </c>
      <c r="G15">
        <v>5.7135740000000004</v>
      </c>
      <c r="H15">
        <v>7.753336</v>
      </c>
      <c r="I15">
        <v>9.7931419999999996</v>
      </c>
      <c r="J15">
        <v>11.836769</v>
      </c>
      <c r="K15">
        <v>13.871797000000001</v>
      </c>
      <c r="L15">
        <v>15.915330000000001</v>
      </c>
      <c r="M15">
        <v>17.949525999999999</v>
      </c>
      <c r="N15">
        <v>19.995628</v>
      </c>
      <c r="O15">
        <v>20.403991999999999</v>
      </c>
      <c r="P15">
        <v>20.404291000000001</v>
      </c>
      <c r="Q15">
        <v>20.396757000000001</v>
      </c>
      <c r="R15">
        <v>20.400258999999998</v>
      </c>
      <c r="S15">
        <v>20.407807999999999</v>
      </c>
      <c r="T15">
        <v>20.408111999999999</v>
      </c>
      <c r="U15">
        <v>20.408111999999999</v>
      </c>
      <c r="V15">
        <v>20.400480000000002</v>
      </c>
      <c r="W15">
        <v>20.400801000000001</v>
      </c>
      <c r="X15">
        <v>20.400185</v>
      </c>
      <c r="Y15">
        <v>19.998566</v>
      </c>
      <c r="Z15">
        <v>18.157301</v>
      </c>
      <c r="AA15">
        <v>17.971648999999999</v>
      </c>
      <c r="AB15">
        <v>18.015615</v>
      </c>
      <c r="AC15">
        <v>17.962944</v>
      </c>
      <c r="AD15">
        <v>18.486022999999999</v>
      </c>
      <c r="AE15" s="6">
        <v>387.73749842284559</v>
      </c>
    </row>
    <row r="16" spans="1:31" x14ac:dyDescent="0.25">
      <c r="A16" t="s">
        <v>28</v>
      </c>
      <c r="B16" s="8" t="s">
        <v>44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7.9719999999999999E-3</v>
      </c>
      <c r="M16">
        <v>7.9719999999999999E-3</v>
      </c>
      <c r="N16">
        <v>7.9719999999999999E-3</v>
      </c>
      <c r="O16">
        <v>7.9719999999999999E-3</v>
      </c>
      <c r="P16">
        <v>7.9719999999999999E-3</v>
      </c>
      <c r="Q16">
        <v>7.9719999999999999E-3</v>
      </c>
      <c r="R16">
        <v>1.2139E-2</v>
      </c>
      <c r="S16">
        <v>2.3309E-2</v>
      </c>
      <c r="T16">
        <v>2.7550999999999999E-2</v>
      </c>
      <c r="U16">
        <v>3.1777E-2</v>
      </c>
      <c r="V16">
        <v>3.5068000000000002E-2</v>
      </c>
      <c r="W16">
        <v>3.9854000000000001E-2</v>
      </c>
      <c r="X16">
        <v>4.3936000000000003E-2</v>
      </c>
      <c r="Y16">
        <v>4.8112000000000002E-2</v>
      </c>
      <c r="Z16">
        <v>5.8487999999999998E-2</v>
      </c>
      <c r="AA16">
        <v>6.8330000000000002E-2</v>
      </c>
      <c r="AB16">
        <v>7.6713000000000003E-2</v>
      </c>
      <c r="AC16">
        <v>8.9331999999999995E-2</v>
      </c>
      <c r="AD16">
        <v>0.100548</v>
      </c>
      <c r="AE16" s="6" t="e">
        <v>#DIV/0!</v>
      </c>
    </row>
    <row r="17" spans="1:31" x14ac:dyDescent="0.25">
      <c r="A17" t="s">
        <v>28</v>
      </c>
      <c r="B17" s="8" t="s">
        <v>45</v>
      </c>
      <c r="C17" t="s">
        <v>30</v>
      </c>
      <c r="D17">
        <v>103.747849</v>
      </c>
      <c r="E17">
        <v>117.026375</v>
      </c>
      <c r="F17">
        <v>113.05197099999999</v>
      </c>
      <c r="G17">
        <v>115.223022</v>
      </c>
      <c r="H17">
        <v>117.19197800000001</v>
      </c>
      <c r="I17">
        <v>118.326111</v>
      </c>
      <c r="J17">
        <v>117.989532</v>
      </c>
      <c r="K17">
        <v>119.40727200000001</v>
      </c>
      <c r="L17">
        <v>126.165565</v>
      </c>
      <c r="M17">
        <v>126.291275</v>
      </c>
      <c r="N17">
        <v>129.36058</v>
      </c>
      <c r="O17">
        <v>124.493752</v>
      </c>
      <c r="P17">
        <v>129.11248800000001</v>
      </c>
      <c r="Q17">
        <v>132.99880999999999</v>
      </c>
      <c r="R17">
        <v>131.76738</v>
      </c>
      <c r="S17">
        <v>126.645416</v>
      </c>
      <c r="T17">
        <v>132.584259</v>
      </c>
      <c r="U17">
        <v>134.245712</v>
      </c>
      <c r="V17">
        <v>143.54252600000001</v>
      </c>
      <c r="W17">
        <v>149.26843299999999</v>
      </c>
      <c r="X17">
        <v>151.429428</v>
      </c>
      <c r="Y17">
        <v>158.94889800000001</v>
      </c>
      <c r="Z17">
        <v>167.60365300000001</v>
      </c>
      <c r="AA17">
        <v>169.48303200000001</v>
      </c>
      <c r="AB17">
        <v>170.15303</v>
      </c>
      <c r="AC17">
        <v>170.843414</v>
      </c>
      <c r="AD17">
        <v>171.013092</v>
      </c>
      <c r="AE17" s="6">
        <v>0.64835313356713542</v>
      </c>
    </row>
    <row r="18" spans="1:31" x14ac:dyDescent="0.25">
      <c r="A18" t="s">
        <v>74</v>
      </c>
      <c r="B18" t="s">
        <v>46</v>
      </c>
      <c r="C18" t="s">
        <v>47</v>
      </c>
      <c r="D18">
        <v>15.365641</v>
      </c>
      <c r="E18">
        <v>14.771972</v>
      </c>
      <c r="F18">
        <v>13.713816</v>
      </c>
      <c r="G18">
        <v>13.111552</v>
      </c>
      <c r="H18">
        <v>12.996319</v>
      </c>
      <c r="I18">
        <v>13.033113</v>
      </c>
      <c r="J18">
        <v>13.065153</v>
      </c>
      <c r="K18">
        <v>13.098894</v>
      </c>
      <c r="L18">
        <v>13.175088000000001</v>
      </c>
      <c r="M18">
        <v>13.432283999999999</v>
      </c>
      <c r="N18">
        <v>13.584364000000001</v>
      </c>
      <c r="O18">
        <v>13.552258</v>
      </c>
      <c r="P18">
        <v>13.514281</v>
      </c>
      <c r="Q18">
        <v>13.44074</v>
      </c>
      <c r="R18">
        <v>13.310185000000001</v>
      </c>
      <c r="S18">
        <v>13.180978</v>
      </c>
      <c r="T18">
        <v>13.074012</v>
      </c>
      <c r="U18">
        <v>13.046939</v>
      </c>
      <c r="V18">
        <v>13.095331</v>
      </c>
      <c r="W18">
        <v>13.156014000000001</v>
      </c>
      <c r="X18">
        <v>13.037734</v>
      </c>
      <c r="Y18">
        <v>13.017776</v>
      </c>
      <c r="Z18">
        <v>13.130893</v>
      </c>
      <c r="AA18">
        <v>13.231724</v>
      </c>
      <c r="AB18">
        <v>13.239470000000001</v>
      </c>
      <c r="AC18">
        <v>13.331416000000001</v>
      </c>
      <c r="AD18">
        <v>13.345157</v>
      </c>
      <c r="AE18" s="6" cm="1">
        <f t="array" ref="AE18:AE22">(AD18:AD22-D18:D22)/D18:D22</f>
        <v>-0.13149363570318998</v>
      </c>
    </row>
    <row r="19" spans="1:31" x14ac:dyDescent="0.25">
      <c r="A19" t="s">
        <v>74</v>
      </c>
      <c r="B19" t="s">
        <v>48</v>
      </c>
      <c r="C19" t="s">
        <v>47</v>
      </c>
      <c r="D19">
        <v>9.6679119999999994</v>
      </c>
      <c r="E19">
        <v>9.2309370000000008</v>
      </c>
      <c r="F19">
        <v>8.5748770000000007</v>
      </c>
      <c r="G19">
        <v>8.1663250000000005</v>
      </c>
      <c r="H19">
        <v>8.1058719999999997</v>
      </c>
      <c r="I19">
        <v>8.1155690000000007</v>
      </c>
      <c r="J19">
        <v>8.1176700000000004</v>
      </c>
      <c r="K19">
        <v>8.1209000000000007</v>
      </c>
      <c r="L19">
        <v>8.1478269999999995</v>
      </c>
      <c r="M19">
        <v>8.2957689999999999</v>
      </c>
      <c r="N19">
        <v>8.372681</v>
      </c>
      <c r="O19">
        <v>8.3272290000000009</v>
      </c>
      <c r="P19">
        <v>8.2779880000000006</v>
      </c>
      <c r="Q19">
        <v>8.2104490000000006</v>
      </c>
      <c r="R19">
        <v>8.1034780000000008</v>
      </c>
      <c r="S19">
        <v>7.9913790000000002</v>
      </c>
      <c r="T19">
        <v>7.8973500000000003</v>
      </c>
      <c r="U19">
        <v>7.8576629999999996</v>
      </c>
      <c r="V19">
        <v>7.8832110000000002</v>
      </c>
      <c r="W19">
        <v>7.8777850000000003</v>
      </c>
      <c r="X19">
        <v>7.772824</v>
      </c>
      <c r="Y19">
        <v>7.7311389999999998</v>
      </c>
      <c r="Z19">
        <v>7.7735529999999997</v>
      </c>
      <c r="AA19">
        <v>7.8077399999999999</v>
      </c>
      <c r="AB19">
        <v>7.7903760000000002</v>
      </c>
      <c r="AC19">
        <v>7.8041520000000002</v>
      </c>
      <c r="AD19">
        <v>7.7777260000000004</v>
      </c>
      <c r="AE19" s="6">
        <v>-0.19551129551034382</v>
      </c>
    </row>
    <row r="20" spans="1:31" x14ac:dyDescent="0.25">
      <c r="A20" t="s">
        <v>74</v>
      </c>
      <c r="B20" t="s">
        <v>49</v>
      </c>
      <c r="C20" t="s">
        <v>47</v>
      </c>
      <c r="D20">
        <v>9.5781969999999994</v>
      </c>
      <c r="E20">
        <v>9.057321</v>
      </c>
      <c r="F20">
        <v>8.1785979999999991</v>
      </c>
      <c r="G20">
        <v>7.7839270000000003</v>
      </c>
      <c r="H20">
        <v>7.6879749999999998</v>
      </c>
      <c r="I20">
        <v>7.6943890000000001</v>
      </c>
      <c r="J20">
        <v>7.6938630000000003</v>
      </c>
      <c r="K20">
        <v>7.6891220000000002</v>
      </c>
      <c r="L20">
        <v>7.7417360000000004</v>
      </c>
      <c r="M20">
        <v>7.9491849999999999</v>
      </c>
      <c r="N20">
        <v>8.0144000000000002</v>
      </c>
      <c r="O20">
        <v>7.9820690000000001</v>
      </c>
      <c r="P20">
        <v>7.9681639999999998</v>
      </c>
      <c r="Q20">
        <v>7.8959580000000003</v>
      </c>
      <c r="R20">
        <v>7.799963</v>
      </c>
      <c r="S20">
        <v>7.694356</v>
      </c>
      <c r="T20">
        <v>7.6099870000000003</v>
      </c>
      <c r="U20">
        <v>7.5859389999999998</v>
      </c>
      <c r="V20">
        <v>7.6213579999999999</v>
      </c>
      <c r="W20">
        <v>7.607723</v>
      </c>
      <c r="X20">
        <v>7.4758889999999996</v>
      </c>
      <c r="Y20">
        <v>7.4600239999999998</v>
      </c>
      <c r="Z20">
        <v>7.5098419999999999</v>
      </c>
      <c r="AA20">
        <v>7.5548229999999998</v>
      </c>
      <c r="AB20">
        <v>7.5316929999999997</v>
      </c>
      <c r="AC20">
        <v>7.5727659999999997</v>
      </c>
      <c r="AD20">
        <v>7.5317780000000001</v>
      </c>
      <c r="AE20" s="6">
        <v>-0.21365388496394461</v>
      </c>
    </row>
    <row r="21" spans="1:31" x14ac:dyDescent="0.25">
      <c r="A21" t="s">
        <v>74</v>
      </c>
      <c r="B21" t="s">
        <v>50</v>
      </c>
      <c r="C21" t="s">
        <v>47</v>
      </c>
      <c r="D21">
        <v>11.869669</v>
      </c>
      <c r="E21">
        <v>11.360300000000001</v>
      </c>
      <c r="F21">
        <v>10.545436</v>
      </c>
      <c r="G21">
        <v>10.003868000000001</v>
      </c>
      <c r="H21">
        <v>9.9030670000000001</v>
      </c>
      <c r="I21">
        <v>9.9018359999999994</v>
      </c>
      <c r="J21">
        <v>9.9026230000000002</v>
      </c>
      <c r="K21">
        <v>9.9011139999999997</v>
      </c>
      <c r="L21">
        <v>9.9361899999999999</v>
      </c>
      <c r="M21">
        <v>10.110048000000001</v>
      </c>
      <c r="N21">
        <v>10.214005</v>
      </c>
      <c r="O21">
        <v>10.158844</v>
      </c>
      <c r="P21">
        <v>10.090591</v>
      </c>
      <c r="Q21">
        <v>10.003253000000001</v>
      </c>
      <c r="R21">
        <v>9.8633489999999995</v>
      </c>
      <c r="S21">
        <v>9.7267019999999995</v>
      </c>
      <c r="T21">
        <v>9.6044029999999996</v>
      </c>
      <c r="U21">
        <v>9.5440319999999996</v>
      </c>
      <c r="V21">
        <v>9.5581829999999997</v>
      </c>
      <c r="W21">
        <v>9.5572979999999994</v>
      </c>
      <c r="X21">
        <v>9.4268169999999998</v>
      </c>
      <c r="Y21">
        <v>9.360716</v>
      </c>
      <c r="Z21">
        <v>9.4043329999999994</v>
      </c>
      <c r="AA21">
        <v>9.4371480000000005</v>
      </c>
      <c r="AB21">
        <v>9.4046620000000001</v>
      </c>
      <c r="AC21">
        <v>9.4122520000000005</v>
      </c>
      <c r="AD21">
        <v>9.3771780000000007</v>
      </c>
      <c r="AE21" s="6">
        <v>-0.20998824819799097</v>
      </c>
    </row>
    <row r="22" spans="1:31" x14ac:dyDescent="0.25">
      <c r="A22" t="s">
        <v>74</v>
      </c>
      <c r="B22" t="s">
        <v>51</v>
      </c>
      <c r="C22" t="s">
        <v>47</v>
      </c>
      <c r="D22">
        <v>11.802016999999999</v>
      </c>
      <c r="E22">
        <v>11.25004</v>
      </c>
      <c r="F22">
        <v>10.438006</v>
      </c>
      <c r="G22">
        <v>9.9692129999999999</v>
      </c>
      <c r="H22">
        <v>9.8941130000000008</v>
      </c>
      <c r="I22">
        <v>9.9070889999999991</v>
      </c>
      <c r="J22">
        <v>9.9126270000000005</v>
      </c>
      <c r="K22">
        <v>9.9162409999999994</v>
      </c>
      <c r="L22">
        <v>9.9533170000000002</v>
      </c>
      <c r="M22">
        <v>10.140058</v>
      </c>
      <c r="N22">
        <v>10.233905</v>
      </c>
      <c r="O22">
        <v>10.186951000000001</v>
      </c>
      <c r="P22">
        <v>10.139652999999999</v>
      </c>
      <c r="Q22">
        <v>10.063919</v>
      </c>
      <c r="R22">
        <v>9.9447980000000005</v>
      </c>
      <c r="S22">
        <v>9.8233320000000006</v>
      </c>
      <c r="T22">
        <v>9.7216280000000008</v>
      </c>
      <c r="U22">
        <v>9.6839049999999993</v>
      </c>
      <c r="V22">
        <v>9.7258379999999995</v>
      </c>
      <c r="W22">
        <v>9.7285160000000008</v>
      </c>
      <c r="X22">
        <v>9.6114979999999992</v>
      </c>
      <c r="Y22">
        <v>9.5754509999999993</v>
      </c>
      <c r="Z22">
        <v>9.6376349999999995</v>
      </c>
      <c r="AA22">
        <v>9.6897120000000001</v>
      </c>
      <c r="AB22">
        <v>9.6822440000000007</v>
      </c>
      <c r="AC22">
        <v>9.7091600000000007</v>
      </c>
      <c r="AD22">
        <v>9.6870250000000002</v>
      </c>
      <c r="AE22" s="6">
        <v>-0.17920597809679475</v>
      </c>
    </row>
    <row r="23" spans="1:31" x14ac:dyDescent="0.25">
      <c r="A23" t="s">
        <v>75</v>
      </c>
      <c r="B23" t="s">
        <v>46</v>
      </c>
      <c r="C23" t="s">
        <v>52</v>
      </c>
      <c r="D23">
        <v>15.365641</v>
      </c>
      <c r="E23">
        <v>15.083062</v>
      </c>
      <c r="F23">
        <v>14.258210999999999</v>
      </c>
      <c r="G23">
        <v>13.869844000000001</v>
      </c>
      <c r="H23">
        <v>14.014943000000001</v>
      </c>
      <c r="I23">
        <v>14.326319</v>
      </c>
      <c r="J23">
        <v>14.658545</v>
      </c>
      <c r="K23">
        <v>15.029009</v>
      </c>
      <c r="L23">
        <v>15.466364</v>
      </c>
      <c r="M23">
        <v>16.151496999999999</v>
      </c>
      <c r="N23">
        <v>16.733029999999999</v>
      </c>
      <c r="O23">
        <v>17.096084999999999</v>
      </c>
      <c r="P23">
        <v>17.447433</v>
      </c>
      <c r="Q23">
        <v>17.74579</v>
      </c>
      <c r="R23">
        <v>17.952978000000002</v>
      </c>
      <c r="S23">
        <v>18.148606999999998</v>
      </c>
      <c r="T23">
        <v>18.373213</v>
      </c>
      <c r="U23">
        <v>18.710111999999999</v>
      </c>
      <c r="V23">
        <v>19.16169</v>
      </c>
      <c r="W23">
        <v>19.643401999999998</v>
      </c>
      <c r="X23">
        <v>19.862369999999999</v>
      </c>
      <c r="Y23">
        <v>20.240884999999999</v>
      </c>
      <c r="Z23">
        <v>20.838111999999999</v>
      </c>
      <c r="AA23">
        <v>21.441853999999999</v>
      </c>
      <c r="AB23">
        <v>21.916163999999998</v>
      </c>
      <c r="AC23">
        <v>22.547118999999999</v>
      </c>
      <c r="AD23">
        <v>23.068062000000001</v>
      </c>
      <c r="AE23" s="6" cm="1">
        <f t="array" ref="AE23:AE27">(AD23:AD27-D23:D27)/D23:D27</f>
        <v>0.50127560574921681</v>
      </c>
    </row>
    <row r="24" spans="1:31" x14ac:dyDescent="0.25">
      <c r="A24" t="s">
        <v>75</v>
      </c>
      <c r="B24" t="s">
        <v>48</v>
      </c>
      <c r="C24" t="s">
        <v>52</v>
      </c>
      <c r="D24">
        <v>9.6679119999999994</v>
      </c>
      <c r="E24">
        <v>9.4253359999999997</v>
      </c>
      <c r="F24">
        <v>8.9152729999999991</v>
      </c>
      <c r="G24">
        <v>8.6386149999999997</v>
      </c>
      <c r="H24">
        <v>8.7411940000000001</v>
      </c>
      <c r="I24">
        <v>8.9208339999999993</v>
      </c>
      <c r="J24">
        <v>9.1076800000000002</v>
      </c>
      <c r="K24">
        <v>9.3175109999999997</v>
      </c>
      <c r="L24">
        <v>9.5648140000000001</v>
      </c>
      <c r="M24">
        <v>9.9751519999999996</v>
      </c>
      <c r="N24">
        <v>10.313351000000001</v>
      </c>
      <c r="O24">
        <v>10.504745</v>
      </c>
      <c r="P24">
        <v>10.687187</v>
      </c>
      <c r="Q24">
        <v>10.840244</v>
      </c>
      <c r="R24">
        <v>10.930094</v>
      </c>
      <c r="S24">
        <v>11.003159999999999</v>
      </c>
      <c r="T24">
        <v>11.098330000000001</v>
      </c>
      <c r="U24">
        <v>11.268373</v>
      </c>
      <c r="V24">
        <v>11.535076</v>
      </c>
      <c r="W24">
        <v>11.762415000000001</v>
      </c>
      <c r="X24">
        <v>11.841529</v>
      </c>
      <c r="Y24">
        <v>12.020877</v>
      </c>
      <c r="Z24">
        <v>12.336264999999999</v>
      </c>
      <c r="AA24">
        <v>12.652350999999999</v>
      </c>
      <c r="AB24">
        <v>12.895921</v>
      </c>
      <c r="AC24">
        <v>13.198983</v>
      </c>
      <c r="AD24">
        <v>13.444357999999999</v>
      </c>
      <c r="AE24" s="6">
        <v>0.39061650540468307</v>
      </c>
    </row>
    <row r="25" spans="1:31" x14ac:dyDescent="0.25">
      <c r="A25" t="s">
        <v>75</v>
      </c>
      <c r="B25" t="s">
        <v>49</v>
      </c>
      <c r="C25" t="s">
        <v>52</v>
      </c>
      <c r="D25">
        <v>9.5781969999999994</v>
      </c>
      <c r="E25">
        <v>9.2480630000000001</v>
      </c>
      <c r="F25">
        <v>8.5032630000000005</v>
      </c>
      <c r="G25">
        <v>8.234102</v>
      </c>
      <c r="H25">
        <v>8.2905429999999996</v>
      </c>
      <c r="I25">
        <v>8.4578620000000004</v>
      </c>
      <c r="J25">
        <v>8.6321870000000001</v>
      </c>
      <c r="K25">
        <v>8.8221100000000003</v>
      </c>
      <c r="L25">
        <v>9.0880989999999997</v>
      </c>
      <c r="M25">
        <v>9.5584059999999997</v>
      </c>
      <c r="N25">
        <v>9.872026</v>
      </c>
      <c r="O25">
        <v>10.069328000000001</v>
      </c>
      <c r="P25">
        <v>10.287193</v>
      </c>
      <c r="Q25">
        <v>10.425022999999999</v>
      </c>
      <c r="R25">
        <v>10.520707</v>
      </c>
      <c r="S25">
        <v>10.594194999999999</v>
      </c>
      <c r="T25">
        <v>10.694490999999999</v>
      </c>
      <c r="U25">
        <v>10.878703</v>
      </c>
      <c r="V25">
        <v>11.15192</v>
      </c>
      <c r="W25">
        <v>11.359181</v>
      </c>
      <c r="X25">
        <v>11.389161</v>
      </c>
      <c r="Y25">
        <v>11.599329000000001</v>
      </c>
      <c r="Z25">
        <v>11.917768000000001</v>
      </c>
      <c r="AA25">
        <v>12.242502999999999</v>
      </c>
      <c r="AB25">
        <v>12.467708</v>
      </c>
      <c r="AC25">
        <v>12.807646999999999</v>
      </c>
      <c r="AD25">
        <v>13.019219</v>
      </c>
      <c r="AE25" s="6">
        <v>0.35925571378412874</v>
      </c>
    </row>
    <row r="26" spans="1:31" x14ac:dyDescent="0.25">
      <c r="A26" t="s">
        <v>75</v>
      </c>
      <c r="B26" t="s">
        <v>50</v>
      </c>
      <c r="C26" t="s">
        <v>52</v>
      </c>
      <c r="D26">
        <v>11.869669</v>
      </c>
      <c r="E26">
        <v>11.599543000000001</v>
      </c>
      <c r="F26">
        <v>10.964057</v>
      </c>
      <c r="G26">
        <v>10.582431</v>
      </c>
      <c r="H26">
        <v>10.679247999999999</v>
      </c>
      <c r="I26">
        <v>10.884342</v>
      </c>
      <c r="J26">
        <v>11.110322</v>
      </c>
      <c r="K26">
        <v>11.360037999999999</v>
      </c>
      <c r="L26">
        <v>11.66419</v>
      </c>
      <c r="M26">
        <v>12.156712000000001</v>
      </c>
      <c r="N26">
        <v>12.581469999999999</v>
      </c>
      <c r="O26">
        <v>12.815315999999999</v>
      </c>
      <c r="P26">
        <v>13.027324999999999</v>
      </c>
      <c r="Q26">
        <v>13.207281</v>
      </c>
      <c r="R26">
        <v>13.303834</v>
      </c>
      <c r="S26">
        <v>13.392488</v>
      </c>
      <c r="T26">
        <v>13.49729</v>
      </c>
      <c r="U26">
        <v>13.686728</v>
      </c>
      <c r="V26">
        <v>13.985970999999999</v>
      </c>
      <c r="W26">
        <v>14.270115000000001</v>
      </c>
      <c r="X26">
        <v>14.361307999999999</v>
      </c>
      <c r="Y26">
        <v>14.554648</v>
      </c>
      <c r="Z26">
        <v>14.924236000000001</v>
      </c>
      <c r="AA26">
        <v>15.292789000000001</v>
      </c>
      <c r="AB26">
        <v>15.568155000000001</v>
      </c>
      <c r="AC26">
        <v>15.918727000000001</v>
      </c>
      <c r="AD26">
        <v>16.209126000000001</v>
      </c>
      <c r="AE26" s="6">
        <v>0.3655920818011017</v>
      </c>
    </row>
    <row r="27" spans="1:31" x14ac:dyDescent="0.25">
      <c r="A27" t="s">
        <v>75</v>
      </c>
      <c r="B27" t="s">
        <v>51</v>
      </c>
      <c r="C27" t="s">
        <v>52</v>
      </c>
      <c r="D27">
        <v>11.802016999999999</v>
      </c>
      <c r="E27">
        <v>11.48696</v>
      </c>
      <c r="F27">
        <v>10.852363</v>
      </c>
      <c r="G27">
        <v>10.545771999999999</v>
      </c>
      <c r="H27">
        <v>10.669592</v>
      </c>
      <c r="I27">
        <v>10.890117</v>
      </c>
      <c r="J27">
        <v>11.121546</v>
      </c>
      <c r="K27">
        <v>11.377393</v>
      </c>
      <c r="L27">
        <v>11.684297000000001</v>
      </c>
      <c r="M27">
        <v>12.192796</v>
      </c>
      <c r="N27">
        <v>12.605981</v>
      </c>
      <c r="O27">
        <v>12.850773</v>
      </c>
      <c r="P27">
        <v>13.090665</v>
      </c>
      <c r="Q27">
        <v>13.287378</v>
      </c>
      <c r="R27">
        <v>13.413691999999999</v>
      </c>
      <c r="S27">
        <v>13.525536000000001</v>
      </c>
      <c r="T27">
        <v>13.662029</v>
      </c>
      <c r="U27">
        <v>13.887314999999999</v>
      </c>
      <c r="V27">
        <v>14.231292</v>
      </c>
      <c r="W27">
        <v>14.525763</v>
      </c>
      <c r="X27">
        <v>14.642661</v>
      </c>
      <c r="Y27">
        <v>14.888533000000001</v>
      </c>
      <c r="Z27">
        <v>15.294477000000001</v>
      </c>
      <c r="AA27">
        <v>15.702064999999999</v>
      </c>
      <c r="AB27">
        <v>16.027654999999999</v>
      </c>
      <c r="AC27">
        <v>16.420878999999999</v>
      </c>
      <c r="AD27">
        <v>16.744719</v>
      </c>
      <c r="AE27" s="6">
        <v>0.41880146419040076</v>
      </c>
    </row>
    <row r="28" spans="1:31" x14ac:dyDescent="0.25">
      <c r="A28" t="s">
        <v>76</v>
      </c>
      <c r="B28" t="s">
        <v>53</v>
      </c>
      <c r="C28" t="s">
        <v>47</v>
      </c>
      <c r="D28">
        <v>8.4763439999999992</v>
      </c>
      <c r="E28">
        <v>8.0498860000000008</v>
      </c>
      <c r="F28">
        <v>7.2355479999999996</v>
      </c>
      <c r="G28">
        <v>6.6981210000000004</v>
      </c>
      <c r="H28">
        <v>6.5553780000000001</v>
      </c>
      <c r="I28">
        <v>6.4958229999999997</v>
      </c>
      <c r="J28">
        <v>6.440817</v>
      </c>
      <c r="K28">
        <v>6.3915749999999996</v>
      </c>
      <c r="L28">
        <v>6.384061</v>
      </c>
      <c r="M28">
        <v>6.5295300000000003</v>
      </c>
      <c r="N28">
        <v>6.5877460000000001</v>
      </c>
      <c r="O28">
        <v>6.5012610000000004</v>
      </c>
      <c r="P28">
        <v>6.4141139999999996</v>
      </c>
      <c r="Q28">
        <v>6.2889980000000003</v>
      </c>
      <c r="R28">
        <v>6.1404540000000001</v>
      </c>
      <c r="S28">
        <v>5.9878030000000004</v>
      </c>
      <c r="T28">
        <v>5.8576750000000004</v>
      </c>
      <c r="U28">
        <v>5.7774700000000001</v>
      </c>
      <c r="V28">
        <v>5.7483709999999997</v>
      </c>
      <c r="W28">
        <v>5.6695099999999998</v>
      </c>
      <c r="X28">
        <v>5.4825999999999997</v>
      </c>
      <c r="Y28">
        <v>5.3866509999999996</v>
      </c>
      <c r="Z28">
        <v>5.3705030000000002</v>
      </c>
      <c r="AA28">
        <v>5.3651400000000002</v>
      </c>
      <c r="AB28">
        <v>5.3201039999999997</v>
      </c>
      <c r="AC28">
        <v>5.3185269999999996</v>
      </c>
      <c r="AD28">
        <v>5.2680389999999999</v>
      </c>
      <c r="AE28" s="6" cm="1">
        <f t="array" ref="AE28:AE30">(AD28:AD30-D28:D30)/D28:D30</f>
        <v>-0.37850103771154164</v>
      </c>
    </row>
    <row r="29" spans="1:31" x14ac:dyDescent="0.25">
      <c r="A29" t="s">
        <v>76</v>
      </c>
      <c r="B29" t="s">
        <v>54</v>
      </c>
      <c r="C29" t="s">
        <v>47</v>
      </c>
      <c r="D29">
        <v>1.4075930000000001</v>
      </c>
      <c r="E29">
        <v>1.378633</v>
      </c>
      <c r="F29">
        <v>1.413397</v>
      </c>
      <c r="G29">
        <v>1.466631</v>
      </c>
      <c r="H29">
        <v>1.5168159999999999</v>
      </c>
      <c r="I29">
        <v>1.56914</v>
      </c>
      <c r="J29">
        <v>1.6133980000000001</v>
      </c>
      <c r="K29">
        <v>1.6528659999999999</v>
      </c>
      <c r="L29">
        <v>1.687144</v>
      </c>
      <c r="M29">
        <v>1.7191050000000001</v>
      </c>
      <c r="N29">
        <v>1.7451159999999999</v>
      </c>
      <c r="O29">
        <v>1.7754190000000001</v>
      </c>
      <c r="P29">
        <v>1.806597</v>
      </c>
      <c r="Q29">
        <v>1.8480760000000001</v>
      </c>
      <c r="R29">
        <v>1.866646</v>
      </c>
      <c r="S29">
        <v>1.883623</v>
      </c>
      <c r="T29">
        <v>1.8966730000000001</v>
      </c>
      <c r="U29">
        <v>1.922579</v>
      </c>
      <c r="V29">
        <v>1.9720869999999999</v>
      </c>
      <c r="W29">
        <v>2.0354290000000002</v>
      </c>
      <c r="X29">
        <v>2.0895160000000002</v>
      </c>
      <c r="Y29">
        <v>2.1302449999999999</v>
      </c>
      <c r="Z29">
        <v>2.1878099999999998</v>
      </c>
      <c r="AA29">
        <v>2.2238060000000002</v>
      </c>
      <c r="AB29">
        <v>2.237133</v>
      </c>
      <c r="AC29">
        <v>2.2464249999999999</v>
      </c>
      <c r="AD29">
        <v>2.2586409999999999</v>
      </c>
      <c r="AE29" s="6">
        <v>0.60461227073450896</v>
      </c>
    </row>
    <row r="30" spans="1:31" x14ac:dyDescent="0.25">
      <c r="A30" t="s">
        <v>76</v>
      </c>
      <c r="B30" t="s">
        <v>55</v>
      </c>
      <c r="C30" t="s">
        <v>47</v>
      </c>
      <c r="D30">
        <v>1.9180809999999999</v>
      </c>
      <c r="E30">
        <v>1.8215220000000001</v>
      </c>
      <c r="F30">
        <v>1.7890619999999999</v>
      </c>
      <c r="G30">
        <v>1.8044610000000001</v>
      </c>
      <c r="H30">
        <v>1.8219179999999999</v>
      </c>
      <c r="I30">
        <v>1.842125</v>
      </c>
      <c r="J30">
        <v>1.858412</v>
      </c>
      <c r="K30">
        <v>1.871799</v>
      </c>
      <c r="L30">
        <v>1.882112</v>
      </c>
      <c r="M30">
        <v>1.8914230000000001</v>
      </c>
      <c r="N30">
        <v>1.9010419999999999</v>
      </c>
      <c r="O30">
        <v>1.9102710000000001</v>
      </c>
      <c r="P30">
        <v>1.9189430000000001</v>
      </c>
      <c r="Q30">
        <v>1.9268460000000001</v>
      </c>
      <c r="R30">
        <v>1.937697</v>
      </c>
      <c r="S30">
        <v>1.9519059999999999</v>
      </c>
      <c r="T30">
        <v>1.9672810000000001</v>
      </c>
      <c r="U30">
        <v>1.9838560000000001</v>
      </c>
      <c r="V30">
        <v>2.005379</v>
      </c>
      <c r="W30">
        <v>2.0235759999999998</v>
      </c>
      <c r="X30">
        <v>2.0393829999999999</v>
      </c>
      <c r="Y30">
        <v>2.0585559999999998</v>
      </c>
      <c r="Z30">
        <v>2.0793219999999999</v>
      </c>
      <c r="AA30">
        <v>2.1007660000000001</v>
      </c>
      <c r="AB30">
        <v>2.1250070000000001</v>
      </c>
      <c r="AC30">
        <v>2.1442070000000002</v>
      </c>
      <c r="AD30">
        <v>2.160345</v>
      </c>
      <c r="AE30" s="6">
        <v>0.12630540628888981</v>
      </c>
    </row>
    <row r="31" spans="1:31" x14ac:dyDescent="0.25">
      <c r="A31" t="s">
        <v>77</v>
      </c>
      <c r="B31" t="s">
        <v>53</v>
      </c>
      <c r="C31" t="s">
        <v>52</v>
      </c>
      <c r="D31">
        <v>8.4763439999999992</v>
      </c>
      <c r="E31">
        <v>8.2194120000000002</v>
      </c>
      <c r="F31">
        <v>7.5227760000000004</v>
      </c>
      <c r="G31">
        <v>7.0854990000000004</v>
      </c>
      <c r="H31">
        <v>7.0691750000000004</v>
      </c>
      <c r="I31">
        <v>7.1403689999999997</v>
      </c>
      <c r="J31">
        <v>7.2263229999999998</v>
      </c>
      <c r="K31">
        <v>7.3333709999999996</v>
      </c>
      <c r="L31">
        <v>7.4943119999999999</v>
      </c>
      <c r="M31">
        <v>7.8513580000000003</v>
      </c>
      <c r="N31">
        <v>8.1146940000000001</v>
      </c>
      <c r="O31">
        <v>8.2012990000000006</v>
      </c>
      <c r="P31">
        <v>8.2808569999999992</v>
      </c>
      <c r="Q31">
        <v>8.3033549999999998</v>
      </c>
      <c r="R31">
        <v>8.2823370000000001</v>
      </c>
      <c r="S31">
        <v>8.2444769999999998</v>
      </c>
      <c r="T31">
        <v>8.2319270000000007</v>
      </c>
      <c r="U31">
        <v>8.2852479999999993</v>
      </c>
      <c r="V31">
        <v>8.4112799999999996</v>
      </c>
      <c r="W31">
        <v>8.4652130000000003</v>
      </c>
      <c r="X31">
        <v>8.3524799999999999</v>
      </c>
      <c r="Y31">
        <v>8.3755140000000008</v>
      </c>
      <c r="Z31">
        <v>8.5227369999999993</v>
      </c>
      <c r="AA31">
        <v>8.6941469999999992</v>
      </c>
      <c r="AB31">
        <v>8.806718</v>
      </c>
      <c r="AC31">
        <v>8.9951030000000003</v>
      </c>
      <c r="AD31">
        <v>9.1061840000000007</v>
      </c>
      <c r="AE31" s="6" cm="1">
        <f t="array" ref="AE31:AE33">(AD31:AD33-D31:D33)/D31:D33</f>
        <v>7.4305620442020937E-2</v>
      </c>
    </row>
    <row r="32" spans="1:31" x14ac:dyDescent="0.25">
      <c r="A32" t="s">
        <v>77</v>
      </c>
      <c r="B32" t="s">
        <v>54</v>
      </c>
      <c r="C32" t="s">
        <v>52</v>
      </c>
      <c r="D32">
        <v>1.4075930000000001</v>
      </c>
      <c r="E32">
        <v>1.4076660000000001</v>
      </c>
      <c r="F32">
        <v>1.4695039999999999</v>
      </c>
      <c r="G32">
        <v>1.5514520000000001</v>
      </c>
      <c r="H32">
        <v>1.6357010000000001</v>
      </c>
      <c r="I32">
        <v>1.7248380000000001</v>
      </c>
      <c r="J32">
        <v>1.810163</v>
      </c>
      <c r="K32">
        <v>1.896415</v>
      </c>
      <c r="L32">
        <v>1.9805550000000001</v>
      </c>
      <c r="M32">
        <v>2.0671189999999999</v>
      </c>
      <c r="N32">
        <v>2.14961</v>
      </c>
      <c r="O32">
        <v>2.2396799999999999</v>
      </c>
      <c r="P32">
        <v>2.3323830000000001</v>
      </c>
      <c r="Q32">
        <v>2.4400119999999998</v>
      </c>
      <c r="R32">
        <v>2.51776</v>
      </c>
      <c r="S32">
        <v>2.5935199999999998</v>
      </c>
      <c r="T32">
        <v>2.665438</v>
      </c>
      <c r="U32">
        <v>2.7570960000000002</v>
      </c>
      <c r="V32">
        <v>2.8856480000000002</v>
      </c>
      <c r="W32">
        <v>3.0391240000000002</v>
      </c>
      <c r="X32">
        <v>3.1832780000000001</v>
      </c>
      <c r="Y32">
        <v>3.312243</v>
      </c>
      <c r="Z32">
        <v>3.4719530000000001</v>
      </c>
      <c r="AA32">
        <v>3.6036510000000002</v>
      </c>
      <c r="AB32">
        <v>3.7032729999999998</v>
      </c>
      <c r="AC32">
        <v>3.7993269999999999</v>
      </c>
      <c r="AD32">
        <v>3.904223</v>
      </c>
      <c r="AE32" s="6">
        <v>1.7736874224296366</v>
      </c>
    </row>
    <row r="33" spans="1:31" x14ac:dyDescent="0.25">
      <c r="A33" t="s">
        <v>77</v>
      </c>
      <c r="B33" t="s">
        <v>55</v>
      </c>
      <c r="C33" t="s">
        <v>52</v>
      </c>
      <c r="D33">
        <v>1.9180809999999999</v>
      </c>
      <c r="E33">
        <v>1.859882</v>
      </c>
      <c r="F33">
        <v>1.860082</v>
      </c>
      <c r="G33">
        <v>1.90882</v>
      </c>
      <c r="H33">
        <v>1.9647159999999999</v>
      </c>
      <c r="I33">
        <v>2.0249100000000002</v>
      </c>
      <c r="J33">
        <v>2.0850590000000002</v>
      </c>
      <c r="K33">
        <v>2.1476069999999998</v>
      </c>
      <c r="L33">
        <v>2.2094299999999998</v>
      </c>
      <c r="M33">
        <v>2.2743199999999999</v>
      </c>
      <c r="N33">
        <v>2.3416769999999998</v>
      </c>
      <c r="O33">
        <v>2.4097949999999999</v>
      </c>
      <c r="P33">
        <v>2.4774259999999999</v>
      </c>
      <c r="Q33">
        <v>2.5440119999999999</v>
      </c>
      <c r="R33">
        <v>2.6135950000000001</v>
      </c>
      <c r="S33">
        <v>2.6875369999999998</v>
      </c>
      <c r="T33">
        <v>2.7646660000000001</v>
      </c>
      <c r="U33">
        <v>2.8449710000000001</v>
      </c>
      <c r="V33">
        <v>2.9343629999999998</v>
      </c>
      <c r="W33">
        <v>3.0214259999999999</v>
      </c>
      <c r="X33">
        <v>3.1069040000000001</v>
      </c>
      <c r="Y33">
        <v>3.200777</v>
      </c>
      <c r="Z33">
        <v>3.2997869999999998</v>
      </c>
      <c r="AA33">
        <v>3.4042680000000001</v>
      </c>
      <c r="AB33">
        <v>3.5176639999999999</v>
      </c>
      <c r="AC33">
        <v>3.626449</v>
      </c>
      <c r="AD33">
        <v>3.7343120000000001</v>
      </c>
      <c r="AE33" s="6">
        <v>0.94690005270893163</v>
      </c>
    </row>
    <row r="34" spans="1:31" x14ac:dyDescent="0.25">
      <c r="A34" t="s">
        <v>56</v>
      </c>
      <c r="B34" t="s">
        <v>57</v>
      </c>
      <c r="C34" t="s">
        <v>58</v>
      </c>
      <c r="D34">
        <v>8.6208709999999993</v>
      </c>
      <c r="E34">
        <v>10.250596</v>
      </c>
      <c r="F34">
        <v>7.5579499999999999</v>
      </c>
      <c r="G34">
        <v>7.4510959999999997</v>
      </c>
      <c r="H34">
        <v>7.4750730000000001</v>
      </c>
      <c r="I34">
        <v>7.3897409999999999</v>
      </c>
      <c r="J34">
        <v>7.1376369999999998</v>
      </c>
      <c r="K34">
        <v>7.0648540000000004</v>
      </c>
      <c r="L34">
        <v>7.7388399999999997</v>
      </c>
      <c r="M34">
        <v>7.4639090000000001</v>
      </c>
      <c r="N34">
        <v>7.3648920000000002</v>
      </c>
      <c r="O34">
        <v>6.6200190000000001</v>
      </c>
      <c r="P34">
        <v>6.0076369999999999</v>
      </c>
      <c r="Q34">
        <v>5.6147840000000002</v>
      </c>
      <c r="R34">
        <v>5.3725009999999997</v>
      </c>
      <c r="S34">
        <v>4.5197390000000004</v>
      </c>
      <c r="T34">
        <v>5.343998</v>
      </c>
      <c r="U34">
        <v>5.5419409999999996</v>
      </c>
      <c r="V34">
        <v>5.4022880000000004</v>
      </c>
      <c r="W34">
        <v>4.3233220000000001</v>
      </c>
      <c r="X34">
        <v>4.1270949999999997</v>
      </c>
      <c r="Y34">
        <v>3.6283379999999998</v>
      </c>
      <c r="Z34">
        <v>3.5002879999999998</v>
      </c>
      <c r="AA34">
        <v>3.4870190000000001</v>
      </c>
      <c r="AB34">
        <v>3.4613010000000002</v>
      </c>
      <c r="AC34">
        <v>3.5195539999999998</v>
      </c>
      <c r="AD34">
        <v>3.5870289999999998</v>
      </c>
      <c r="AE34" s="6" cm="1">
        <f t="array" ref="AE34:AE38">(AD34:AD38-D34:D38)/D34:D38</f>
        <v>-0.58391338879795329</v>
      </c>
    </row>
    <row r="35" spans="1:31" x14ac:dyDescent="0.25">
      <c r="A35" t="s">
        <v>56</v>
      </c>
      <c r="B35" t="s">
        <v>59</v>
      </c>
      <c r="C35" t="s">
        <v>58</v>
      </c>
      <c r="D35">
        <v>31.609870999999998</v>
      </c>
      <c r="E35">
        <v>37.585521999999997</v>
      </c>
      <c r="F35">
        <v>27.712492000000001</v>
      </c>
      <c r="G35">
        <v>27.320688000000001</v>
      </c>
      <c r="H35">
        <v>27.408607</v>
      </c>
      <c r="I35">
        <v>27.095725999999999</v>
      </c>
      <c r="J35">
        <v>26.171317999999999</v>
      </c>
      <c r="K35">
        <v>25.904461000000001</v>
      </c>
      <c r="L35">
        <v>28.375745999999999</v>
      </c>
      <c r="M35">
        <v>27.367674000000001</v>
      </c>
      <c r="N35">
        <v>27.004608000000001</v>
      </c>
      <c r="O35">
        <v>24.273402999999998</v>
      </c>
      <c r="P35">
        <v>22.028002000000001</v>
      </c>
      <c r="Q35">
        <v>20.587536</v>
      </c>
      <c r="R35">
        <v>19.699169000000001</v>
      </c>
      <c r="S35">
        <v>16.572382000000001</v>
      </c>
      <c r="T35">
        <v>19.594662</v>
      </c>
      <c r="U35">
        <v>20.320454000000002</v>
      </c>
      <c r="V35">
        <v>19.808395000000001</v>
      </c>
      <c r="W35">
        <v>15.852182000000001</v>
      </c>
      <c r="X35">
        <v>15.132676</v>
      </c>
      <c r="Y35">
        <v>13.303905</v>
      </c>
      <c r="Z35">
        <v>12.834387</v>
      </c>
      <c r="AA35">
        <v>12.785729999999999</v>
      </c>
      <c r="AB35">
        <v>12.691433</v>
      </c>
      <c r="AC35">
        <v>12.905033</v>
      </c>
      <c r="AD35">
        <v>13.152434</v>
      </c>
      <c r="AE35" s="6">
        <v>-0.58391370847416613</v>
      </c>
    </row>
    <row r="36" spans="1:31" x14ac:dyDescent="0.25">
      <c r="A36" t="s">
        <v>56</v>
      </c>
      <c r="B36" t="s">
        <v>60</v>
      </c>
      <c r="C36" t="s">
        <v>58</v>
      </c>
      <c r="D36">
        <v>6.6109999999999997E-3</v>
      </c>
      <c r="E36">
        <v>8.2389999999999998E-3</v>
      </c>
      <c r="F36">
        <v>1.4799999999999999E-4</v>
      </c>
      <c r="G36">
        <v>1.4200000000000001E-4</v>
      </c>
      <c r="H36">
        <v>1.36E-4</v>
      </c>
      <c r="I36">
        <v>1.3799999999999999E-4</v>
      </c>
      <c r="J36">
        <v>1.27E-4</v>
      </c>
      <c r="K36">
        <v>1.3799999999999999E-4</v>
      </c>
      <c r="L36">
        <v>2.9E-5</v>
      </c>
      <c r="M36">
        <v>3.1000000000000001E-5</v>
      </c>
      <c r="N36">
        <v>3.1999999999999999E-5</v>
      </c>
      <c r="O36">
        <v>3.4999999999999997E-5</v>
      </c>
      <c r="P36">
        <v>4.1E-5</v>
      </c>
      <c r="Q36">
        <v>6.7999999999999999E-5</v>
      </c>
      <c r="R36">
        <v>1E-4</v>
      </c>
      <c r="S36">
        <v>2.4000000000000001E-4</v>
      </c>
      <c r="T36">
        <v>2.4800000000000001E-4</v>
      </c>
      <c r="U36">
        <v>2.5099999999999998E-4</v>
      </c>
      <c r="V36">
        <v>2.5399999999999999E-4</v>
      </c>
      <c r="W36">
        <v>2.5700000000000001E-4</v>
      </c>
      <c r="X36">
        <v>2.5799999999999998E-4</v>
      </c>
      <c r="Y36">
        <v>2.3699999999999999E-4</v>
      </c>
      <c r="Z36">
        <v>2.42E-4</v>
      </c>
      <c r="AA36">
        <v>2.42E-4</v>
      </c>
      <c r="AB36">
        <v>1.92E-4</v>
      </c>
      <c r="AC36">
        <v>1.92E-4</v>
      </c>
      <c r="AD36">
        <v>1.63E-4</v>
      </c>
      <c r="AE36" s="6">
        <v>-0.97534412343064592</v>
      </c>
    </row>
    <row r="37" spans="1:31" x14ac:dyDescent="0.25">
      <c r="A37" t="s">
        <v>56</v>
      </c>
      <c r="B37" t="s">
        <v>61</v>
      </c>
      <c r="C37" t="s">
        <v>58</v>
      </c>
      <c r="D37">
        <v>9.5090000000000001E-3</v>
      </c>
      <c r="E37">
        <v>1.2662E-2</v>
      </c>
      <c r="F37">
        <v>8.3339999999999994E-3</v>
      </c>
      <c r="G37">
        <v>8.2950000000000003E-3</v>
      </c>
      <c r="H37">
        <v>7.1329999999999996E-3</v>
      </c>
      <c r="I37">
        <v>6.3400000000000001E-3</v>
      </c>
      <c r="J37">
        <v>7.607E-3</v>
      </c>
      <c r="K37">
        <v>8.0440000000000008E-3</v>
      </c>
      <c r="L37">
        <v>8.8859999999999998E-3</v>
      </c>
      <c r="M37">
        <v>8.4200000000000004E-3</v>
      </c>
      <c r="N37">
        <v>8.1609999999999999E-3</v>
      </c>
      <c r="O37">
        <v>6.6829999999999997E-3</v>
      </c>
      <c r="P37">
        <v>5.94E-3</v>
      </c>
      <c r="Q37">
        <v>5.8919999999999997E-3</v>
      </c>
      <c r="R37">
        <v>6.6930000000000002E-3</v>
      </c>
      <c r="S37">
        <v>5.7710000000000001E-3</v>
      </c>
      <c r="T37">
        <v>7.2160000000000002E-3</v>
      </c>
      <c r="U37">
        <v>7.2740000000000001E-3</v>
      </c>
      <c r="V37">
        <v>6.6819999999999996E-3</v>
      </c>
      <c r="W37">
        <v>5.5050000000000003E-3</v>
      </c>
      <c r="X37">
        <v>4.6969999999999998E-3</v>
      </c>
      <c r="Y37">
        <v>3.9909999999999998E-3</v>
      </c>
      <c r="Z37">
        <v>3.9750000000000002E-3</v>
      </c>
      <c r="AA37">
        <v>3.9449999999999997E-3</v>
      </c>
      <c r="AB37">
        <v>3.9569999999999996E-3</v>
      </c>
      <c r="AC37">
        <v>3.9249999999999997E-3</v>
      </c>
      <c r="AD37">
        <v>3.9329999999999999E-3</v>
      </c>
      <c r="AE37" s="6">
        <v>-0.58639183931012728</v>
      </c>
    </row>
    <row r="38" spans="1:31" x14ac:dyDescent="0.25">
      <c r="A38" t="s">
        <v>56</v>
      </c>
      <c r="B38" t="s">
        <v>62</v>
      </c>
      <c r="C38" t="s">
        <v>63</v>
      </c>
      <c r="D38">
        <v>4.3243999999999998E-2</v>
      </c>
      <c r="E38">
        <v>5.4072000000000002E-2</v>
      </c>
      <c r="F38">
        <v>1.11E-4</v>
      </c>
      <c r="G38">
        <v>9.0000000000000006E-5</v>
      </c>
      <c r="H38">
        <v>9.0000000000000006E-5</v>
      </c>
      <c r="I38">
        <v>7.4999999999999993E-5</v>
      </c>
      <c r="J38">
        <v>5.8E-5</v>
      </c>
      <c r="K38">
        <v>5.8E-5</v>
      </c>
      <c r="L38">
        <v>5.5999999999999999E-5</v>
      </c>
      <c r="M38">
        <v>5.1999999999999997E-5</v>
      </c>
      <c r="N38">
        <v>5.1E-5</v>
      </c>
      <c r="O38">
        <v>0</v>
      </c>
      <c r="P38">
        <v>9.9999999999999995E-7</v>
      </c>
      <c r="Q38">
        <v>9.9999999999999995E-7</v>
      </c>
      <c r="R38">
        <v>9.9999999999999995E-7</v>
      </c>
      <c r="S38">
        <v>3.0000000000000001E-6</v>
      </c>
      <c r="T38">
        <v>3.0000000000000001E-6</v>
      </c>
      <c r="U38">
        <v>3.0000000000000001E-6</v>
      </c>
      <c r="V38">
        <v>1.9999999999999999E-6</v>
      </c>
      <c r="W38">
        <v>1.9999999999999999E-6</v>
      </c>
      <c r="X38">
        <v>3.0000000000000001E-6</v>
      </c>
      <c r="Y38">
        <v>0</v>
      </c>
      <c r="Z38">
        <v>9.9999999999999995E-7</v>
      </c>
      <c r="AA38">
        <v>0</v>
      </c>
      <c r="AB38">
        <v>9.9999999999999995E-7</v>
      </c>
      <c r="AC38">
        <v>0</v>
      </c>
      <c r="AD38">
        <v>0</v>
      </c>
      <c r="AE38" s="6">
        <v>-1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75.382043420823109</v>
      </c>
      <c r="E39" s="4" cm="1">
        <f t="array" ref="E39:E42">907185*E34:E37*10^6/(E17*10^9)</f>
        <v>79.462317210628797</v>
      </c>
      <c r="F39" s="4" cm="1">
        <f t="array" ref="F39:F42">907185*F34:F37*10^6/(F17*10^9)</f>
        <v>60.6487335877585</v>
      </c>
      <c r="G39" s="4" cm="1">
        <f t="array" ref="G39:G42">907185*G34:G37*10^6/(G17*10^9)</f>
        <v>58.664687034158845</v>
      </c>
      <c r="H39" s="4" cm="1">
        <f t="array" ref="H39:H42">907185*H34:H37*10^6/(H17*10^9)</f>
        <v>57.864661175912566</v>
      </c>
      <c r="I39" s="4" cm="1">
        <f t="array" ref="I39:I42">907185*I34:I37*10^6/(I17*10^9)</f>
        <v>56.655814447286282</v>
      </c>
      <c r="J39" s="4" cm="1">
        <f t="array" ref="J39:J42">907185*J34:J37*10^6/(J17*10^9)</f>
        <v>54.879082170145402</v>
      </c>
      <c r="K39" s="4" cm="1">
        <f t="array" ref="K39:K42">907185*K34:K37*10^6/(K17*10^9)</f>
        <v>53.674533122153576</v>
      </c>
      <c r="L39" s="4" cm="1">
        <f t="array" ref="L39:L42">907185*L34:L37*10^6/(L17*10^9)</f>
        <v>55.645607939060078</v>
      </c>
      <c r="M39" s="4" cm="1">
        <f t="array" ref="M39:M42">907185*M34:M37*10^6/(M17*10^9)</f>
        <v>53.61531337905172</v>
      </c>
      <c r="N39" s="4" cm="1">
        <f t="array" ref="N39:N42">907185*N34:N37*10^6/(N17*10^9)</f>
        <v>51.648806375327013</v>
      </c>
      <c r="O39" s="4" cm="1">
        <f t="array" ref="O39:O42">907185*O34:O37*10^6/(O17*10^9)</f>
        <v>48.240026828936763</v>
      </c>
      <c r="P39" s="4" cm="1">
        <f t="array" ref="P39:P42">907185*P34:P37*10^6/(P17*10^9)</f>
        <v>42.211549450158529</v>
      </c>
      <c r="Q39" s="4" cm="1">
        <f t="array" ref="Q39:Q42">907185*Q34:Q37*10^6/(Q17*10^9)</f>
        <v>38.298446602943294</v>
      </c>
      <c r="R39" s="4" cm="1">
        <f t="array" ref="R39:R42">907185*R34:R37*10^6/(R17*10^9)</f>
        <v>36.988307118840794</v>
      </c>
      <c r="S39" s="4" cm="1">
        <f t="array" ref="S39:S42">907185*S34:S37*10^6/(S17*10^9)</f>
        <v>32.375742875012548</v>
      </c>
      <c r="T39" s="4" cm="1">
        <f t="array" ref="T39:T42">907185*T34:T37*10^6/(T17*10^9)</f>
        <v>36.565387642510416</v>
      </c>
      <c r="U39" s="4" cm="1">
        <f t="array" ref="U39:U42">907185*U34:U37*10^6/(U17*10^9)</f>
        <v>37.450475483976717</v>
      </c>
      <c r="V39" s="4" cm="1">
        <f t="array" ref="V39:V42">907185*V34:V37*10^6/(V17*10^9)</f>
        <v>34.142318488111329</v>
      </c>
      <c r="W39" s="4" cm="1">
        <f t="array" ref="W39:W42">907185*W34:W37*10^6/(W17*10^9)</f>
        <v>26.275166086656782</v>
      </c>
      <c r="X39" s="4" cm="1">
        <f t="array" ref="X39:X42">907185*X34:X37*10^6/(X17*10^9)</f>
        <v>24.72464386232113</v>
      </c>
      <c r="Y39" s="4" cm="1">
        <f t="array" ref="Y39:Y42">907185*Y34:Y37*10^6/(Y17*10^9)</f>
        <v>20.708377660661732</v>
      </c>
      <c r="Z39" s="4" cm="1">
        <f t="array" ref="Z39:Z42">907185*Z34:Z37*10^6/(Z17*10^9)</f>
        <v>18.945940094038402</v>
      </c>
      <c r="AA39" s="4" cm="1">
        <f t="array" ref="AA39:AA42">907185*AA34:AA37*10^6/(AA17*10^9)</f>
        <v>18.664826172775808</v>
      </c>
      <c r="AB39" s="4" cm="1">
        <f t="array" ref="AB39:AB42">907185*AB34:AB37*10^6/(AB17*10^9)</f>
        <v>18.454213525818496</v>
      </c>
      <c r="AC39" s="4" cm="1">
        <f t="array" ref="AC39:AC42">907185*AC34:AC37*10^6/(AC17*10^9)</f>
        <v>18.688965063002076</v>
      </c>
      <c r="AD39" s="4" cm="1">
        <f t="array" ref="AD39:AD42">907185*AD34:AD37*10^6/(AD17*10^9)</f>
        <v>19.028361310284943</v>
      </c>
      <c r="AE39" s="6" cm="1">
        <f t="array" ref="AE39:AE43">(AD39:AD43-D39:D43)/D39:D43</f>
        <v>-0.74757434998069239</v>
      </c>
    </row>
    <row r="40" spans="1:31" x14ac:dyDescent="0.25">
      <c r="A40" t="s">
        <v>64</v>
      </c>
      <c r="B40" t="s">
        <v>66</v>
      </c>
      <c r="C40" t="s">
        <v>70</v>
      </c>
      <c r="D40" s="4">
        <v>276.40091914710445</v>
      </c>
      <c r="E40" s="4">
        <v>291.36185561220702</v>
      </c>
      <c r="F40" s="4">
        <v>222.37875936740633</v>
      </c>
      <c r="G40" s="4">
        <v>215.10387345403942</v>
      </c>
      <c r="H40" s="4">
        <v>212.1704707577766</v>
      </c>
      <c r="I40" s="4">
        <v>207.73805530809679</v>
      </c>
      <c r="J40" s="4">
        <v>201.22316545700002</v>
      </c>
      <c r="K40" s="4">
        <v>196.80659359075722</v>
      </c>
      <c r="L40" s="4">
        <v>204.03389098293184</v>
      </c>
      <c r="M40" s="4">
        <v>196.58953746163382</v>
      </c>
      <c r="N40" s="4">
        <v>189.37898476089086</v>
      </c>
      <c r="O40" s="4">
        <v>176.88009837276815</v>
      </c>
      <c r="P40" s="4">
        <v>154.77567897514299</v>
      </c>
      <c r="Q40" s="4">
        <v>140.42760116545406</v>
      </c>
      <c r="R40" s="4">
        <v>135.62378358942101</v>
      </c>
      <c r="S40" s="4">
        <v>118.7110977997814</v>
      </c>
      <c r="T40" s="4">
        <v>134.07310626874641</v>
      </c>
      <c r="U40" s="4">
        <v>137.31843488595001</v>
      </c>
      <c r="V40" s="4">
        <v>125.18853693625957</v>
      </c>
      <c r="W40" s="4">
        <v>96.34228375446267</v>
      </c>
      <c r="X40" s="4">
        <v>90.656993547251588</v>
      </c>
      <c r="Y40" s="4">
        <v>75.930712381692643</v>
      </c>
      <c r="Z40" s="4">
        <v>69.468434381886638</v>
      </c>
      <c r="AA40" s="4">
        <v>68.437662066666348</v>
      </c>
      <c r="AB40" s="4">
        <v>67.665428268335859</v>
      </c>
      <c r="AC40" s="4">
        <v>68.526214081070734</v>
      </c>
      <c r="AD40" s="4">
        <v>69.770628077352114</v>
      </c>
      <c r="AE40" s="6">
        <v>-0.74757454391742018</v>
      </c>
    </row>
    <row r="41" spans="1:31" x14ac:dyDescent="0.25">
      <c r="A41" t="s">
        <v>64</v>
      </c>
      <c r="B41" t="s">
        <v>67</v>
      </c>
      <c r="C41" t="s">
        <v>70</v>
      </c>
      <c r="D41" s="4">
        <v>5.7807463892576703E-2</v>
      </c>
      <c r="E41" s="4">
        <v>6.3868484476255885E-2</v>
      </c>
      <c r="F41" s="4">
        <v>1.1876252913803685E-3</v>
      </c>
      <c r="G41" s="4">
        <v>1.1180080834887322E-3</v>
      </c>
      <c r="H41" s="4">
        <v>1.0527782029585678E-3</v>
      </c>
      <c r="I41" s="4">
        <v>1.0580211666045545E-3</v>
      </c>
      <c r="J41" s="4">
        <v>9.7646370018655555E-4</v>
      </c>
      <c r="K41" s="4">
        <v>1.0484414215576419E-3</v>
      </c>
      <c r="L41" s="4">
        <v>2.0852254733690607E-4</v>
      </c>
      <c r="M41" s="4">
        <v>2.2268153520502509E-4</v>
      </c>
      <c r="N41" s="4">
        <v>2.2441086766926985E-4</v>
      </c>
      <c r="O41" s="4">
        <v>2.5504472706389309E-4</v>
      </c>
      <c r="P41" s="4">
        <v>2.8807891146826939E-4</v>
      </c>
      <c r="Q41" s="4">
        <v>4.6382805981497134E-4</v>
      </c>
      <c r="R41" s="4">
        <v>6.8847464372441796E-4</v>
      </c>
      <c r="S41" s="4">
        <v>1.7191652637470905E-3</v>
      </c>
      <c r="T41" s="4">
        <v>1.6968973669792885E-3</v>
      </c>
      <c r="U41" s="4">
        <v>1.6961691484045313E-3</v>
      </c>
      <c r="V41" s="4">
        <v>1.605273338996417E-3</v>
      </c>
      <c r="W41" s="4">
        <v>1.5619279998738916E-3</v>
      </c>
      <c r="X41" s="4">
        <v>1.5456290966112608E-3</v>
      </c>
      <c r="Y41" s="4">
        <v>1.3526538887989018E-3</v>
      </c>
      <c r="Z41" s="4">
        <v>1.3098686458820799E-3</v>
      </c>
      <c r="AA41" s="4">
        <v>1.2953436542249256E-3</v>
      </c>
      <c r="AB41" s="4">
        <v>1.0236639335779092E-3</v>
      </c>
      <c r="AC41" s="4">
        <v>1.0195272730852826E-3</v>
      </c>
      <c r="AD41" s="4">
        <v>8.646773955762406E-4</v>
      </c>
      <c r="AE41" s="6">
        <v>-0.98504211502543915</v>
      </c>
    </row>
    <row r="42" spans="1:31" x14ac:dyDescent="0.25">
      <c r="A42" t="s">
        <v>64</v>
      </c>
      <c r="B42" t="s">
        <v>68</v>
      </c>
      <c r="C42" t="s">
        <v>70</v>
      </c>
      <c r="D42" s="4">
        <v>8.3147961602558135E-2</v>
      </c>
      <c r="E42" s="4">
        <v>9.8155449743700926E-2</v>
      </c>
      <c r="F42" s="4">
        <v>6.6876143097054003E-2</v>
      </c>
      <c r="G42" s="4">
        <v>6.5308993327739664E-2</v>
      </c>
      <c r="H42" s="4">
        <v>5.5216668541937228E-2</v>
      </c>
      <c r="I42" s="4">
        <v>4.8607639103426629E-2</v>
      </c>
      <c r="J42" s="4">
        <v>5.8487869034008884E-2</v>
      </c>
      <c r="K42" s="4">
        <v>6.1113498514562839E-2</v>
      </c>
      <c r="L42" s="4">
        <v>6.3894184677094734E-2</v>
      </c>
      <c r="M42" s="4">
        <v>6.0483178271816491E-2</v>
      </c>
      <c r="N42" s="4">
        <v>5.7231784095278487E-2</v>
      </c>
      <c r="O42" s="4">
        <v>4.8698968884799937E-2</v>
      </c>
      <c r="P42" s="4">
        <v>4.1736310588329766E-2</v>
      </c>
      <c r="Q42" s="4">
        <v>4.0189337182791329E-2</v>
      </c>
      <c r="R42" s="4">
        <v>4.6079607904475295E-2</v>
      </c>
      <c r="S42" s="4">
        <v>4.133876140451858E-2</v>
      </c>
      <c r="T42" s="4">
        <v>4.9374239516623161E-2</v>
      </c>
      <c r="U42" s="4">
        <v>4.9155117073683516E-2</v>
      </c>
      <c r="V42" s="4">
        <v>4.2230064768401805E-2</v>
      </c>
      <c r="W42" s="4">
        <v>3.3456862409750092E-2</v>
      </c>
      <c r="X42" s="4">
        <v>2.813883669295773E-2</v>
      </c>
      <c r="Y42" s="4">
        <v>2.2778234895343533E-2</v>
      </c>
      <c r="Z42" s="4">
        <v>2.1515404410666395E-2</v>
      </c>
      <c r="AA42" s="4">
        <v>2.1116242627757565E-2</v>
      </c>
      <c r="AB42" s="4">
        <v>2.1097073881082222E-2</v>
      </c>
      <c r="AC42" s="4">
        <v>2.0841898681561114E-2</v>
      </c>
      <c r="AD42" s="4">
        <v>2.0863657649088058E-2</v>
      </c>
      <c r="AE42" s="6">
        <v>-0.7490779419366288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3.7813129157019922E-7</v>
      </c>
      <c r="E43" s="5">
        <f>907185*E38/(E17*10^9)</f>
        <v>4.1916454577013085E-7</v>
      </c>
      <c r="F43" s="5">
        <f>907185*F38/(F17*10^9)</f>
        <v>8.9071896853527661E-10</v>
      </c>
      <c r="G43" s="5">
        <f>907185*G38/(G17*10^9)</f>
        <v>7.0859667263370343E-10</v>
      </c>
      <c r="H43" s="5">
        <f>907185*H38/(H17*10^9)</f>
        <v>6.9669145784022872E-10</v>
      </c>
      <c r="I43" s="5">
        <f>907185*I38/(I17*10^9)</f>
        <v>5.750115035894317E-10</v>
      </c>
      <c r="J43" s="5">
        <f>907185*J38/(J17*10^9)</f>
        <v>4.4594405205370248E-10</v>
      </c>
      <c r="K43" s="5">
        <f>907185*K38/(K17*10^9)</f>
        <v>4.4064929311842915E-10</v>
      </c>
      <c r="L43" s="5">
        <f>907185*L38/(L17*10^9)</f>
        <v>4.0266422934023243E-10</v>
      </c>
      <c r="M43" s="5">
        <f>907185*M38/(M17*10^9)</f>
        <v>3.7353031711810655E-10</v>
      </c>
      <c r="N43" s="5">
        <f>907185*N38/(N17*10^9)</f>
        <v>3.576548203478989E-10</v>
      </c>
      <c r="O43" s="5">
        <f>907185*O38/(O17*10^9)</f>
        <v>0</v>
      </c>
      <c r="P43" s="5">
        <f>907185*P38/(P17*10^9)</f>
        <v>7.0263149138602288E-12</v>
      </c>
      <c r="Q43" s="5">
        <f>907185*Q38/(Q17*10^9)</f>
        <v>6.8210008796319309E-12</v>
      </c>
      <c r="R43" s="5">
        <f>907185*R38/(R17*10^9)</f>
        <v>6.8847464372441791E-12</v>
      </c>
      <c r="S43" s="5">
        <f>907185*S38/(S17*10^9)</f>
        <v>2.1489565796838632E-11</v>
      </c>
      <c r="T43" s="5">
        <f>907185*T38/(T17*10^9)</f>
        <v>2.0526984277975259E-11</v>
      </c>
      <c r="U43" s="5">
        <f>907185*U38/(U17*10^9)</f>
        <v>2.0272938028739419E-11</v>
      </c>
      <c r="V43" s="5">
        <f>907185*V38/(V17*10^9)</f>
        <v>1.2639947551152888E-11</v>
      </c>
      <c r="W43" s="5">
        <f>907185*W38/(W17*10^9)</f>
        <v>1.2155081711080867E-11</v>
      </c>
      <c r="X43" s="5">
        <f>907185*X38/(X17*10^9)</f>
        <v>1.7972431355944895E-11</v>
      </c>
      <c r="Y43" s="5">
        <f>907185*Y38/(Y17*10^9)</f>
        <v>0</v>
      </c>
      <c r="Z43" s="5">
        <f>907185*Z38/(Z17*10^9)</f>
        <v>5.4126803548846268E-12</v>
      </c>
      <c r="AA43" s="5">
        <f>907185*AA38/(AA17*10^9)</f>
        <v>0</v>
      </c>
      <c r="AB43" s="5">
        <f>907185*AB38/(AB17*10^9)</f>
        <v>5.3315829873849434E-12</v>
      </c>
      <c r="AC43" s="5">
        <f>907185*AC38/(AC17*10^9)</f>
        <v>0</v>
      </c>
      <c r="AD43" s="5">
        <f>907185*AD38/(AD17*10^9)</f>
        <v>0</v>
      </c>
      <c r="AE43" s="6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11.935071000000001</v>
      </c>
      <c r="E2">
        <v>21.872152</v>
      </c>
      <c r="F2">
        <v>10.079999000000001</v>
      </c>
      <c r="G2">
        <v>10.445796</v>
      </c>
      <c r="H2">
        <v>10.562970999999999</v>
      </c>
      <c r="I2">
        <v>8.9856289999999994</v>
      </c>
      <c r="J2">
        <v>8.0643560000000001</v>
      </c>
      <c r="K2">
        <v>7.2428739999999996</v>
      </c>
      <c r="L2">
        <v>1.1760090000000001</v>
      </c>
      <c r="M2">
        <v>1.1684220000000001</v>
      </c>
      <c r="N2">
        <v>1.1701630000000001</v>
      </c>
      <c r="O2">
        <v>1.1619010000000001</v>
      </c>
      <c r="P2">
        <v>1.1565730000000001</v>
      </c>
      <c r="Q2">
        <v>0.78009399999999995</v>
      </c>
      <c r="R2">
        <v>0.40416200000000002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6.8969000000000003E-2</v>
      </c>
      <c r="E3">
        <v>0.113813</v>
      </c>
      <c r="F3">
        <v>7.1550000000000002E-2</v>
      </c>
      <c r="G3">
        <v>6.7222000000000004E-2</v>
      </c>
      <c r="H3">
        <v>6.7306000000000005E-2</v>
      </c>
      <c r="I3">
        <v>6.0213999999999997E-2</v>
      </c>
      <c r="J3">
        <v>5.2162E-2</v>
      </c>
      <c r="K3">
        <v>4.7260000000000003E-2</v>
      </c>
      <c r="L3">
        <v>1.737E-2</v>
      </c>
      <c r="M3">
        <v>1.4454E-2</v>
      </c>
      <c r="N3">
        <v>1.4425E-2</v>
      </c>
      <c r="O3">
        <v>1.4425E-2</v>
      </c>
      <c r="P3">
        <v>1.4425E-2</v>
      </c>
      <c r="Q3">
        <v>1.4425E-2</v>
      </c>
      <c r="R3">
        <v>1.4425E-2</v>
      </c>
      <c r="S3">
        <v>1.4425E-2</v>
      </c>
      <c r="T3">
        <v>1.4425E-2</v>
      </c>
      <c r="U3">
        <v>1.4425E-2</v>
      </c>
      <c r="V3">
        <v>1.4425E-2</v>
      </c>
      <c r="W3">
        <v>1.4423E-2</v>
      </c>
      <c r="X3">
        <v>1.4423E-2</v>
      </c>
      <c r="Y3">
        <v>1.4420000000000001E-2</v>
      </c>
      <c r="Z3">
        <v>1.3906999999999999E-2</v>
      </c>
      <c r="AA3">
        <v>1.4709E-2</v>
      </c>
      <c r="AB3">
        <v>1.4710000000000001E-2</v>
      </c>
      <c r="AC3">
        <v>1.4250000000000001E-2</v>
      </c>
      <c r="AD3">
        <v>1.281E-2</v>
      </c>
      <c r="AE3" s="6">
        <v>-0.8142643796488277</v>
      </c>
    </row>
    <row r="4" spans="1:31" x14ac:dyDescent="0.25">
      <c r="A4" t="s">
        <v>28</v>
      </c>
      <c r="B4" t="s">
        <v>32</v>
      </c>
      <c r="C4" t="s">
        <v>30</v>
      </c>
      <c r="D4">
        <v>183.5849</v>
      </c>
      <c r="E4">
        <v>173.53724700000001</v>
      </c>
      <c r="F4">
        <v>180.064438</v>
      </c>
      <c r="G4">
        <v>183.30694600000001</v>
      </c>
      <c r="H4">
        <v>179.86544799999999</v>
      </c>
      <c r="I4">
        <v>179.843872</v>
      </c>
      <c r="J4">
        <v>176.51113900000001</v>
      </c>
      <c r="K4">
        <v>178.42799400000001</v>
      </c>
      <c r="L4">
        <v>184.65003999999999</v>
      </c>
      <c r="M4">
        <v>184.68090799999999</v>
      </c>
      <c r="N4">
        <v>184.70408599999999</v>
      </c>
      <c r="O4">
        <v>168.53012100000001</v>
      </c>
      <c r="P4">
        <v>159.44139100000001</v>
      </c>
      <c r="Q4">
        <v>158.382217</v>
      </c>
      <c r="R4">
        <v>155.587311</v>
      </c>
      <c r="S4">
        <v>131.87434400000001</v>
      </c>
      <c r="T4">
        <v>132.17829900000001</v>
      </c>
      <c r="U4">
        <v>134.777252</v>
      </c>
      <c r="V4">
        <v>126.43946099999999</v>
      </c>
      <c r="W4">
        <v>137.83554100000001</v>
      </c>
      <c r="X4">
        <v>145.82867400000001</v>
      </c>
      <c r="Y4">
        <v>149.73350500000001</v>
      </c>
      <c r="Z4">
        <v>158.81372099999999</v>
      </c>
      <c r="AA4">
        <v>169.18142700000001</v>
      </c>
      <c r="AB4">
        <v>169.082367</v>
      </c>
      <c r="AC4">
        <v>160.36918600000001</v>
      </c>
      <c r="AD4">
        <v>160.084442</v>
      </c>
      <c r="AE4" s="6">
        <v>-0.1280086652006783</v>
      </c>
    </row>
    <row r="5" spans="1:31" x14ac:dyDescent="0.25">
      <c r="A5" t="s">
        <v>28</v>
      </c>
      <c r="B5" t="s">
        <v>33</v>
      </c>
      <c r="C5" t="s">
        <v>30</v>
      </c>
      <c r="D5">
        <v>102.886703</v>
      </c>
      <c r="E5">
        <v>104.481628</v>
      </c>
      <c r="F5">
        <v>104.243774</v>
      </c>
      <c r="G5">
        <v>104.006485</v>
      </c>
      <c r="H5">
        <v>104.006485</v>
      </c>
      <c r="I5">
        <v>104.006485</v>
      </c>
      <c r="J5">
        <v>104.006485</v>
      </c>
      <c r="K5">
        <v>104.005966</v>
      </c>
      <c r="L5">
        <v>104.005966</v>
      </c>
      <c r="M5">
        <v>104.005966</v>
      </c>
      <c r="N5">
        <v>104.005966</v>
      </c>
      <c r="O5">
        <v>104.005966</v>
      </c>
      <c r="P5">
        <v>104.005966</v>
      </c>
      <c r="Q5">
        <v>104.005966</v>
      </c>
      <c r="R5">
        <v>104.005966</v>
      </c>
      <c r="S5">
        <v>104.005966</v>
      </c>
      <c r="T5">
        <v>104.005966</v>
      </c>
      <c r="U5">
        <v>104.005966</v>
      </c>
      <c r="V5">
        <v>104.005966</v>
      </c>
      <c r="W5">
        <v>104.005966</v>
      </c>
      <c r="X5">
        <v>104.005966</v>
      </c>
      <c r="Y5">
        <v>104.005966</v>
      </c>
      <c r="Z5">
        <v>104.005966</v>
      </c>
      <c r="AA5">
        <v>104.005966</v>
      </c>
      <c r="AB5">
        <v>104.005966</v>
      </c>
      <c r="AC5">
        <v>104.005966</v>
      </c>
      <c r="AD5">
        <v>104.005966</v>
      </c>
      <c r="AE5" s="6">
        <v>1.0878597208037697E-2</v>
      </c>
    </row>
    <row r="6" spans="1:31" x14ac:dyDescent="0.25">
      <c r="A6" t="s">
        <v>28</v>
      </c>
      <c r="B6" t="s">
        <v>34</v>
      </c>
      <c r="C6" t="s">
        <v>30</v>
      </c>
      <c r="D6">
        <v>0.73886700000000005</v>
      </c>
      <c r="E6">
        <v>0.57192900000000002</v>
      </c>
      <c r="F6">
        <v>0.51980300000000002</v>
      </c>
      <c r="G6">
        <v>0.41670099999999999</v>
      </c>
      <c r="H6">
        <v>0.33682800000000002</v>
      </c>
      <c r="I6">
        <v>0.22794900000000001</v>
      </c>
      <c r="J6">
        <v>0.13706599999999999</v>
      </c>
      <c r="K6">
        <v>0.19082499999999999</v>
      </c>
      <c r="L6">
        <v>0.21321799999999999</v>
      </c>
      <c r="M6">
        <v>0.119684</v>
      </c>
      <c r="N6">
        <v>0.15754699999999999</v>
      </c>
      <c r="O6">
        <v>0.12867999999999999</v>
      </c>
      <c r="P6">
        <v>0.224579</v>
      </c>
      <c r="Q6">
        <v>0.31027900000000003</v>
      </c>
      <c r="R6">
        <v>0.33469100000000002</v>
      </c>
      <c r="S6">
        <v>-0.14548800000000001</v>
      </c>
      <c r="T6">
        <v>0.14004800000000001</v>
      </c>
      <c r="U6">
        <v>-6.2396E-2</v>
      </c>
      <c r="V6">
        <v>-5.9443999999999997E-2</v>
      </c>
      <c r="W6">
        <v>-6.8986000000000006E-2</v>
      </c>
      <c r="X6">
        <v>-0.13908200000000001</v>
      </c>
      <c r="Y6">
        <v>-0.228856</v>
      </c>
      <c r="Z6">
        <v>-0.282773</v>
      </c>
      <c r="AA6">
        <v>-0.37936500000000001</v>
      </c>
      <c r="AB6">
        <v>-0.39458700000000002</v>
      </c>
      <c r="AC6">
        <v>-0.425037</v>
      </c>
      <c r="AD6">
        <v>-0.49988500000000002</v>
      </c>
      <c r="AE6" s="6">
        <v>-1.6765561325651301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4.5111319999999999</v>
      </c>
      <c r="E8">
        <v>4.8997299999999999</v>
      </c>
      <c r="F8">
        <v>5.08711</v>
      </c>
      <c r="G8">
        <v>5.2763</v>
      </c>
      <c r="H8">
        <v>5.2785919999999997</v>
      </c>
      <c r="I8">
        <v>5.2803319999999996</v>
      </c>
      <c r="J8">
        <v>5.2800500000000001</v>
      </c>
      <c r="K8">
        <v>5.2782210000000003</v>
      </c>
      <c r="L8">
        <v>5.2761750000000003</v>
      </c>
      <c r="M8">
        <v>5.2786350000000004</v>
      </c>
      <c r="N8">
        <v>5.281784</v>
      </c>
      <c r="O8">
        <v>5.277755</v>
      </c>
      <c r="P8">
        <v>5.2774599999999996</v>
      </c>
      <c r="Q8">
        <v>5.2788959999999996</v>
      </c>
      <c r="R8">
        <v>5.2768319999999997</v>
      </c>
      <c r="S8">
        <v>5.2787980000000001</v>
      </c>
      <c r="T8">
        <v>5.2786770000000001</v>
      </c>
      <c r="U8">
        <v>5.2780829999999996</v>
      </c>
      <c r="V8">
        <v>5.2791610000000002</v>
      </c>
      <c r="W8">
        <v>5.2804469999999997</v>
      </c>
      <c r="X8">
        <v>5.2807269999999997</v>
      </c>
      <c r="Y8">
        <v>5.280907</v>
      </c>
      <c r="Z8">
        <v>5.2827279999999996</v>
      </c>
      <c r="AA8">
        <v>5.2827630000000001</v>
      </c>
      <c r="AB8">
        <v>5.2828910000000002</v>
      </c>
      <c r="AC8">
        <v>5.2839330000000002</v>
      </c>
      <c r="AD8">
        <v>5.2847549999999996</v>
      </c>
      <c r="AE8" s="6">
        <v>0.17149198915039501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1.440655</v>
      </c>
      <c r="E10">
        <v>1.513655</v>
      </c>
      <c r="F10">
        <v>1.5449870000000001</v>
      </c>
      <c r="G10">
        <v>1.5711980000000001</v>
      </c>
      <c r="H10">
        <v>1.6261639999999999</v>
      </c>
      <c r="I10">
        <v>1.6696740000000001</v>
      </c>
      <c r="J10">
        <v>1.714594</v>
      </c>
      <c r="K10">
        <v>1.7530749999999999</v>
      </c>
      <c r="L10">
        <v>1.8022130000000001</v>
      </c>
      <c r="M10">
        <v>1.849024</v>
      </c>
      <c r="N10">
        <v>1.88774</v>
      </c>
      <c r="O10">
        <v>1.9165430000000001</v>
      </c>
      <c r="P10">
        <v>1.9681230000000001</v>
      </c>
      <c r="Q10">
        <v>2.0002170000000001</v>
      </c>
      <c r="R10">
        <v>2.0449380000000001</v>
      </c>
      <c r="S10">
        <v>2.0765760000000002</v>
      </c>
      <c r="T10">
        <v>2.109388</v>
      </c>
      <c r="U10">
        <v>2.1429529999999999</v>
      </c>
      <c r="V10">
        <v>2.1742430000000001</v>
      </c>
      <c r="W10">
        <v>2.2100979999999999</v>
      </c>
      <c r="X10">
        <v>2.2398189999999998</v>
      </c>
      <c r="Y10">
        <v>2.261593</v>
      </c>
      <c r="Z10">
        <v>2.2800639999999999</v>
      </c>
      <c r="AA10">
        <v>2.2990840000000001</v>
      </c>
      <c r="AB10">
        <v>2.317955</v>
      </c>
      <c r="AC10">
        <v>2.3184290000000001</v>
      </c>
      <c r="AD10">
        <v>2.3189669999999998</v>
      </c>
      <c r="AE10" s="6">
        <v>0.60966157754632422</v>
      </c>
    </row>
    <row r="11" spans="1:31" x14ac:dyDescent="0.25">
      <c r="A11" t="s">
        <v>28</v>
      </c>
      <c r="B11" t="s">
        <v>39</v>
      </c>
      <c r="C11" t="s">
        <v>30</v>
      </c>
      <c r="D11">
        <v>1.913E-3</v>
      </c>
      <c r="E11">
        <v>1.712E-3</v>
      </c>
      <c r="F11">
        <v>1.536E-3</v>
      </c>
      <c r="G11">
        <v>1.536E-3</v>
      </c>
      <c r="H11">
        <v>1.536E-3</v>
      </c>
      <c r="I11">
        <v>1.536E-3</v>
      </c>
      <c r="J11">
        <v>1.536E-3</v>
      </c>
      <c r="K11">
        <v>1.536E-3</v>
      </c>
      <c r="L11">
        <v>1.536E-3</v>
      </c>
      <c r="M11">
        <v>1.536E-3</v>
      </c>
      <c r="N11">
        <v>1.536E-3</v>
      </c>
      <c r="O11">
        <v>1.536E-3</v>
      </c>
      <c r="P11">
        <v>1.536E-3</v>
      </c>
      <c r="Q11">
        <v>1.536E-3</v>
      </c>
      <c r="R11">
        <v>1.536E-3</v>
      </c>
      <c r="S11">
        <v>6.6500000000000001E-4</v>
      </c>
      <c r="T11">
        <v>1.536E-3</v>
      </c>
      <c r="U11">
        <v>1.536E-3</v>
      </c>
      <c r="V11">
        <v>1.536E-3</v>
      </c>
      <c r="W11">
        <v>1.536E-3</v>
      </c>
      <c r="X11">
        <v>1.536E-3</v>
      </c>
      <c r="Y11">
        <v>1.536E-3</v>
      </c>
      <c r="Z11">
        <v>6.6500000000000001E-4</v>
      </c>
      <c r="AA11">
        <v>1.536E-3</v>
      </c>
      <c r="AB11">
        <v>6.6500000000000001E-4</v>
      </c>
      <c r="AC11">
        <v>1.536E-3</v>
      </c>
      <c r="AD11">
        <v>6.6500000000000001E-4</v>
      </c>
      <c r="AE11" s="6">
        <v>-0.65237846314688974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2.744942</v>
      </c>
      <c r="E13">
        <v>3.4884559999999998</v>
      </c>
      <c r="F13">
        <v>6.0661849999999999</v>
      </c>
      <c r="G13">
        <v>6.4056110000000004</v>
      </c>
      <c r="H13">
        <v>6.4122130000000004</v>
      </c>
      <c r="I13">
        <v>6.4291340000000003</v>
      </c>
      <c r="J13">
        <v>6.4263440000000003</v>
      </c>
      <c r="K13">
        <v>6.3862829999999997</v>
      </c>
      <c r="L13">
        <v>6.3556540000000004</v>
      </c>
      <c r="M13">
        <v>6.3654979999999997</v>
      </c>
      <c r="N13">
        <v>6.3903420000000004</v>
      </c>
      <c r="O13">
        <v>6.3632220000000004</v>
      </c>
      <c r="P13">
        <v>10.435064000000001</v>
      </c>
      <c r="Q13">
        <v>11.480219999999999</v>
      </c>
      <c r="R13">
        <v>11.469066</v>
      </c>
      <c r="S13">
        <v>22.720198</v>
      </c>
      <c r="T13">
        <v>26.227936</v>
      </c>
      <c r="U13">
        <v>26.397355999999998</v>
      </c>
      <c r="V13">
        <v>27.064499000000001</v>
      </c>
      <c r="W13">
        <v>27.251647999999999</v>
      </c>
      <c r="X13">
        <v>27.263812999999999</v>
      </c>
      <c r="Y13">
        <v>27.284839999999999</v>
      </c>
      <c r="Z13">
        <v>27.282167000000001</v>
      </c>
      <c r="AA13">
        <v>27.289681999999999</v>
      </c>
      <c r="AB13">
        <v>28.919443000000001</v>
      </c>
      <c r="AC13">
        <v>38.730758999999999</v>
      </c>
      <c r="AD13">
        <v>48.624763000000002</v>
      </c>
      <c r="AE13" s="6">
        <v>16.714313453617599</v>
      </c>
    </row>
    <row r="14" spans="1:31" x14ac:dyDescent="0.25">
      <c r="A14" t="s">
        <v>28</v>
      </c>
      <c r="B14" t="s">
        <v>42</v>
      </c>
      <c r="C14" t="s">
        <v>30</v>
      </c>
      <c r="D14">
        <v>3.1438769999999998</v>
      </c>
      <c r="E14">
        <v>3.0320450000000001</v>
      </c>
      <c r="F14">
        <v>3.4590130000000001</v>
      </c>
      <c r="G14">
        <v>3.6572719999999999</v>
      </c>
      <c r="H14">
        <v>3.649654</v>
      </c>
      <c r="I14">
        <v>3.6490130000000001</v>
      </c>
      <c r="J14">
        <v>3.6489790000000002</v>
      </c>
      <c r="K14">
        <v>3.5906500000000001</v>
      </c>
      <c r="L14">
        <v>3.5895280000000001</v>
      </c>
      <c r="M14">
        <v>3.5904889999999998</v>
      </c>
      <c r="N14">
        <v>3.5898409999999998</v>
      </c>
      <c r="O14">
        <v>26.217922000000002</v>
      </c>
      <c r="P14">
        <v>31.885373999999999</v>
      </c>
      <c r="Q14">
        <v>31.861895000000001</v>
      </c>
      <c r="R14">
        <v>46.878258000000002</v>
      </c>
      <c r="S14">
        <v>50.654662999999999</v>
      </c>
      <c r="T14">
        <v>51.863731000000001</v>
      </c>
      <c r="U14">
        <v>52.166428000000003</v>
      </c>
      <c r="V14">
        <v>53.188285999999998</v>
      </c>
      <c r="W14">
        <v>53.427253999999998</v>
      </c>
      <c r="X14">
        <v>53.429057999999998</v>
      </c>
      <c r="Y14">
        <v>53.429530999999997</v>
      </c>
      <c r="Z14">
        <v>53.449345000000001</v>
      </c>
      <c r="AA14">
        <v>53.453709000000003</v>
      </c>
      <c r="AB14">
        <v>56.924140999999999</v>
      </c>
      <c r="AC14">
        <v>57.798580000000001</v>
      </c>
      <c r="AD14">
        <v>60.919730999999999</v>
      </c>
      <c r="AE14" s="6">
        <v>18.377262850932144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5.4670259999999997</v>
      </c>
      <c r="F15">
        <v>13.565918</v>
      </c>
      <c r="G15">
        <v>23.71686</v>
      </c>
      <c r="H15">
        <v>30.885079999999999</v>
      </c>
      <c r="I15">
        <v>37.999747999999997</v>
      </c>
      <c r="J15">
        <v>45.131610999999999</v>
      </c>
      <c r="K15">
        <v>52.249465999999998</v>
      </c>
      <c r="L15">
        <v>55.954678000000001</v>
      </c>
      <c r="M15">
        <v>58.755710999999998</v>
      </c>
      <c r="N15">
        <v>61.592953000000001</v>
      </c>
      <c r="O15">
        <v>64.413353000000001</v>
      </c>
      <c r="P15">
        <v>67.264617999999999</v>
      </c>
      <c r="Q15">
        <v>70.067047000000002</v>
      </c>
      <c r="R15">
        <v>72.860000999999997</v>
      </c>
      <c r="S15">
        <v>75.682654999999997</v>
      </c>
      <c r="T15">
        <v>78.503822</v>
      </c>
      <c r="U15">
        <v>79.076667999999998</v>
      </c>
      <c r="V15">
        <v>79.0989</v>
      </c>
      <c r="W15">
        <v>79.072304000000003</v>
      </c>
      <c r="X15">
        <v>79.073486000000003</v>
      </c>
      <c r="Y15">
        <v>79.104697999999999</v>
      </c>
      <c r="Z15">
        <v>79.073768999999999</v>
      </c>
      <c r="AA15">
        <v>79.073684999999998</v>
      </c>
      <c r="AB15">
        <v>79.074257000000003</v>
      </c>
      <c r="AC15">
        <v>79.074898000000005</v>
      </c>
      <c r="AD15">
        <v>79.043694000000002</v>
      </c>
      <c r="AE15" s="6" t="e">
        <v>#DIV/0!</v>
      </c>
    </row>
    <row r="16" spans="1:31" x14ac:dyDescent="0.25">
      <c r="A16" t="s">
        <v>28</v>
      </c>
      <c r="B16" s="9" t="s">
        <v>44</v>
      </c>
      <c r="C16" t="s">
        <v>30</v>
      </c>
      <c r="D16">
        <v>0</v>
      </c>
      <c r="E16">
        <v>0</v>
      </c>
      <c r="F16">
        <v>6.1159999999999999E-3</v>
      </c>
      <c r="G16">
        <v>3.0025E-2</v>
      </c>
      <c r="H16">
        <v>4.9064000000000003E-2</v>
      </c>
      <c r="I16">
        <v>6.7235000000000003E-2</v>
      </c>
      <c r="J16">
        <v>8.3529000000000006E-2</v>
      </c>
      <c r="K16">
        <v>0.138317</v>
      </c>
      <c r="L16">
        <v>0.205433</v>
      </c>
      <c r="M16">
        <v>0.27071400000000001</v>
      </c>
      <c r="N16">
        <v>0.340362</v>
      </c>
      <c r="O16">
        <v>0.415219</v>
      </c>
      <c r="P16">
        <v>0.49624699999999999</v>
      </c>
      <c r="Q16">
        <v>0.57918599999999998</v>
      </c>
      <c r="R16">
        <v>0.66349100000000005</v>
      </c>
      <c r="S16">
        <v>0.75058199999999997</v>
      </c>
      <c r="T16">
        <v>0.83622200000000002</v>
      </c>
      <c r="U16">
        <v>0.92058899999999999</v>
      </c>
      <c r="V16">
        <v>0.99429999999999996</v>
      </c>
      <c r="W16">
        <v>1.0727359999999999</v>
      </c>
      <c r="X16">
        <v>1.1502540000000001</v>
      </c>
      <c r="Y16">
        <v>1.2307189999999999</v>
      </c>
      <c r="Z16">
        <v>1.3103670000000001</v>
      </c>
      <c r="AA16">
        <v>1.388714</v>
      </c>
      <c r="AB16">
        <v>1.4661869999999999</v>
      </c>
      <c r="AC16">
        <v>1.5489109999999999</v>
      </c>
      <c r="AD16">
        <v>1.633867</v>
      </c>
      <c r="AE16" s="6" t="e">
        <v>#DIV/0!</v>
      </c>
    </row>
    <row r="17" spans="1:31" x14ac:dyDescent="0.25">
      <c r="A17" t="s">
        <v>28</v>
      </c>
      <c r="B17" s="9" t="s">
        <v>45</v>
      </c>
      <c r="C17" t="s">
        <v>30</v>
      </c>
      <c r="D17">
        <v>311.05703699999998</v>
      </c>
      <c r="E17">
        <v>318.97937000000002</v>
      </c>
      <c r="F17">
        <v>324.71044899999998</v>
      </c>
      <c r="G17">
        <v>338.90194700000001</v>
      </c>
      <c r="H17">
        <v>342.741333</v>
      </c>
      <c r="I17">
        <v>348.22079500000001</v>
      </c>
      <c r="J17">
        <v>351.057861</v>
      </c>
      <c r="K17">
        <v>359.31246900000002</v>
      </c>
      <c r="L17">
        <v>363.24783300000001</v>
      </c>
      <c r="M17">
        <v>366.101044</v>
      </c>
      <c r="N17">
        <v>369.13674900000001</v>
      </c>
      <c r="O17">
        <v>378.44665500000002</v>
      </c>
      <c r="P17">
        <v>382.171356</v>
      </c>
      <c r="Q17">
        <v>384.76199300000002</v>
      </c>
      <c r="R17">
        <v>399.54068000000001</v>
      </c>
      <c r="S17">
        <v>392.91336100000001</v>
      </c>
      <c r="T17">
        <v>401.160034</v>
      </c>
      <c r="U17">
        <v>404.71887199999998</v>
      </c>
      <c r="V17">
        <v>398.201324</v>
      </c>
      <c r="W17">
        <v>410.102936</v>
      </c>
      <c r="X17">
        <v>418.14868200000001</v>
      </c>
      <c r="Y17">
        <v>422.11886600000003</v>
      </c>
      <c r="Z17">
        <v>431.22988900000001</v>
      </c>
      <c r="AA17">
        <v>441.61187699999999</v>
      </c>
      <c r="AB17">
        <v>446.69396999999998</v>
      </c>
      <c r="AC17">
        <v>448.721405</v>
      </c>
      <c r="AD17">
        <v>461.429779</v>
      </c>
      <c r="AE17" s="6">
        <v>0.48342498035175469</v>
      </c>
    </row>
    <row r="18" spans="1:31" x14ac:dyDescent="0.25">
      <c r="A18" t="s">
        <v>74</v>
      </c>
      <c r="B18" t="s">
        <v>46</v>
      </c>
      <c r="C18" t="s">
        <v>47</v>
      </c>
      <c r="D18">
        <v>15.568196</v>
      </c>
      <c r="E18">
        <v>15.320985</v>
      </c>
      <c r="F18">
        <v>15.178432000000001</v>
      </c>
      <c r="G18">
        <v>14.016769</v>
      </c>
      <c r="H18">
        <v>13.957576</v>
      </c>
      <c r="I18">
        <v>14.040429</v>
      </c>
      <c r="J18">
        <v>14.101455</v>
      </c>
      <c r="K18">
        <v>14.276685000000001</v>
      </c>
      <c r="L18">
        <v>14.197063999999999</v>
      </c>
      <c r="M18">
        <v>14.395481999999999</v>
      </c>
      <c r="N18">
        <v>14.503119999999999</v>
      </c>
      <c r="O18">
        <v>14.561242999999999</v>
      </c>
      <c r="P18">
        <v>14.532351</v>
      </c>
      <c r="Q18">
        <v>14.436593</v>
      </c>
      <c r="R18">
        <v>14.712292</v>
      </c>
      <c r="S18">
        <v>14.542074</v>
      </c>
      <c r="T18">
        <v>14.574001000000001</v>
      </c>
      <c r="U18">
        <v>14.702349999999999</v>
      </c>
      <c r="V18">
        <v>14.843462000000001</v>
      </c>
      <c r="W18">
        <v>14.974268</v>
      </c>
      <c r="X18">
        <v>15.037602</v>
      </c>
      <c r="Y18">
        <v>15.033486</v>
      </c>
      <c r="Z18">
        <v>15.055016999999999</v>
      </c>
      <c r="AA18">
        <v>15.124040000000001</v>
      </c>
      <c r="AB18">
        <v>15.206182</v>
      </c>
      <c r="AC18">
        <v>15.294848999999999</v>
      </c>
      <c r="AD18">
        <v>15.363801</v>
      </c>
      <c r="AE18" s="6" cm="1">
        <f t="array" ref="AE18:AE22">(AD18:AD22-D18:D22)/D18:D22</f>
        <v>-1.3129009937952983E-2</v>
      </c>
    </row>
    <row r="19" spans="1:31" x14ac:dyDescent="0.25">
      <c r="A19" t="s">
        <v>74</v>
      </c>
      <c r="B19" t="s">
        <v>48</v>
      </c>
      <c r="C19" t="s">
        <v>47</v>
      </c>
      <c r="D19">
        <v>13.328519</v>
      </c>
      <c r="E19">
        <v>13.060651</v>
      </c>
      <c r="F19">
        <v>13.026923</v>
      </c>
      <c r="G19">
        <v>11.882493</v>
      </c>
      <c r="H19">
        <v>11.854639000000001</v>
      </c>
      <c r="I19">
        <v>11.878263</v>
      </c>
      <c r="J19">
        <v>11.944264</v>
      </c>
      <c r="K19">
        <v>12.13092</v>
      </c>
      <c r="L19">
        <v>12.025649</v>
      </c>
      <c r="M19">
        <v>12.218913000000001</v>
      </c>
      <c r="N19">
        <v>12.266560999999999</v>
      </c>
      <c r="O19">
        <v>12.308159</v>
      </c>
      <c r="P19">
        <v>12.255451000000001</v>
      </c>
      <c r="Q19">
        <v>12.132312000000001</v>
      </c>
      <c r="R19">
        <v>12.40368</v>
      </c>
      <c r="S19">
        <v>12.191136</v>
      </c>
      <c r="T19">
        <v>12.186313999999999</v>
      </c>
      <c r="U19">
        <v>12.276687000000001</v>
      </c>
      <c r="V19">
        <v>12.374316</v>
      </c>
      <c r="W19">
        <v>12.454879999999999</v>
      </c>
      <c r="X19">
        <v>12.464912999999999</v>
      </c>
      <c r="Y19">
        <v>12.397948</v>
      </c>
      <c r="Z19">
        <v>12.350709999999999</v>
      </c>
      <c r="AA19">
        <v>12.351069000000001</v>
      </c>
      <c r="AB19">
        <v>12.360738</v>
      </c>
      <c r="AC19">
        <v>12.375381000000001</v>
      </c>
      <c r="AD19">
        <v>12.367373000000001</v>
      </c>
      <c r="AE19" s="6">
        <v>-7.2111987836007835E-2</v>
      </c>
    </row>
    <row r="20" spans="1:31" x14ac:dyDescent="0.25">
      <c r="A20" t="s">
        <v>74</v>
      </c>
      <c r="B20" t="s">
        <v>49</v>
      </c>
      <c r="C20" t="s">
        <v>47</v>
      </c>
      <c r="D20">
        <v>10.927837999999999</v>
      </c>
      <c r="E20">
        <v>10.670648999999999</v>
      </c>
      <c r="F20">
        <v>10.23732</v>
      </c>
      <c r="G20">
        <v>9.0770739999999996</v>
      </c>
      <c r="H20">
        <v>9.0232930000000007</v>
      </c>
      <c r="I20">
        <v>9.076435</v>
      </c>
      <c r="J20">
        <v>9.1267899999999997</v>
      </c>
      <c r="K20">
        <v>9.2383919999999993</v>
      </c>
      <c r="L20">
        <v>9.2229639999999993</v>
      </c>
      <c r="M20">
        <v>9.4161699999999993</v>
      </c>
      <c r="N20">
        <v>9.4850589999999997</v>
      </c>
      <c r="O20">
        <v>9.5159540000000007</v>
      </c>
      <c r="P20">
        <v>9.4713709999999995</v>
      </c>
      <c r="Q20">
        <v>9.3752689999999994</v>
      </c>
      <c r="R20">
        <v>9.5266599999999997</v>
      </c>
      <c r="S20">
        <v>9.3593480000000007</v>
      </c>
      <c r="T20">
        <v>9.3540869999999998</v>
      </c>
      <c r="U20">
        <v>9.4414219999999993</v>
      </c>
      <c r="V20">
        <v>9.5446200000000001</v>
      </c>
      <c r="W20">
        <v>9.6161100000000008</v>
      </c>
      <c r="X20">
        <v>9.6260259999999995</v>
      </c>
      <c r="Y20">
        <v>9.5636039999999998</v>
      </c>
      <c r="Z20">
        <v>9.5214479999999995</v>
      </c>
      <c r="AA20">
        <v>9.5238659999999999</v>
      </c>
      <c r="AB20">
        <v>9.5367390000000007</v>
      </c>
      <c r="AC20">
        <v>9.5485740000000003</v>
      </c>
      <c r="AD20">
        <v>9.5436759999999996</v>
      </c>
      <c r="AE20" s="6">
        <v>-0.12666384695673563</v>
      </c>
    </row>
    <row r="21" spans="1:31" x14ac:dyDescent="0.25">
      <c r="A21" t="s">
        <v>74</v>
      </c>
      <c r="B21" t="s">
        <v>50</v>
      </c>
      <c r="C21" t="s">
        <v>47</v>
      </c>
      <c r="D21">
        <v>12.605378999999999</v>
      </c>
      <c r="E21">
        <v>12.383849</v>
      </c>
      <c r="F21">
        <v>12.023762</v>
      </c>
      <c r="G21">
        <v>10.881565999999999</v>
      </c>
      <c r="H21">
        <v>10.849633000000001</v>
      </c>
      <c r="I21">
        <v>10.925065999999999</v>
      </c>
      <c r="J21">
        <v>11.002985000000001</v>
      </c>
      <c r="K21">
        <v>11.151804</v>
      </c>
      <c r="L21">
        <v>11.146193999999999</v>
      </c>
      <c r="M21">
        <v>11.359612</v>
      </c>
      <c r="N21">
        <v>11.426151000000001</v>
      </c>
      <c r="O21">
        <v>11.474898</v>
      </c>
      <c r="P21">
        <v>11.444649</v>
      </c>
      <c r="Q21">
        <v>11.35647</v>
      </c>
      <c r="R21">
        <v>11.539614</v>
      </c>
      <c r="S21">
        <v>11.384971</v>
      </c>
      <c r="T21">
        <v>11.394361</v>
      </c>
      <c r="U21">
        <v>11.492875</v>
      </c>
      <c r="V21">
        <v>11.604062000000001</v>
      </c>
      <c r="W21">
        <v>11.690954</v>
      </c>
      <c r="X21">
        <v>11.709462</v>
      </c>
      <c r="Y21">
        <v>11.653845</v>
      </c>
      <c r="Z21">
        <v>11.619199</v>
      </c>
      <c r="AA21">
        <v>11.630841999999999</v>
      </c>
      <c r="AB21">
        <v>11.649426</v>
      </c>
      <c r="AC21">
        <v>11.671991999999999</v>
      </c>
      <c r="AD21">
        <v>11.675114000000001</v>
      </c>
      <c r="AE21" s="6">
        <v>-7.3799050389520116E-2</v>
      </c>
    </row>
    <row r="22" spans="1:31" x14ac:dyDescent="0.25">
      <c r="A22" t="s">
        <v>74</v>
      </c>
      <c r="B22" t="s">
        <v>51</v>
      </c>
      <c r="C22" t="s">
        <v>47</v>
      </c>
      <c r="D22">
        <v>13.799537000000001</v>
      </c>
      <c r="E22">
        <v>13.527037999999999</v>
      </c>
      <c r="F22">
        <v>13.373528</v>
      </c>
      <c r="G22">
        <v>12.226718</v>
      </c>
      <c r="H22">
        <v>12.193229000000001</v>
      </c>
      <c r="I22">
        <v>12.252827999999999</v>
      </c>
      <c r="J22">
        <v>12.314800999999999</v>
      </c>
      <c r="K22">
        <v>12.483592</v>
      </c>
      <c r="L22">
        <v>12.404113000000001</v>
      </c>
      <c r="M22">
        <v>12.600064</v>
      </c>
      <c r="N22">
        <v>12.674248</v>
      </c>
      <c r="O22">
        <v>12.719884</v>
      </c>
      <c r="P22">
        <v>12.678584000000001</v>
      </c>
      <c r="Q22">
        <v>12.571752999999999</v>
      </c>
      <c r="R22">
        <v>12.822978000000001</v>
      </c>
      <c r="S22">
        <v>12.637876</v>
      </c>
      <c r="T22">
        <v>12.649596000000001</v>
      </c>
      <c r="U22">
        <v>12.755131</v>
      </c>
      <c r="V22">
        <v>12.875441</v>
      </c>
      <c r="W22">
        <v>12.974518</v>
      </c>
      <c r="X22">
        <v>13.008457</v>
      </c>
      <c r="Y22">
        <v>12.967976</v>
      </c>
      <c r="Z22">
        <v>12.948589999999999</v>
      </c>
      <c r="AA22">
        <v>12.975543</v>
      </c>
      <c r="AB22">
        <v>13.014127</v>
      </c>
      <c r="AC22">
        <v>13.052220999999999</v>
      </c>
      <c r="AD22">
        <v>13.071901</v>
      </c>
      <c r="AE22" s="6">
        <v>-5.2729015473490189E-2</v>
      </c>
    </row>
    <row r="23" spans="1:31" x14ac:dyDescent="0.25">
      <c r="A23" t="s">
        <v>75</v>
      </c>
      <c r="B23" t="s">
        <v>46</v>
      </c>
      <c r="C23" t="s">
        <v>52</v>
      </c>
      <c r="D23">
        <v>15.568196</v>
      </c>
      <c r="E23">
        <v>15.643637</v>
      </c>
      <c r="F23">
        <v>15.78097</v>
      </c>
      <c r="G23">
        <v>14.827413999999999</v>
      </c>
      <c r="H23">
        <v>15.051541</v>
      </c>
      <c r="I23">
        <v>15.433585000000001</v>
      </c>
      <c r="J23">
        <v>15.821232</v>
      </c>
      <c r="K23">
        <v>16.380345999999999</v>
      </c>
      <c r="L23">
        <v>16.666073000000001</v>
      </c>
      <c r="M23">
        <v>17.309683</v>
      </c>
      <c r="N23">
        <v>17.864742</v>
      </c>
      <c r="O23">
        <v>18.368914</v>
      </c>
      <c r="P23">
        <v>18.761799</v>
      </c>
      <c r="Q23">
        <v>19.060614000000001</v>
      </c>
      <c r="R23">
        <v>19.844159999999999</v>
      </c>
      <c r="S23">
        <v>20.022673000000001</v>
      </c>
      <c r="T23">
        <v>20.481182</v>
      </c>
      <c r="U23">
        <v>21.084074000000001</v>
      </c>
      <c r="V23">
        <v>21.719635</v>
      </c>
      <c r="W23">
        <v>22.358256999999998</v>
      </c>
      <c r="X23">
        <v>22.909072999999999</v>
      </c>
      <c r="Y23">
        <v>23.375039999999998</v>
      </c>
      <c r="Z23">
        <v>23.891607</v>
      </c>
      <c r="AA23">
        <v>24.508330999999998</v>
      </c>
      <c r="AB23">
        <v>25.171790999999999</v>
      </c>
      <c r="AC23">
        <v>25.867827999999999</v>
      </c>
      <c r="AD23">
        <v>26.557434000000001</v>
      </c>
      <c r="AE23" s="6" cm="1">
        <f t="array" ref="AE23:AE27">(AD23:AD27-D23:D27)/D23:D27</f>
        <v>0.70587741829560724</v>
      </c>
    </row>
    <row r="24" spans="1:31" x14ac:dyDescent="0.25">
      <c r="A24" t="s">
        <v>75</v>
      </c>
      <c r="B24" t="s">
        <v>48</v>
      </c>
      <c r="C24" t="s">
        <v>52</v>
      </c>
      <c r="D24">
        <v>13.328519</v>
      </c>
      <c r="E24">
        <v>13.335701</v>
      </c>
      <c r="F24">
        <v>13.544051</v>
      </c>
      <c r="G24">
        <v>12.569704</v>
      </c>
      <c r="H24">
        <v>12.78378</v>
      </c>
      <c r="I24">
        <v>13.056879</v>
      </c>
      <c r="J24">
        <v>13.400956000000001</v>
      </c>
      <c r="K24">
        <v>13.918405999999999</v>
      </c>
      <c r="L24">
        <v>14.117025999999999</v>
      </c>
      <c r="M24">
        <v>14.692492</v>
      </c>
      <c r="N24">
        <v>15.109778</v>
      </c>
      <c r="O24">
        <v>15.526662999999999</v>
      </c>
      <c r="P24">
        <v>15.822239</v>
      </c>
      <c r="Q24">
        <v>16.018274000000002</v>
      </c>
      <c r="R24">
        <v>16.730270000000001</v>
      </c>
      <c r="S24">
        <v>16.785715</v>
      </c>
      <c r="T24">
        <v>17.125710000000002</v>
      </c>
      <c r="U24">
        <v>17.605523999999999</v>
      </c>
      <c r="V24">
        <v>18.106667000000002</v>
      </c>
      <c r="W24">
        <v>18.596529</v>
      </c>
      <c r="X24">
        <v>18.989704</v>
      </c>
      <c r="Y24">
        <v>19.277134</v>
      </c>
      <c r="Z24">
        <v>19.599997999999999</v>
      </c>
      <c r="AA24">
        <v>20.014765000000001</v>
      </c>
      <c r="AB24">
        <v>20.461542000000001</v>
      </c>
      <c r="AC24">
        <v>20.930197</v>
      </c>
      <c r="AD24">
        <v>21.377891999999999</v>
      </c>
      <c r="AE24" s="6">
        <v>0.60392103578799705</v>
      </c>
    </row>
    <row r="25" spans="1:31" x14ac:dyDescent="0.25">
      <c r="A25" t="s">
        <v>75</v>
      </c>
      <c r="B25" t="s">
        <v>49</v>
      </c>
      <c r="C25" t="s">
        <v>52</v>
      </c>
      <c r="D25">
        <v>10.927837999999999</v>
      </c>
      <c r="E25">
        <v>10.895367</v>
      </c>
      <c r="F25">
        <v>10.64371</v>
      </c>
      <c r="G25">
        <v>9.602036</v>
      </c>
      <c r="H25">
        <v>9.7305200000000003</v>
      </c>
      <c r="I25">
        <v>9.9770409999999998</v>
      </c>
      <c r="J25">
        <v>10.23987</v>
      </c>
      <c r="K25">
        <v>10.599664000000001</v>
      </c>
      <c r="L25">
        <v>10.826928000000001</v>
      </c>
      <c r="M25">
        <v>11.322366000000001</v>
      </c>
      <c r="N25">
        <v>11.683562999999999</v>
      </c>
      <c r="O25">
        <v>12.004314000000001</v>
      </c>
      <c r="P25">
        <v>12.227888</v>
      </c>
      <c r="Q25">
        <v>12.378155</v>
      </c>
      <c r="R25">
        <v>12.849703</v>
      </c>
      <c r="S25">
        <v>12.886685999999999</v>
      </c>
      <c r="T25">
        <v>13.145515</v>
      </c>
      <c r="U25">
        <v>13.539578000000001</v>
      </c>
      <c r="V25">
        <v>13.966125</v>
      </c>
      <c r="W25">
        <v>14.357927</v>
      </c>
      <c r="X25">
        <v>14.664794000000001</v>
      </c>
      <c r="Y25">
        <v>14.870113</v>
      </c>
      <c r="Z25">
        <v>15.110092</v>
      </c>
      <c r="AA25">
        <v>15.433313999999999</v>
      </c>
      <c r="AB25">
        <v>15.786792</v>
      </c>
      <c r="AC25">
        <v>16.149286</v>
      </c>
      <c r="AD25">
        <v>16.496929000000002</v>
      </c>
      <c r="AE25" s="6">
        <v>0.50962422759195392</v>
      </c>
    </row>
    <row r="26" spans="1:31" x14ac:dyDescent="0.25">
      <c r="A26" t="s">
        <v>75</v>
      </c>
      <c r="B26" t="s">
        <v>50</v>
      </c>
      <c r="C26" t="s">
        <v>52</v>
      </c>
      <c r="D26">
        <v>12.605378999999999</v>
      </c>
      <c r="E26">
        <v>12.644647000000001</v>
      </c>
      <c r="F26">
        <v>12.501067000000001</v>
      </c>
      <c r="G26">
        <v>11.510889000000001</v>
      </c>
      <c r="H26">
        <v>11.700004</v>
      </c>
      <c r="I26">
        <v>12.009102</v>
      </c>
      <c r="J26">
        <v>12.34488</v>
      </c>
      <c r="K26">
        <v>12.795016</v>
      </c>
      <c r="L26">
        <v>13.084626</v>
      </c>
      <c r="M26">
        <v>13.659235000000001</v>
      </c>
      <c r="N26">
        <v>14.074574</v>
      </c>
      <c r="O26">
        <v>14.47551</v>
      </c>
      <c r="P26">
        <v>14.775461999999999</v>
      </c>
      <c r="Q26">
        <v>14.993933</v>
      </c>
      <c r="R26">
        <v>15.564804000000001</v>
      </c>
      <c r="S26">
        <v>15.675722</v>
      </c>
      <c r="T26">
        <v>16.012758000000002</v>
      </c>
      <c r="U26">
        <v>16.481489</v>
      </c>
      <c r="V26">
        <v>16.979596999999998</v>
      </c>
      <c r="W26">
        <v>17.455901999999998</v>
      </c>
      <c r="X26">
        <v>17.838809999999999</v>
      </c>
      <c r="Y26">
        <v>18.120152999999998</v>
      </c>
      <c r="Z26">
        <v>18.439125000000001</v>
      </c>
      <c r="AA26">
        <v>18.847645</v>
      </c>
      <c r="AB26">
        <v>19.28406</v>
      </c>
      <c r="AC26">
        <v>19.740573999999999</v>
      </c>
      <c r="AD26">
        <v>20.181273000000001</v>
      </c>
      <c r="AE26" s="6">
        <v>0.60100485673616022</v>
      </c>
    </row>
    <row r="27" spans="1:31" x14ac:dyDescent="0.25">
      <c r="A27" t="s">
        <v>75</v>
      </c>
      <c r="B27" t="s">
        <v>51</v>
      </c>
      <c r="C27" t="s">
        <v>52</v>
      </c>
      <c r="D27">
        <v>13.799537000000001</v>
      </c>
      <c r="E27">
        <v>13.811909999999999</v>
      </c>
      <c r="F27">
        <v>13.904413999999999</v>
      </c>
      <c r="G27">
        <v>12.933837</v>
      </c>
      <c r="H27">
        <v>13.148908</v>
      </c>
      <c r="I27">
        <v>13.46861</v>
      </c>
      <c r="J27">
        <v>13.816682999999999</v>
      </c>
      <c r="K27">
        <v>14.323043</v>
      </c>
      <c r="L27">
        <v>14.561309</v>
      </c>
      <c r="M27">
        <v>15.150803</v>
      </c>
      <c r="N27">
        <v>15.611961000000001</v>
      </c>
      <c r="O27">
        <v>16.046050999999999</v>
      </c>
      <c r="P27">
        <v>16.368518999999999</v>
      </c>
      <c r="Q27">
        <v>16.598469000000001</v>
      </c>
      <c r="R27">
        <v>17.295826000000002</v>
      </c>
      <c r="S27">
        <v>17.40082</v>
      </c>
      <c r="T27">
        <v>17.776769999999999</v>
      </c>
      <c r="U27">
        <v>18.291640999999998</v>
      </c>
      <c r="V27">
        <v>18.839935000000001</v>
      </c>
      <c r="W27">
        <v>19.372408</v>
      </c>
      <c r="X27">
        <v>19.817768000000001</v>
      </c>
      <c r="Y27">
        <v>20.163450000000001</v>
      </c>
      <c r="Z27">
        <v>20.548807</v>
      </c>
      <c r="AA27">
        <v>21.026717999999999</v>
      </c>
      <c r="AB27">
        <v>21.543139</v>
      </c>
      <c r="AC27">
        <v>22.074923999999999</v>
      </c>
      <c r="AD27">
        <v>22.59572</v>
      </c>
      <c r="AE27" s="6">
        <v>0.63742595131996083</v>
      </c>
    </row>
    <row r="28" spans="1:31" x14ac:dyDescent="0.25">
      <c r="A28" t="s">
        <v>76</v>
      </c>
      <c r="B28" t="s">
        <v>53</v>
      </c>
      <c r="C28" t="s">
        <v>47</v>
      </c>
      <c r="D28">
        <v>6.6292070000000001</v>
      </c>
      <c r="E28">
        <v>6.285577</v>
      </c>
      <c r="F28">
        <v>5.980118</v>
      </c>
      <c r="G28">
        <v>4.6939080000000004</v>
      </c>
      <c r="H28">
        <v>4.5253779999999999</v>
      </c>
      <c r="I28">
        <v>4.4556959999999997</v>
      </c>
      <c r="J28">
        <v>4.4101840000000001</v>
      </c>
      <c r="K28">
        <v>4.4913460000000001</v>
      </c>
      <c r="L28">
        <v>4.3433609999999998</v>
      </c>
      <c r="M28">
        <v>4.4766599999999999</v>
      </c>
      <c r="N28">
        <v>4.495628</v>
      </c>
      <c r="O28">
        <v>4.4835710000000004</v>
      </c>
      <c r="P28">
        <v>4.3837419999999998</v>
      </c>
      <c r="Q28">
        <v>4.2382629999999999</v>
      </c>
      <c r="R28">
        <v>4.4347399999999997</v>
      </c>
      <c r="S28">
        <v>4.1755339999999999</v>
      </c>
      <c r="T28">
        <v>4.1188510000000003</v>
      </c>
      <c r="U28">
        <v>4.1677749999999998</v>
      </c>
      <c r="V28">
        <v>4.2268129999999999</v>
      </c>
      <c r="W28">
        <v>4.2594469999999998</v>
      </c>
      <c r="X28">
        <v>4.2327620000000001</v>
      </c>
      <c r="Y28">
        <v>4.1339079999999999</v>
      </c>
      <c r="Z28">
        <v>4.0511379999999999</v>
      </c>
      <c r="AA28">
        <v>4.015854</v>
      </c>
      <c r="AB28">
        <v>3.9929199999999998</v>
      </c>
      <c r="AC28">
        <v>3.9644539999999999</v>
      </c>
      <c r="AD28">
        <v>3.9170039999999999</v>
      </c>
      <c r="AE28" s="6" cm="1">
        <f t="array" ref="AE28:AE30">(AD28:AD30-D28:D30)/D28:D30</f>
        <v>-0.40912932723325734</v>
      </c>
    </row>
    <row r="29" spans="1:31" x14ac:dyDescent="0.25">
      <c r="A29" t="s">
        <v>76</v>
      </c>
      <c r="B29" t="s">
        <v>54</v>
      </c>
      <c r="C29" t="s">
        <v>47</v>
      </c>
      <c r="D29">
        <v>2.242372</v>
      </c>
      <c r="E29">
        <v>2.308567</v>
      </c>
      <c r="F29">
        <v>2.4169839999999998</v>
      </c>
      <c r="G29">
        <v>2.5164119999999999</v>
      </c>
      <c r="H29">
        <v>2.6106389999999999</v>
      </c>
      <c r="I29">
        <v>2.7002830000000002</v>
      </c>
      <c r="J29">
        <v>2.7763939999999998</v>
      </c>
      <c r="K29">
        <v>2.8404530000000001</v>
      </c>
      <c r="L29">
        <v>2.8940890000000001</v>
      </c>
      <c r="M29">
        <v>2.9429270000000001</v>
      </c>
      <c r="N29">
        <v>2.9862099999999998</v>
      </c>
      <c r="O29">
        <v>3.0327199999999999</v>
      </c>
      <c r="P29">
        <v>3.0808469999999999</v>
      </c>
      <c r="Q29">
        <v>3.1103830000000001</v>
      </c>
      <c r="R29">
        <v>3.150112</v>
      </c>
      <c r="S29">
        <v>3.2042259999999998</v>
      </c>
      <c r="T29">
        <v>3.251865</v>
      </c>
      <c r="U29">
        <v>3.284227</v>
      </c>
      <c r="V29">
        <v>3.3166639999999998</v>
      </c>
      <c r="W29">
        <v>3.3528859999999998</v>
      </c>
      <c r="X29">
        <v>3.385516</v>
      </c>
      <c r="Y29">
        <v>3.4163220000000001</v>
      </c>
      <c r="Z29">
        <v>3.4489779999999999</v>
      </c>
      <c r="AA29">
        <v>3.4811320000000001</v>
      </c>
      <c r="AB29">
        <v>3.5137999999999998</v>
      </c>
      <c r="AC29">
        <v>3.553747</v>
      </c>
      <c r="AD29">
        <v>3.597448</v>
      </c>
      <c r="AE29" s="6">
        <v>0.60430472731553908</v>
      </c>
    </row>
    <row r="30" spans="1:31" x14ac:dyDescent="0.25">
      <c r="A30" t="s">
        <v>76</v>
      </c>
      <c r="B30" t="s">
        <v>55</v>
      </c>
      <c r="C30" t="s">
        <v>47</v>
      </c>
      <c r="D30">
        <v>4.9279570000000001</v>
      </c>
      <c r="E30">
        <v>4.932893</v>
      </c>
      <c r="F30">
        <v>4.976426</v>
      </c>
      <c r="G30">
        <v>5.0163979999999997</v>
      </c>
      <c r="H30">
        <v>5.057213</v>
      </c>
      <c r="I30">
        <v>5.0968489999999997</v>
      </c>
      <c r="J30">
        <v>5.1282220000000001</v>
      </c>
      <c r="K30">
        <v>5.1517929999999996</v>
      </c>
      <c r="L30">
        <v>5.1666619999999996</v>
      </c>
      <c r="M30">
        <v>5.1804769999999998</v>
      </c>
      <c r="N30">
        <v>5.1924089999999996</v>
      </c>
      <c r="O30">
        <v>5.2035929999999997</v>
      </c>
      <c r="P30">
        <v>5.2139949999999997</v>
      </c>
      <c r="Q30">
        <v>5.2231059999999996</v>
      </c>
      <c r="R30">
        <v>5.2381279999999997</v>
      </c>
      <c r="S30">
        <v>5.258114</v>
      </c>
      <c r="T30">
        <v>5.27888</v>
      </c>
      <c r="U30">
        <v>5.3031290000000002</v>
      </c>
      <c r="V30">
        <v>5.3319640000000001</v>
      </c>
      <c r="W30">
        <v>5.3621850000000002</v>
      </c>
      <c r="X30">
        <v>5.3901789999999998</v>
      </c>
      <c r="Y30">
        <v>5.417745</v>
      </c>
      <c r="Z30">
        <v>5.4484729999999999</v>
      </c>
      <c r="AA30">
        <v>5.4785579999999996</v>
      </c>
      <c r="AB30">
        <v>5.5074069999999997</v>
      </c>
      <c r="AC30">
        <v>5.5340210000000001</v>
      </c>
      <c r="AD30">
        <v>5.5574490000000001</v>
      </c>
      <c r="AE30" s="6">
        <v>0.12773893928051724</v>
      </c>
    </row>
    <row r="31" spans="1:31" x14ac:dyDescent="0.25">
      <c r="A31" t="s">
        <v>77</v>
      </c>
      <c r="B31" t="s">
        <v>53</v>
      </c>
      <c r="C31" t="s">
        <v>52</v>
      </c>
      <c r="D31">
        <v>6.6292070000000001</v>
      </c>
      <c r="E31">
        <v>6.417948</v>
      </c>
      <c r="F31">
        <v>6.2175099999999999</v>
      </c>
      <c r="G31">
        <v>4.9653739999999997</v>
      </c>
      <c r="H31">
        <v>4.8800679999999996</v>
      </c>
      <c r="I31">
        <v>4.8978109999999999</v>
      </c>
      <c r="J31">
        <v>4.9480389999999996</v>
      </c>
      <c r="K31">
        <v>5.153143</v>
      </c>
      <c r="L31">
        <v>5.0987140000000002</v>
      </c>
      <c r="M31">
        <v>5.3829079999999996</v>
      </c>
      <c r="N31">
        <v>5.5376519999999996</v>
      </c>
      <c r="O31">
        <v>5.655996</v>
      </c>
      <c r="P31">
        <v>5.6595719999999998</v>
      </c>
      <c r="Q31">
        <v>5.5957730000000003</v>
      </c>
      <c r="R31">
        <v>5.9816440000000002</v>
      </c>
      <c r="S31">
        <v>5.7492039999999998</v>
      </c>
      <c r="T31">
        <v>5.7883170000000002</v>
      </c>
      <c r="U31">
        <v>5.976845</v>
      </c>
      <c r="V31">
        <v>6.1848669999999997</v>
      </c>
      <c r="W31">
        <v>6.3598309999999998</v>
      </c>
      <c r="X31">
        <v>6.4484120000000003</v>
      </c>
      <c r="Y31">
        <v>6.4276679999999997</v>
      </c>
      <c r="Z31">
        <v>6.4289670000000001</v>
      </c>
      <c r="AA31">
        <v>6.5076450000000001</v>
      </c>
      <c r="AB31">
        <v>6.6097440000000001</v>
      </c>
      <c r="AC31">
        <v>6.7049909999999997</v>
      </c>
      <c r="AD31">
        <v>6.770823</v>
      </c>
      <c r="AE31" s="6" cm="1">
        <f t="array" ref="AE31:AE33">(AD31:AD33-D31:D33)/D31:D33</f>
        <v>2.136243445105877E-2</v>
      </c>
    </row>
    <row r="32" spans="1:31" x14ac:dyDescent="0.25">
      <c r="A32" t="s">
        <v>77</v>
      </c>
      <c r="B32" t="s">
        <v>54</v>
      </c>
      <c r="C32" t="s">
        <v>52</v>
      </c>
      <c r="D32">
        <v>2.242372</v>
      </c>
      <c r="E32">
        <v>2.3571849999999999</v>
      </c>
      <c r="F32">
        <v>2.512931</v>
      </c>
      <c r="G32">
        <v>2.6619459999999999</v>
      </c>
      <c r="H32">
        <v>2.8152550000000001</v>
      </c>
      <c r="I32">
        <v>2.9682179999999998</v>
      </c>
      <c r="J32">
        <v>3.1149960000000001</v>
      </c>
      <c r="K32">
        <v>3.2589920000000001</v>
      </c>
      <c r="L32">
        <v>3.3974000000000002</v>
      </c>
      <c r="M32">
        <v>3.5386890000000002</v>
      </c>
      <c r="N32">
        <v>3.678372</v>
      </c>
      <c r="O32">
        <v>3.8257569999999999</v>
      </c>
      <c r="P32">
        <v>3.9774859999999999</v>
      </c>
      <c r="Q32">
        <v>4.1066349999999998</v>
      </c>
      <c r="R32">
        <v>4.2489179999999998</v>
      </c>
      <c r="S32">
        <v>4.4118310000000003</v>
      </c>
      <c r="T32">
        <v>4.5699209999999999</v>
      </c>
      <c r="U32">
        <v>4.709784</v>
      </c>
      <c r="V32">
        <v>4.8530949999999997</v>
      </c>
      <c r="W32">
        <v>5.0062340000000001</v>
      </c>
      <c r="X32">
        <v>5.157673</v>
      </c>
      <c r="Y32">
        <v>5.3119189999999996</v>
      </c>
      <c r="Z32">
        <v>5.4733669999999996</v>
      </c>
      <c r="AA32">
        <v>5.641133</v>
      </c>
      <c r="AB32">
        <v>5.8166250000000002</v>
      </c>
      <c r="AC32">
        <v>6.01037</v>
      </c>
      <c r="AD32">
        <v>6.2184470000000003</v>
      </c>
      <c r="AE32" s="6">
        <v>1.7731558367657108</v>
      </c>
    </row>
    <row r="33" spans="1:31" x14ac:dyDescent="0.25">
      <c r="A33" t="s">
        <v>77</v>
      </c>
      <c r="B33" t="s">
        <v>55</v>
      </c>
      <c r="C33" t="s">
        <v>52</v>
      </c>
      <c r="D33">
        <v>4.9279570000000001</v>
      </c>
      <c r="E33">
        <v>5.0367769999999998</v>
      </c>
      <c r="F33">
        <v>5.1739750000000004</v>
      </c>
      <c r="G33">
        <v>5.3065160000000002</v>
      </c>
      <c r="H33">
        <v>5.4535859999999996</v>
      </c>
      <c r="I33">
        <v>5.602582</v>
      </c>
      <c r="J33">
        <v>5.753647</v>
      </c>
      <c r="K33">
        <v>5.9109080000000001</v>
      </c>
      <c r="L33">
        <v>6.0651950000000001</v>
      </c>
      <c r="M33">
        <v>6.2292050000000003</v>
      </c>
      <c r="N33">
        <v>6.395937</v>
      </c>
      <c r="O33">
        <v>6.5642990000000001</v>
      </c>
      <c r="P33">
        <v>6.7314600000000002</v>
      </c>
      <c r="Q33">
        <v>6.8960600000000003</v>
      </c>
      <c r="R33">
        <v>7.0652660000000003</v>
      </c>
      <c r="S33">
        <v>7.2397850000000004</v>
      </c>
      <c r="T33">
        <v>7.4185319999999999</v>
      </c>
      <c r="U33">
        <v>7.6050129999999996</v>
      </c>
      <c r="V33">
        <v>7.8019749999999997</v>
      </c>
      <c r="W33">
        <v>8.0063429999999993</v>
      </c>
      <c r="X33">
        <v>8.2116810000000005</v>
      </c>
      <c r="Y33">
        <v>8.4238619999999997</v>
      </c>
      <c r="Z33">
        <v>8.6464719999999993</v>
      </c>
      <c r="AA33">
        <v>8.8779400000000006</v>
      </c>
      <c r="AB33">
        <v>9.1167719999999992</v>
      </c>
      <c r="AC33">
        <v>9.3595640000000007</v>
      </c>
      <c r="AD33">
        <v>9.6064489999999996</v>
      </c>
      <c r="AE33" s="6">
        <v>0.94937760211787547</v>
      </c>
    </row>
    <row r="34" spans="1:31" x14ac:dyDescent="0.25">
      <c r="A34" t="s">
        <v>56</v>
      </c>
      <c r="B34" t="s">
        <v>57</v>
      </c>
      <c r="C34" t="s">
        <v>58</v>
      </c>
      <c r="D34">
        <v>26.020475000000001</v>
      </c>
      <c r="E34">
        <v>27.195951000000001</v>
      </c>
      <c r="F34">
        <v>24.872744000000001</v>
      </c>
      <c r="G34">
        <v>25.472218000000002</v>
      </c>
      <c r="H34">
        <v>25.081569999999999</v>
      </c>
      <c r="I34">
        <v>24.633482000000001</v>
      </c>
      <c r="J34">
        <v>23.899424</v>
      </c>
      <c r="K34">
        <v>23.97784</v>
      </c>
      <c r="L34">
        <v>22.767254000000001</v>
      </c>
      <c r="M34">
        <v>22.810448000000001</v>
      </c>
      <c r="N34">
        <v>22.824491999999999</v>
      </c>
      <c r="O34">
        <v>20.727148</v>
      </c>
      <c r="P34">
        <v>19.639966999999999</v>
      </c>
      <c r="Q34">
        <v>19.453682000000001</v>
      </c>
      <c r="R34">
        <v>18.983021000000001</v>
      </c>
      <c r="S34">
        <v>16.044309999999999</v>
      </c>
      <c r="T34">
        <v>16.17728</v>
      </c>
      <c r="U34">
        <v>16.518639</v>
      </c>
      <c r="V34">
        <v>15.546599000000001</v>
      </c>
      <c r="W34">
        <v>16.982861</v>
      </c>
      <c r="X34">
        <v>18.038843</v>
      </c>
      <c r="Y34">
        <v>18.581876999999999</v>
      </c>
      <c r="Z34">
        <v>19.780525000000001</v>
      </c>
      <c r="AA34">
        <v>21.192204</v>
      </c>
      <c r="AB34">
        <v>21.195160000000001</v>
      </c>
      <c r="AC34">
        <v>19.976922999999999</v>
      </c>
      <c r="AD34">
        <v>20.014862000000001</v>
      </c>
      <c r="AE34" s="6" cm="1">
        <f t="array" ref="AE34:AE38">(AD34:AD38-D34:D38)/D34:D38</f>
        <v>-0.23080335774039482</v>
      </c>
    </row>
    <row r="35" spans="1:31" x14ac:dyDescent="0.25">
      <c r="A35" t="s">
        <v>56</v>
      </c>
      <c r="B35" t="s">
        <v>59</v>
      </c>
      <c r="C35" t="s">
        <v>58</v>
      </c>
      <c r="D35">
        <v>95.408362999999994</v>
      </c>
      <c r="E35">
        <v>99.718483000000006</v>
      </c>
      <c r="F35">
        <v>91.200073000000003</v>
      </c>
      <c r="G35">
        <v>93.398300000000006</v>
      </c>
      <c r="H35">
        <v>91.965789999999998</v>
      </c>
      <c r="I35">
        <v>90.322823</v>
      </c>
      <c r="J35">
        <v>87.631225999999998</v>
      </c>
      <c r="K35">
        <v>87.918769999999995</v>
      </c>
      <c r="L35">
        <v>83.479957999999996</v>
      </c>
      <c r="M35">
        <v>83.638306</v>
      </c>
      <c r="N35">
        <v>83.689835000000002</v>
      </c>
      <c r="O35">
        <v>75.999542000000005</v>
      </c>
      <c r="P35">
        <v>72.013205999999997</v>
      </c>
      <c r="Q35">
        <v>71.330146999999997</v>
      </c>
      <c r="R35">
        <v>69.604370000000003</v>
      </c>
      <c r="S35">
        <v>58.829113</v>
      </c>
      <c r="T35">
        <v>59.316673000000002</v>
      </c>
      <c r="U35">
        <v>60.568317</v>
      </c>
      <c r="V35">
        <v>57.004168999999997</v>
      </c>
      <c r="W35">
        <v>62.270443</v>
      </c>
      <c r="X35">
        <v>66.142386999999999</v>
      </c>
      <c r="Y35">
        <v>68.133469000000005</v>
      </c>
      <c r="Z35">
        <v>72.528571999999997</v>
      </c>
      <c r="AA35">
        <v>77.704696999999996</v>
      </c>
      <c r="AB35">
        <v>77.715584000000007</v>
      </c>
      <c r="AC35">
        <v>73.248756</v>
      </c>
      <c r="AD35">
        <v>73.387833000000001</v>
      </c>
      <c r="AE35" s="6">
        <v>-0.23080293286239484</v>
      </c>
    </row>
    <row r="36" spans="1:31" x14ac:dyDescent="0.25">
      <c r="A36" t="s">
        <v>56</v>
      </c>
      <c r="B36" t="s">
        <v>60</v>
      </c>
      <c r="C36" t="s">
        <v>58</v>
      </c>
      <c r="D36">
        <v>6.7739999999999995E-2</v>
      </c>
      <c r="E36">
        <v>5.0812999999999997E-2</v>
      </c>
      <c r="F36">
        <v>3.2412999999999997E-2</v>
      </c>
      <c r="G36">
        <v>3.7413000000000002E-2</v>
      </c>
      <c r="H36">
        <v>3.7130000000000003E-2</v>
      </c>
      <c r="I36">
        <v>2.7326E-2</v>
      </c>
      <c r="J36">
        <v>2.4111E-2</v>
      </c>
      <c r="K36">
        <v>2.5155E-2</v>
      </c>
      <c r="L36">
        <v>4.2310000000000004E-3</v>
      </c>
      <c r="M36">
        <v>4.4809999999999997E-3</v>
      </c>
      <c r="N36">
        <v>4.4739999999999997E-3</v>
      </c>
      <c r="O36">
        <v>4.8019999999999998E-3</v>
      </c>
      <c r="P36">
        <v>5.4869999999999997E-3</v>
      </c>
      <c r="Q36">
        <v>6.1879999999999999E-3</v>
      </c>
      <c r="R36">
        <v>4.8820000000000001E-3</v>
      </c>
      <c r="S36">
        <v>1.369E-3</v>
      </c>
      <c r="T36">
        <v>1.3849999999999999E-3</v>
      </c>
      <c r="U36">
        <v>1.4E-3</v>
      </c>
      <c r="V36">
        <v>1.4139999999999999E-3</v>
      </c>
      <c r="W36">
        <v>1.4319999999999999E-3</v>
      </c>
      <c r="X36">
        <v>1.446E-3</v>
      </c>
      <c r="Y36">
        <v>1.457E-3</v>
      </c>
      <c r="Z36">
        <v>1.4610000000000001E-3</v>
      </c>
      <c r="AA36">
        <v>1.4599999999999999E-3</v>
      </c>
      <c r="AB36">
        <v>1.462E-3</v>
      </c>
      <c r="AC36">
        <v>1.4630000000000001E-3</v>
      </c>
      <c r="AD36">
        <v>1.4679999999999999E-3</v>
      </c>
      <c r="AE36" s="6">
        <v>-0.97832890463537059</v>
      </c>
    </row>
    <row r="37" spans="1:31" x14ac:dyDescent="0.25">
      <c r="A37" t="s">
        <v>56</v>
      </c>
      <c r="B37" t="s">
        <v>61</v>
      </c>
      <c r="C37" t="s">
        <v>58</v>
      </c>
      <c r="D37">
        <v>2.5751E-2</v>
      </c>
      <c r="E37">
        <v>2.3293999999999999E-2</v>
      </c>
      <c r="F37">
        <v>2.0116999999999999E-2</v>
      </c>
      <c r="G37">
        <v>2.2044999999999999E-2</v>
      </c>
      <c r="H37">
        <v>2.1498E-2</v>
      </c>
      <c r="I37">
        <v>2.0299000000000001E-2</v>
      </c>
      <c r="J37">
        <v>2.2911999999999998E-2</v>
      </c>
      <c r="K37">
        <v>2.4434999999999998E-2</v>
      </c>
      <c r="L37">
        <v>2.4462999999999999E-2</v>
      </c>
      <c r="M37">
        <v>2.3047000000000002E-2</v>
      </c>
      <c r="N37">
        <v>2.2287999999999999E-2</v>
      </c>
      <c r="O37">
        <v>1.9893999999999998E-2</v>
      </c>
      <c r="P37">
        <v>1.9342000000000002E-2</v>
      </c>
      <c r="Q37">
        <v>1.8033E-2</v>
      </c>
      <c r="R37">
        <v>1.7623E-2</v>
      </c>
      <c r="S37">
        <v>1.5386E-2</v>
      </c>
      <c r="T37">
        <v>1.6108999999999998E-2</v>
      </c>
      <c r="U37">
        <v>1.6434000000000001E-2</v>
      </c>
      <c r="V37">
        <v>1.5758999999999999E-2</v>
      </c>
      <c r="W37">
        <v>1.7163999999999999E-2</v>
      </c>
      <c r="X37">
        <v>1.8751E-2</v>
      </c>
      <c r="Y37">
        <v>1.9327E-2</v>
      </c>
      <c r="Z37">
        <v>2.0986999999999999E-2</v>
      </c>
      <c r="AA37">
        <v>2.3040000000000001E-2</v>
      </c>
      <c r="AB37">
        <v>2.3030999999999999E-2</v>
      </c>
      <c r="AC37">
        <v>2.0268000000000001E-2</v>
      </c>
      <c r="AD37">
        <v>2.0820999999999999E-2</v>
      </c>
      <c r="AE37" s="6">
        <v>-0.19144887577181471</v>
      </c>
    </row>
    <row r="38" spans="1:31" x14ac:dyDescent="0.25">
      <c r="A38" t="s">
        <v>56</v>
      </c>
      <c r="B38" t="s">
        <v>62</v>
      </c>
      <c r="C38" t="s">
        <v>63</v>
      </c>
      <c r="D38">
        <v>0.232322</v>
      </c>
      <c r="E38">
        <v>0.29112199999999999</v>
      </c>
      <c r="F38">
        <v>0.21716199999999999</v>
      </c>
      <c r="G38">
        <v>0.21976499999999999</v>
      </c>
      <c r="H38">
        <v>0.22051899999999999</v>
      </c>
      <c r="I38">
        <v>0.20888899999999999</v>
      </c>
      <c r="J38">
        <v>0.20184099999999999</v>
      </c>
      <c r="K38">
        <v>0.196823</v>
      </c>
      <c r="L38">
        <v>8.2369999999999995E-3</v>
      </c>
      <c r="M38">
        <v>8.6090000000000003E-3</v>
      </c>
      <c r="N38">
        <v>8.1770000000000002E-3</v>
      </c>
      <c r="O38">
        <v>8.8339999999999998E-3</v>
      </c>
      <c r="P38">
        <v>8.6E-3</v>
      </c>
      <c r="Q38">
        <v>6.4440000000000001E-3</v>
      </c>
      <c r="R38">
        <v>3.614E-3</v>
      </c>
      <c r="S38">
        <v>4.6999999999999997E-5</v>
      </c>
      <c r="T38">
        <v>4.8999999999999998E-5</v>
      </c>
      <c r="U38">
        <v>5.0000000000000002E-5</v>
      </c>
      <c r="V38">
        <v>5.1E-5</v>
      </c>
      <c r="W38">
        <v>5.3999999999999998E-5</v>
      </c>
      <c r="X38">
        <v>5.7000000000000003E-5</v>
      </c>
      <c r="Y38">
        <v>5.8E-5</v>
      </c>
      <c r="Z38">
        <v>5.7000000000000003E-5</v>
      </c>
      <c r="AA38">
        <v>6.8999999999999997E-5</v>
      </c>
      <c r="AB38">
        <v>7.3999999999999996E-5</v>
      </c>
      <c r="AC38">
        <v>7.3999999999999996E-5</v>
      </c>
      <c r="AD38">
        <v>6.3999999999999997E-5</v>
      </c>
      <c r="AE38" s="6">
        <v>-0.99972452027789016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75.887640545084338</v>
      </c>
      <c r="E39" s="4" cm="1">
        <f t="array" ref="E39:E42">907185*E34:E37*10^6/(E17*10^9)</f>
        <v>77.345938729313431</v>
      </c>
      <c r="F39" s="4" cm="1">
        <f t="array" ref="F39:F42">907185*F34:F37*10^6/(F17*10^9)</f>
        <v>69.49015757001402</v>
      </c>
      <c r="G39" s="4" cm="1">
        <f t="array" ref="G39:G42">907185*G34:G37*10^6/(G17*10^9)</f>
        <v>68.184955238188707</v>
      </c>
      <c r="H39" s="4" cm="1">
        <f t="array" ref="H39:H42">907185*H34:H37*10^6/(H17*10^9)</f>
        <v>66.387161073595991</v>
      </c>
      <c r="I39" s="4" cm="1">
        <f t="array" ref="I39:I42">907185*I34:I37*10^6/(I17*10^9)</f>
        <v>64.175160384002908</v>
      </c>
      <c r="J39" s="4" cm="1">
        <f t="array" ref="J39:J42">907185*J34:J37*10^6/(J17*10^9)</f>
        <v>61.759616775651693</v>
      </c>
      <c r="K39" s="4" cm="1">
        <f t="array" ref="K39:K42">907185*K34:K37*10^6/(K17*10^9)</f>
        <v>60.538775180663158</v>
      </c>
      <c r="L39" s="4" cm="1">
        <f t="array" ref="L39:L42">907185*L34:L37*10^6/(L17*10^9)</f>
        <v>56.85955825093663</v>
      </c>
      <c r="M39" s="4" cm="1">
        <f t="array" ref="M39:M42">907185*M34:M37*10^6/(M17*10^9)</f>
        <v>56.523456045866958</v>
      </c>
      <c r="N39" s="4" cm="1">
        <f t="array" ref="N39:N42">907185*N34:N37*10^6/(N17*10^9)</f>
        <v>56.093133049237537</v>
      </c>
      <c r="O39" s="4" cm="1">
        <f t="array" ref="O39:O42">907185*O34:O37*10^6/(O17*10^9)</f>
        <v>49.68562282147797</v>
      </c>
      <c r="P39" s="4" cm="1">
        <f t="array" ref="P39:P42">907185*P34:P37*10^6/(P17*10^9)</f>
        <v>46.620666837456547</v>
      </c>
      <c r="Q39" s="4" cm="1">
        <f t="array" ref="Q39:Q42">907185*Q34:Q37*10^6/(Q17*10^9)</f>
        <v>45.867546239604806</v>
      </c>
      <c r="R39" s="4" cm="1">
        <f t="array" ref="R39:R42">907185*R34:R37*10^6/(R17*10^9)</f>
        <v>43.102274106068499</v>
      </c>
      <c r="S39" s="4" cm="1">
        <f t="array" ref="S39:S42">907185*S34:S37*10^6/(S17*10^9)</f>
        <v>37.044190429935519</v>
      </c>
      <c r="T39" s="4" cm="1">
        <f t="array" ref="T39:T42">907185*T34:T37*10^6/(T17*10^9)</f>
        <v>36.583369510832178</v>
      </c>
      <c r="U39" s="4" cm="1">
        <f t="array" ref="U39:U42">907185*U34:U37*10^6/(U17*10^9)</f>
        <v>37.026841489158436</v>
      </c>
      <c r="V39" s="4" cm="1">
        <f t="array" ref="V39:V42">907185*V34:V37*10^6/(V17*10^9)</f>
        <v>35.418368960056505</v>
      </c>
      <c r="W39" s="4" cm="1">
        <f t="array" ref="W39:W42">907185*W34:W37*10^6/(W17*10^9)</f>
        <v>37.567633400910353</v>
      </c>
      <c r="X39" s="4" cm="1">
        <f t="array" ref="X39:X42">907185*X34:X37*10^6/(X17*10^9)</f>
        <v>39.135763166066852</v>
      </c>
      <c r="Y39" s="4" cm="1">
        <f t="array" ref="Y39:Y42">907185*Y34:Y37*10^6/(Y17*10^9)</f>
        <v>39.934723235622926</v>
      </c>
      <c r="Z39" s="4" cm="1">
        <f t="array" ref="Z39:Z42">907185*Z34:Z37*10^6/(Z17*10^9)</f>
        <v>41.612596969420643</v>
      </c>
      <c r="AA39" s="4" cm="1">
        <f t="array" ref="AA39:AA42">907185*AA34:AA37*10^6/(AA17*10^9)</f>
        <v>43.534267502818999</v>
      </c>
      <c r="AB39" s="4" cm="1">
        <f t="array" ref="AB39:AB42">907185*AB34:AB37*10^6/(AB17*10^9)</f>
        <v>43.044976014787046</v>
      </c>
      <c r="AC39" s="4" cm="1">
        <f t="array" ref="AC39:AC42">907185*AC34:AC37*10^6/(AC17*10^9)</f>
        <v>40.387564956378668</v>
      </c>
      <c r="AD39" s="4" cm="1">
        <f t="array" ref="AD39:AD42">907185*AD34:AD37*10^6/(AD17*10^9)</f>
        <v>39.349828315848683</v>
      </c>
      <c r="AE39" s="6" cm="1">
        <f t="array" ref="AE39:AE43">(AD39:AD43-D39:D43)/D39:D43</f>
        <v>-0.48147250285807458</v>
      </c>
    </row>
    <row r="40" spans="1:31" x14ac:dyDescent="0.25">
      <c r="A40" t="s">
        <v>64</v>
      </c>
      <c r="B40" t="s">
        <v>66</v>
      </c>
      <c r="C40" t="s">
        <v>70</v>
      </c>
      <c r="D40" s="4">
        <v>278.25454978584838</v>
      </c>
      <c r="E40" s="4">
        <v>283.60176396471974</v>
      </c>
      <c r="F40" s="4">
        <v>254.79727701803955</v>
      </c>
      <c r="G40" s="4">
        <v>250.01195046394938</v>
      </c>
      <c r="H40" s="4">
        <v>243.41967883152861</v>
      </c>
      <c r="I40" s="4">
        <v>235.30906643084023</v>
      </c>
      <c r="J40" s="4">
        <v>226.45194023674063</v>
      </c>
      <c r="K40" s="4">
        <v>221.97556790730238</v>
      </c>
      <c r="L40" s="4">
        <v>208.48511351815827</v>
      </c>
      <c r="M40" s="4">
        <v>207.25266390830069</v>
      </c>
      <c r="N40" s="4">
        <v>205.67489736567788</v>
      </c>
      <c r="O40" s="4">
        <v>182.1806154140007</v>
      </c>
      <c r="P40" s="4">
        <v>170.94243003682882</v>
      </c>
      <c r="Q40" s="4">
        <v>168.1809549369784</v>
      </c>
      <c r="R40" s="4">
        <v>158.04158014260275</v>
      </c>
      <c r="S40" s="4">
        <v>135.82864359989276</v>
      </c>
      <c r="T40" s="4">
        <v>134.13897555783186</v>
      </c>
      <c r="U40" s="4">
        <v>135.76502718075622</v>
      </c>
      <c r="V40" s="4">
        <v>129.86729058255216</v>
      </c>
      <c r="W40" s="4">
        <v>137.74788443103222</v>
      </c>
      <c r="X40" s="4">
        <v>143.49771727989088</v>
      </c>
      <c r="Y40" s="4">
        <v>146.42714660084633</v>
      </c>
      <c r="Z40" s="4">
        <v>152.57948084813759</v>
      </c>
      <c r="AA40" s="4">
        <v>159.62554274314729</v>
      </c>
      <c r="AB40" s="4">
        <v>157.83157330518699</v>
      </c>
      <c r="AC40" s="4">
        <v>148.08781567231009</v>
      </c>
      <c r="AD40" s="4">
        <v>144.28271496561777</v>
      </c>
      <c r="AE40" s="6">
        <v>-0.48147221644116389</v>
      </c>
    </row>
    <row r="41" spans="1:31" x14ac:dyDescent="0.25">
      <c r="A41" t="s">
        <v>64</v>
      </c>
      <c r="B41" t="s">
        <v>67</v>
      </c>
      <c r="C41" t="s">
        <v>70</v>
      </c>
      <c r="D41" s="4">
        <v>0.19756091195583528</v>
      </c>
      <c r="E41" s="4">
        <v>0.1445133940950476</v>
      </c>
      <c r="F41" s="4">
        <v>9.0556332558919289E-2</v>
      </c>
      <c r="G41" s="4">
        <v>0.10014847275279891</v>
      </c>
      <c r="H41" s="4">
        <v>9.8277551631043E-2</v>
      </c>
      <c r="I41" s="4">
        <v>7.1189709707026538E-2</v>
      </c>
      <c r="J41" s="4">
        <v>6.2306360190008681E-2</v>
      </c>
      <c r="K41" s="4">
        <v>6.3510845416834119E-2</v>
      </c>
      <c r="L41" s="4">
        <v>1.0566614268005835E-2</v>
      </c>
      <c r="M41" s="4">
        <v>1.1103754145535842E-2</v>
      </c>
      <c r="N41" s="4">
        <v>1.0995236050041714E-2</v>
      </c>
      <c r="O41" s="4">
        <v>1.1511007727099606E-2</v>
      </c>
      <c r="P41" s="4">
        <v>1.302484871472157E-2</v>
      </c>
      <c r="Q41" s="4">
        <v>1.4589956602080498E-2</v>
      </c>
      <c r="R41" s="4">
        <v>1.1084921740634772E-2</v>
      </c>
      <c r="S41" s="4">
        <v>3.1608399924073845E-3</v>
      </c>
      <c r="T41" s="4">
        <v>3.13204486616431E-3</v>
      </c>
      <c r="U41" s="4">
        <v>3.1381264573202309E-3</v>
      </c>
      <c r="V41" s="4">
        <v>3.2213845426591298E-3</v>
      </c>
      <c r="W41" s="4">
        <v>3.1677142638159507E-3</v>
      </c>
      <c r="X41" s="4">
        <v>3.1371365413032678E-3</v>
      </c>
      <c r="Y41" s="4">
        <v>3.1312709557975551E-3</v>
      </c>
      <c r="Z41" s="4">
        <v>3.0735283402398852E-3</v>
      </c>
      <c r="AA41" s="4">
        <v>2.999217568598138E-3</v>
      </c>
      <c r="AB41" s="4">
        <v>2.9691568704184657E-3</v>
      </c>
      <c r="AC41" s="4">
        <v>2.9577631916177477E-3</v>
      </c>
      <c r="AD41" s="4">
        <v>2.886132713164141E-3</v>
      </c>
      <c r="AE41" s="6">
        <v>-0.9853911753869139</v>
      </c>
    </row>
    <row r="42" spans="1:31" x14ac:dyDescent="0.25">
      <c r="A42" t="s">
        <v>64</v>
      </c>
      <c r="B42" t="s">
        <v>68</v>
      </c>
      <c r="C42" t="s">
        <v>70</v>
      </c>
      <c r="D42" s="4">
        <v>7.5101727838422117E-2</v>
      </c>
      <c r="E42" s="4">
        <v>6.6248696240136143E-2</v>
      </c>
      <c r="F42" s="4">
        <v>5.6203428935543739E-2</v>
      </c>
      <c r="G42" s="4">
        <v>5.9010854030295663E-2</v>
      </c>
      <c r="H42" s="4">
        <v>5.6901987744792951E-2</v>
      </c>
      <c r="I42" s="4">
        <v>5.2882965576481436E-2</v>
      </c>
      <c r="J42" s="4">
        <v>5.9207968341150462E-2</v>
      </c>
      <c r="K42" s="4">
        <v>6.1693003687550846E-2</v>
      </c>
      <c r="L42" s="4">
        <v>6.1094560349379975E-2</v>
      </c>
      <c r="M42" s="4">
        <v>5.7109623251989428E-2</v>
      </c>
      <c r="N42" s="4">
        <v>5.4774658266278441E-2</v>
      </c>
      <c r="O42" s="4">
        <v>4.7688460583698369E-2</v>
      </c>
      <c r="P42" s="4">
        <v>4.5913363193028002E-2</v>
      </c>
      <c r="Q42" s="4">
        <v>4.2517887428137946E-2</v>
      </c>
      <c r="R42" s="4">
        <v>4.001425150250032E-2</v>
      </c>
      <c r="S42" s="4">
        <v>3.5524239680920396E-2</v>
      </c>
      <c r="T42" s="4">
        <v>3.6428960829632394E-2</v>
      </c>
      <c r="U42" s="4">
        <v>3.6837121571143341E-2</v>
      </c>
      <c r="V42" s="4">
        <v>3.5902262381729291E-2</v>
      </c>
      <c r="W42" s="4">
        <v>3.7968329346464373E-2</v>
      </c>
      <c r="X42" s="4">
        <v>4.06808072517134E-2</v>
      </c>
      <c r="Y42" s="4">
        <v>4.1536083570830024E-2</v>
      </c>
      <c r="Z42" s="4">
        <v>4.4150677122939401E-2</v>
      </c>
      <c r="AA42" s="4">
        <v>4.733011834280898E-2</v>
      </c>
      <c r="AB42" s="4">
        <v>4.677335970082605E-2</v>
      </c>
      <c r="AC42" s="4">
        <v>4.0976038528850657E-2</v>
      </c>
      <c r="AD42" s="4">
        <v>4.0934720177650256E-2</v>
      </c>
      <c r="AE42" s="6">
        <v>-0.45494303052894591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6.7755751679072286E-7</v>
      </c>
      <c r="E43" s="5">
        <f>907185*E38/(E17*10^9)</f>
        <v>8.2795796972700769E-7</v>
      </c>
      <c r="F43" s="5">
        <f>907185*F38/(F17*10^9)</f>
        <v>6.067131796242258E-7</v>
      </c>
      <c r="G43" s="5">
        <f>907185*G38/(G17*10^9)</f>
        <v>5.8827490750591645E-7</v>
      </c>
      <c r="H43" s="5">
        <f>907185*H38/(H17*10^9)</f>
        <v>5.8368078125844253E-7</v>
      </c>
      <c r="I43" s="5">
        <f>907185*I38/(I17*10^9)</f>
        <v>5.4419773369651863E-7</v>
      </c>
      <c r="J43" s="5">
        <f>907185*J38/(J17*10^9)</f>
        <v>5.2158674659332011E-7</v>
      </c>
      <c r="K43" s="5">
        <f>907185*K38/(K17*10^9)</f>
        <v>4.9693480928155599E-7</v>
      </c>
      <c r="L43" s="5">
        <f>907185*L38/(L17*10^9)</f>
        <v>2.0571307427455456E-8</v>
      </c>
      <c r="M43" s="5">
        <f>907185*M38/(M17*10^9)</f>
        <v>2.1332787199044426E-8</v>
      </c>
      <c r="N43" s="5">
        <f>907185*N38/(N17*10^9)</f>
        <v>2.0095673934106196E-8</v>
      </c>
      <c r="O43" s="5">
        <f>907185*O38/(O17*10^9)</f>
        <v>2.1176227043148262E-8</v>
      </c>
      <c r="P43" s="5">
        <f>907185*P38/(P17*10^9)</f>
        <v>2.0414379250338164E-8</v>
      </c>
      <c r="Q43" s="5">
        <f>907185*Q38/(Q17*10^9)</f>
        <v>1.5193548859697273E-8</v>
      </c>
      <c r="R43" s="5">
        <f>907185*R38/(R17*10^9)</f>
        <v>8.2058392401995211E-9</v>
      </c>
      <c r="S43" s="5">
        <f>907185*S38/(S17*10^9)</f>
        <v>1.0851678571449751E-10</v>
      </c>
      <c r="T43" s="5">
        <f>907185*T38/(T17*10^9)</f>
        <v>1.1080880753938713E-10</v>
      </c>
      <c r="U43" s="5">
        <f>907185*U38/(U17*10^9)</f>
        <v>1.1207594490429397E-10</v>
      </c>
      <c r="V43" s="5">
        <f>907185*V38/(V17*10^9)</f>
        <v>1.161885513971822E-10</v>
      </c>
      <c r="W43" s="5">
        <f>907185*W38/(W17*10^9)</f>
        <v>1.1945291218300372E-10</v>
      </c>
      <c r="X43" s="5">
        <f>907185*X38/(X17*10^9)</f>
        <v>1.2366305868207903E-10</v>
      </c>
      <c r="Y43" s="5">
        <f>907185*Y38/(Y17*10^9)</f>
        <v>1.246490840331216E-10</v>
      </c>
      <c r="Z43" s="5">
        <f>907185*Z38/(Z17*10^9)</f>
        <v>1.1991178329477993E-10</v>
      </c>
      <c r="AA43" s="5">
        <f>907185*AA38/(AA17*10^9)</f>
        <v>1.4174384399539146E-10</v>
      </c>
      <c r="AB43" s="5">
        <f>907185*AB38/(AB17*10^9)</f>
        <v>1.5028564186796609E-10</v>
      </c>
      <c r="AC43" s="5">
        <f>907185*AC38/(AC17*10^9)</f>
        <v>1.4960661393008428E-10</v>
      </c>
      <c r="AD43" s="5">
        <f>907185*AD38/(AD17*10^9)</f>
        <v>1.2582594934775547E-10</v>
      </c>
      <c r="AE43" s="6">
        <v>-0.99981429480711292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54.742069000000001</v>
      </c>
      <c r="E2">
        <v>54.817431999999997</v>
      </c>
      <c r="F2">
        <v>45.533211000000001</v>
      </c>
      <c r="G2">
        <v>33.314906999999998</v>
      </c>
      <c r="H2">
        <v>31.013207999999999</v>
      </c>
      <c r="I2">
        <v>24.802032000000001</v>
      </c>
      <c r="J2">
        <v>25.496485</v>
      </c>
      <c r="K2">
        <v>22.739296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0.23944599999999999</v>
      </c>
      <c r="E3">
        <v>0.23654600000000001</v>
      </c>
      <c r="F3">
        <v>0.20738100000000001</v>
      </c>
      <c r="G3">
        <v>0.15862799999999999</v>
      </c>
      <c r="H3">
        <v>0.14477200000000001</v>
      </c>
      <c r="I3">
        <v>0.11401600000000001</v>
      </c>
      <c r="J3">
        <v>0.116093</v>
      </c>
      <c r="K3">
        <v>9.5757999999999996E-2</v>
      </c>
      <c r="L3">
        <v>0</v>
      </c>
      <c r="M3">
        <v>2.5799999999999998E-4</v>
      </c>
      <c r="N3">
        <v>3.4699999999999998E-4</v>
      </c>
      <c r="O3">
        <v>2.7E-4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6">
        <v>-1</v>
      </c>
    </row>
    <row r="4" spans="1:31" x14ac:dyDescent="0.25">
      <c r="A4" t="s">
        <v>28</v>
      </c>
      <c r="B4" t="s">
        <v>32</v>
      </c>
      <c r="C4" t="s">
        <v>30</v>
      </c>
      <c r="D4">
        <v>55.759003</v>
      </c>
      <c r="E4">
        <v>53.154259000000003</v>
      </c>
      <c r="F4">
        <v>60.081721999999999</v>
      </c>
      <c r="G4">
        <v>68.46611</v>
      </c>
      <c r="H4">
        <v>67.934830000000005</v>
      </c>
      <c r="I4">
        <v>73.227012999999999</v>
      </c>
      <c r="J4">
        <v>70.632216999999997</v>
      </c>
      <c r="K4">
        <v>63.842415000000003</v>
      </c>
      <c r="L4">
        <v>70.857872</v>
      </c>
      <c r="M4">
        <v>75.178970000000007</v>
      </c>
      <c r="N4">
        <v>76.560478000000003</v>
      </c>
      <c r="O4">
        <v>72.985893000000004</v>
      </c>
      <c r="P4">
        <v>69.391257999999993</v>
      </c>
      <c r="Q4">
        <v>69.883033999999995</v>
      </c>
      <c r="R4">
        <v>70.739677</v>
      </c>
      <c r="S4">
        <v>65.382523000000006</v>
      </c>
      <c r="T4">
        <v>62.174492000000001</v>
      </c>
      <c r="U4">
        <v>64.037445000000005</v>
      </c>
      <c r="V4">
        <v>63.473475999999998</v>
      </c>
      <c r="W4">
        <v>69.201392999999996</v>
      </c>
      <c r="X4">
        <v>67.816649999999996</v>
      </c>
      <c r="Y4">
        <v>71.614943999999994</v>
      </c>
      <c r="Z4">
        <v>77.937759</v>
      </c>
      <c r="AA4">
        <v>82.990959000000004</v>
      </c>
      <c r="AB4">
        <v>84.999634</v>
      </c>
      <c r="AC4">
        <v>84.649246000000005</v>
      </c>
      <c r="AD4">
        <v>85.430817000000005</v>
      </c>
      <c r="AE4" s="6">
        <v>0.53214391225754176</v>
      </c>
    </row>
    <row r="5" spans="1:31" x14ac:dyDescent="0.25">
      <c r="A5" t="s">
        <v>28</v>
      </c>
      <c r="B5" t="s">
        <v>33</v>
      </c>
      <c r="C5" t="s">
        <v>30</v>
      </c>
      <c r="D5">
        <v>65.634651000000005</v>
      </c>
      <c r="E5">
        <v>66.652107000000001</v>
      </c>
      <c r="F5">
        <v>66.500397000000007</v>
      </c>
      <c r="G5">
        <v>66.349159</v>
      </c>
      <c r="H5">
        <v>66.343636000000004</v>
      </c>
      <c r="I5">
        <v>66.343643</v>
      </c>
      <c r="J5">
        <v>66.349159</v>
      </c>
      <c r="K5">
        <v>66.343643</v>
      </c>
      <c r="L5">
        <v>66.337699999999998</v>
      </c>
      <c r="M5">
        <v>66.348686000000001</v>
      </c>
      <c r="N5">
        <v>66.348686000000001</v>
      </c>
      <c r="O5">
        <v>66.348686000000001</v>
      </c>
      <c r="P5">
        <v>66.348686000000001</v>
      </c>
      <c r="Q5">
        <v>66.348686000000001</v>
      </c>
      <c r="R5">
        <v>66.348686000000001</v>
      </c>
      <c r="S5">
        <v>66.348686000000001</v>
      </c>
      <c r="T5">
        <v>66.348686000000001</v>
      </c>
      <c r="U5">
        <v>66.348686000000001</v>
      </c>
      <c r="V5">
        <v>66.348686000000001</v>
      </c>
      <c r="W5">
        <v>66.348686000000001</v>
      </c>
      <c r="X5">
        <v>66.348686000000001</v>
      </c>
      <c r="Y5">
        <v>66.348686000000001</v>
      </c>
      <c r="Z5">
        <v>66.348686000000001</v>
      </c>
      <c r="AA5">
        <v>66.348686000000001</v>
      </c>
      <c r="AB5">
        <v>66.348686000000001</v>
      </c>
      <c r="AC5">
        <v>66.348686000000001</v>
      </c>
      <c r="AD5">
        <v>66.348686000000001</v>
      </c>
      <c r="AE5" s="6">
        <v>1.0878933446297985E-2</v>
      </c>
    </row>
    <row r="6" spans="1:31" x14ac:dyDescent="0.25">
      <c r="A6" t="s">
        <v>28</v>
      </c>
      <c r="B6" t="s">
        <v>34</v>
      </c>
      <c r="C6" t="s">
        <v>30</v>
      </c>
      <c r="D6">
        <v>-0.46818199999999999</v>
      </c>
      <c r="E6">
        <v>-0.468279</v>
      </c>
      <c r="F6">
        <v>-0.46800900000000001</v>
      </c>
      <c r="G6">
        <v>-0.46778700000000001</v>
      </c>
      <c r="H6">
        <v>-0.46809400000000001</v>
      </c>
      <c r="I6">
        <v>-0.46731</v>
      </c>
      <c r="J6">
        <v>-0.46748600000000001</v>
      </c>
      <c r="K6">
        <v>-0.46768900000000002</v>
      </c>
      <c r="L6">
        <v>-0.47034100000000001</v>
      </c>
      <c r="M6">
        <v>-0.47112100000000001</v>
      </c>
      <c r="N6">
        <v>-0.47056999999999999</v>
      </c>
      <c r="O6">
        <v>-0.47123199999999998</v>
      </c>
      <c r="P6">
        <v>-0.47143299999999999</v>
      </c>
      <c r="Q6">
        <v>-0.47161799999999998</v>
      </c>
      <c r="R6">
        <v>-0.47165000000000001</v>
      </c>
      <c r="S6">
        <v>-0.47165899999999999</v>
      </c>
      <c r="T6">
        <v>-0.47171299999999999</v>
      </c>
      <c r="U6">
        <v>-0.47160800000000003</v>
      </c>
      <c r="V6">
        <v>-0.47148499999999999</v>
      </c>
      <c r="W6">
        <v>-0.471466</v>
      </c>
      <c r="X6">
        <v>-0.47145100000000001</v>
      </c>
      <c r="Y6">
        <v>-0.47128100000000001</v>
      </c>
      <c r="Z6">
        <v>-0.47116999999999998</v>
      </c>
      <c r="AA6">
        <v>-0.47104099999999999</v>
      </c>
      <c r="AB6">
        <v>-0.471105</v>
      </c>
      <c r="AC6">
        <v>-0.47118599999999999</v>
      </c>
      <c r="AD6">
        <v>-0.47097499999999998</v>
      </c>
      <c r="AE6" s="6">
        <v>5.9656287512121139E-3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15.560653</v>
      </c>
      <c r="E8">
        <v>16.909212</v>
      </c>
      <c r="F8">
        <v>17.575051999999999</v>
      </c>
      <c r="G8">
        <v>18.218882000000001</v>
      </c>
      <c r="H8">
        <v>18.195741999999999</v>
      </c>
      <c r="I8">
        <v>18.216593</v>
      </c>
      <c r="J8">
        <v>18.231193999999999</v>
      </c>
      <c r="K8">
        <v>18.234041000000001</v>
      </c>
      <c r="L8">
        <v>18.23518</v>
      </c>
      <c r="M8">
        <v>18.239391000000001</v>
      </c>
      <c r="N8">
        <v>18.238384</v>
      </c>
      <c r="O8">
        <v>18.242972999999999</v>
      </c>
      <c r="P8">
        <v>18.243639000000002</v>
      </c>
      <c r="Q8">
        <v>18.241999</v>
      </c>
      <c r="R8">
        <v>18.239173999999998</v>
      </c>
      <c r="S8">
        <v>18.235916</v>
      </c>
      <c r="T8">
        <v>18.235529</v>
      </c>
      <c r="U8">
        <v>18.235880000000002</v>
      </c>
      <c r="V8">
        <v>18.234528000000001</v>
      </c>
      <c r="W8">
        <v>18.232323000000001</v>
      </c>
      <c r="X8">
        <v>18.239857000000001</v>
      </c>
      <c r="Y8">
        <v>18.240309</v>
      </c>
      <c r="Z8">
        <v>18.240078</v>
      </c>
      <c r="AA8">
        <v>18.240606</v>
      </c>
      <c r="AB8">
        <v>18.234204999999999</v>
      </c>
      <c r="AC8">
        <v>18.228321000000001</v>
      </c>
      <c r="AD8">
        <v>18.240713</v>
      </c>
      <c r="AE8" s="6">
        <v>0.17223313186149702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9.6962999999999994E-2</v>
      </c>
      <c r="E10">
        <v>0.12360699999999999</v>
      </c>
      <c r="F10">
        <v>0.15143999999999999</v>
      </c>
      <c r="G10">
        <v>0.179476</v>
      </c>
      <c r="H10">
        <v>0.21138699999999999</v>
      </c>
      <c r="I10">
        <v>0.23614399999999999</v>
      </c>
      <c r="J10">
        <v>0.25885200000000003</v>
      </c>
      <c r="K10">
        <v>0.28331899999999999</v>
      </c>
      <c r="L10">
        <v>0.30908000000000002</v>
      </c>
      <c r="M10">
        <v>0.33589999999999998</v>
      </c>
      <c r="N10">
        <v>0.35800100000000001</v>
      </c>
      <c r="O10">
        <v>0.38006400000000001</v>
      </c>
      <c r="P10">
        <v>0.402839</v>
      </c>
      <c r="Q10">
        <v>0.42721399999999998</v>
      </c>
      <c r="R10">
        <v>0.45244299999999998</v>
      </c>
      <c r="S10">
        <v>0.47022700000000001</v>
      </c>
      <c r="T10">
        <v>0.48876199999999997</v>
      </c>
      <c r="U10">
        <v>0.50775300000000001</v>
      </c>
      <c r="V10">
        <v>0.52769200000000005</v>
      </c>
      <c r="W10">
        <v>0.54811900000000002</v>
      </c>
      <c r="X10">
        <v>0.55867800000000001</v>
      </c>
      <c r="Y10">
        <v>0.56905099999999997</v>
      </c>
      <c r="Z10">
        <v>0.57952599999999999</v>
      </c>
      <c r="AA10">
        <v>0.59032799999999996</v>
      </c>
      <c r="AB10">
        <v>0.60108799999999996</v>
      </c>
      <c r="AC10">
        <v>0.60108799999999996</v>
      </c>
      <c r="AD10">
        <v>0.60108799999999996</v>
      </c>
      <c r="AE10" s="6">
        <v>5.1991481286676358</v>
      </c>
    </row>
    <row r="11" spans="1:31" x14ac:dyDescent="0.25">
      <c r="A11" t="s">
        <v>28</v>
      </c>
      <c r="B11" t="s">
        <v>39</v>
      </c>
      <c r="C11" t="s">
        <v>30</v>
      </c>
      <c r="D11">
        <v>6.6670000000000002E-3</v>
      </c>
      <c r="E11">
        <v>6.9360000000000003E-3</v>
      </c>
      <c r="F11">
        <v>1.8269000000000001E-2</v>
      </c>
      <c r="G11">
        <v>1.8523000000000001E-2</v>
      </c>
      <c r="H11">
        <v>1.7204000000000001E-2</v>
      </c>
      <c r="I11">
        <v>1.1459E-2</v>
      </c>
      <c r="J11">
        <v>1.5806000000000001E-2</v>
      </c>
      <c r="K11">
        <v>1.064E-2</v>
      </c>
      <c r="L11">
        <v>1.5799999999999999E-4</v>
      </c>
      <c r="M11">
        <v>1.5799999999999999E-4</v>
      </c>
      <c r="N11">
        <v>1.5799999999999999E-4</v>
      </c>
      <c r="O11">
        <v>1.5799999999999999E-4</v>
      </c>
      <c r="P11">
        <v>1.5799999999999999E-4</v>
      </c>
      <c r="Q11">
        <v>1.5799999999999999E-4</v>
      </c>
      <c r="R11">
        <v>1.5799999999999999E-4</v>
      </c>
      <c r="S11">
        <v>1.5799999999999999E-4</v>
      </c>
      <c r="T11">
        <v>1.5799999999999999E-4</v>
      </c>
      <c r="U11">
        <v>1.5799999999999999E-4</v>
      </c>
      <c r="V11">
        <v>1.5799999999999999E-4</v>
      </c>
      <c r="W11">
        <v>1.5799999999999999E-4</v>
      </c>
      <c r="X11">
        <v>1.5799999999999999E-4</v>
      </c>
      <c r="Y11">
        <v>1.5799999999999999E-4</v>
      </c>
      <c r="Z11">
        <v>1.5799999999999999E-4</v>
      </c>
      <c r="AA11">
        <v>1.5799999999999999E-4</v>
      </c>
      <c r="AB11">
        <v>1.5799999999999999E-4</v>
      </c>
      <c r="AC11">
        <v>1.5799999999999999E-4</v>
      </c>
      <c r="AD11">
        <v>1.5799999999999999E-4</v>
      </c>
      <c r="AE11" s="6">
        <v>-0.97630118494075291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2.3293140000000001</v>
      </c>
      <c r="E13">
        <v>3.9228670000000001</v>
      </c>
      <c r="F13">
        <v>4.5059769999999997</v>
      </c>
      <c r="G13">
        <v>4.5099499999999999</v>
      </c>
      <c r="H13">
        <v>4.5048149999999998</v>
      </c>
      <c r="I13">
        <v>4.5130720000000002</v>
      </c>
      <c r="J13">
        <v>4.5216329999999996</v>
      </c>
      <c r="K13">
        <v>10.977079</v>
      </c>
      <c r="L13">
        <v>30.351316000000001</v>
      </c>
      <c r="M13">
        <v>34.783199000000003</v>
      </c>
      <c r="N13">
        <v>34.780101999999999</v>
      </c>
      <c r="O13">
        <v>41.508136999999998</v>
      </c>
      <c r="P13">
        <v>46.846516000000001</v>
      </c>
      <c r="Q13">
        <v>47.736935000000003</v>
      </c>
      <c r="R13">
        <v>47.771571999999999</v>
      </c>
      <c r="S13">
        <v>47.773848999999998</v>
      </c>
      <c r="T13">
        <v>47.792538</v>
      </c>
      <c r="U13">
        <v>47.819107000000002</v>
      </c>
      <c r="V13">
        <v>47.722293999999998</v>
      </c>
      <c r="W13">
        <v>47.758625000000002</v>
      </c>
      <c r="X13">
        <v>47.795361</v>
      </c>
      <c r="Y13">
        <v>47.710414999999998</v>
      </c>
      <c r="Z13">
        <v>47.706352000000003</v>
      </c>
      <c r="AA13">
        <v>47.663024999999998</v>
      </c>
      <c r="AB13">
        <v>47.658813000000002</v>
      </c>
      <c r="AC13">
        <v>47.673904</v>
      </c>
      <c r="AD13">
        <v>47.735233000000001</v>
      </c>
      <c r="AE13" s="6">
        <v>19.493258100882919</v>
      </c>
    </row>
    <row r="14" spans="1:31" x14ac:dyDescent="0.25">
      <c r="A14" t="s">
        <v>28</v>
      </c>
      <c r="B14" t="s">
        <v>42</v>
      </c>
      <c r="C14" t="s">
        <v>30</v>
      </c>
      <c r="D14">
        <v>2.6112E-2</v>
      </c>
      <c r="E14">
        <v>2.5174999999999999E-2</v>
      </c>
      <c r="F14">
        <v>2.6039E-2</v>
      </c>
      <c r="G14">
        <v>2.6903E-2</v>
      </c>
      <c r="H14">
        <v>0</v>
      </c>
      <c r="I14">
        <v>0</v>
      </c>
      <c r="J14">
        <v>2.5695610000000002</v>
      </c>
      <c r="K14">
        <v>3.215373</v>
      </c>
      <c r="L14">
        <v>3.2154639999999999</v>
      </c>
      <c r="M14">
        <v>3.215525</v>
      </c>
      <c r="N14">
        <v>3.215465</v>
      </c>
      <c r="O14">
        <v>3.213902</v>
      </c>
      <c r="P14">
        <v>3.2154340000000001</v>
      </c>
      <c r="Q14">
        <v>3.2152810000000001</v>
      </c>
      <c r="R14">
        <v>3.2140240000000002</v>
      </c>
      <c r="S14">
        <v>3.2140240000000002</v>
      </c>
      <c r="T14">
        <v>3.2141150000000001</v>
      </c>
      <c r="U14">
        <v>3.2121680000000001</v>
      </c>
      <c r="V14">
        <v>3.2121979999999999</v>
      </c>
      <c r="W14">
        <v>3.2166600000000001</v>
      </c>
      <c r="X14">
        <v>3.2151890000000001</v>
      </c>
      <c r="Y14">
        <v>3.2136390000000001</v>
      </c>
      <c r="Z14">
        <v>3.213578</v>
      </c>
      <c r="AA14">
        <v>3.2165080000000001</v>
      </c>
      <c r="AB14">
        <v>3.2134860000000001</v>
      </c>
      <c r="AC14">
        <v>3.2161430000000002</v>
      </c>
      <c r="AD14">
        <v>3.2161729999999999</v>
      </c>
      <c r="AE14" s="6">
        <v>122.1683900122549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9" t="s">
        <v>44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2.3569E-2</v>
      </c>
      <c r="M16">
        <v>2.6568999999999999E-2</v>
      </c>
      <c r="N16">
        <v>3.0263000000000002E-2</v>
      </c>
      <c r="O16">
        <v>3.4721000000000002E-2</v>
      </c>
      <c r="P16">
        <v>4.7611000000000001E-2</v>
      </c>
      <c r="Q16">
        <v>6.0680999999999999E-2</v>
      </c>
      <c r="R16">
        <v>7.4475E-2</v>
      </c>
      <c r="S16">
        <v>8.8333999999999996E-2</v>
      </c>
      <c r="T16">
        <v>0.10195899999999999</v>
      </c>
      <c r="U16">
        <v>0.115287</v>
      </c>
      <c r="V16">
        <v>0.118293</v>
      </c>
      <c r="W16">
        <v>0.13896700000000001</v>
      </c>
      <c r="X16">
        <v>0.150225</v>
      </c>
      <c r="Y16">
        <v>0.16272400000000001</v>
      </c>
      <c r="Z16">
        <v>0.17483899999999999</v>
      </c>
      <c r="AA16">
        <v>0.186636</v>
      </c>
      <c r="AB16">
        <v>0.18965599999999999</v>
      </c>
      <c r="AC16">
        <v>0.21085100000000001</v>
      </c>
      <c r="AD16">
        <v>0.222494</v>
      </c>
      <c r="AE16" s="6" t="e">
        <v>#DIV/0!</v>
      </c>
    </row>
    <row r="17" spans="1:31" x14ac:dyDescent="0.25">
      <c r="A17" t="s">
        <v>28</v>
      </c>
      <c r="B17" s="9" t="s">
        <v>45</v>
      </c>
      <c r="C17" t="s">
        <v>30</v>
      </c>
      <c r="D17">
        <v>193.92669699999999</v>
      </c>
      <c r="E17">
        <v>195.37986799999999</v>
      </c>
      <c r="F17">
        <v>194.131485</v>
      </c>
      <c r="G17">
        <v>190.77475000000001</v>
      </c>
      <c r="H17">
        <v>187.89750699999999</v>
      </c>
      <c r="I17">
        <v>186.99664300000001</v>
      </c>
      <c r="J17">
        <v>187.72352599999999</v>
      </c>
      <c r="K17">
        <v>185.27389500000001</v>
      </c>
      <c r="L17">
        <v>188.860016</v>
      </c>
      <c r="M17">
        <v>197.65754699999999</v>
      </c>
      <c r="N17">
        <v>199.06132500000001</v>
      </c>
      <c r="O17">
        <v>202.24354600000001</v>
      </c>
      <c r="P17">
        <v>204.02470400000001</v>
      </c>
      <c r="Q17">
        <v>205.44236799999999</v>
      </c>
      <c r="R17">
        <v>206.368561</v>
      </c>
      <c r="S17">
        <v>201.04203799999999</v>
      </c>
      <c r="T17">
        <v>197.88452100000001</v>
      </c>
      <c r="U17">
        <v>199.80488600000001</v>
      </c>
      <c r="V17">
        <v>199.16583299999999</v>
      </c>
      <c r="W17">
        <v>204.973465</v>
      </c>
      <c r="X17">
        <v>203.65336600000001</v>
      </c>
      <c r="Y17">
        <v>207.38862599999999</v>
      </c>
      <c r="Z17">
        <v>213.72979699999999</v>
      </c>
      <c r="AA17">
        <v>218.76585399999999</v>
      </c>
      <c r="AB17">
        <v>220.77462800000001</v>
      </c>
      <c r="AC17">
        <v>220.45718400000001</v>
      </c>
      <c r="AD17">
        <v>221.324387</v>
      </c>
      <c r="AE17" s="6">
        <v>0.14127858837300783</v>
      </c>
    </row>
    <row r="18" spans="1:31" x14ac:dyDescent="0.25">
      <c r="A18" t="s">
        <v>74</v>
      </c>
      <c r="B18" t="s">
        <v>46</v>
      </c>
      <c r="C18" t="s">
        <v>47</v>
      </c>
      <c r="D18">
        <v>11.772422000000001</v>
      </c>
      <c r="E18">
        <v>11.846935</v>
      </c>
      <c r="F18">
        <v>10.242588</v>
      </c>
      <c r="G18">
        <v>9.8310250000000003</v>
      </c>
      <c r="H18">
        <v>9.6104459999999996</v>
      </c>
      <c r="I18">
        <v>9.6311680000000006</v>
      </c>
      <c r="J18">
        <v>9.6622350000000008</v>
      </c>
      <c r="K18">
        <v>9.5848580000000005</v>
      </c>
      <c r="L18">
        <v>9.8488009999999999</v>
      </c>
      <c r="M18">
        <v>10.045973</v>
      </c>
      <c r="N18">
        <v>9.9689610000000002</v>
      </c>
      <c r="O18">
        <v>9.9111290000000007</v>
      </c>
      <c r="P18">
        <v>9.7759289999999996</v>
      </c>
      <c r="Q18">
        <v>9.6503840000000007</v>
      </c>
      <c r="R18">
        <v>9.5888159999999996</v>
      </c>
      <c r="S18">
        <v>9.4834320000000005</v>
      </c>
      <c r="T18">
        <v>9.4452160000000003</v>
      </c>
      <c r="U18">
        <v>9.4402519999999992</v>
      </c>
      <c r="V18">
        <v>9.4499309999999994</v>
      </c>
      <c r="W18">
        <v>9.6118000000000006</v>
      </c>
      <c r="X18">
        <v>9.5786490000000004</v>
      </c>
      <c r="Y18">
        <v>9.5712779999999995</v>
      </c>
      <c r="Z18">
        <v>9.6956930000000003</v>
      </c>
      <c r="AA18">
        <v>9.722842</v>
      </c>
      <c r="AB18">
        <v>9.7451240000000006</v>
      </c>
      <c r="AC18">
        <v>9.7478979999999993</v>
      </c>
      <c r="AD18">
        <v>9.7563250000000004</v>
      </c>
      <c r="AE18" s="6" cm="1">
        <f t="array" ref="AE18:AE22">(AD18:AD22-D18:D22)/D18:D22</f>
        <v>-0.1712559233775344</v>
      </c>
    </row>
    <row r="19" spans="1:31" x14ac:dyDescent="0.25">
      <c r="A19" t="s">
        <v>74</v>
      </c>
      <c r="B19" t="s">
        <v>48</v>
      </c>
      <c r="C19" t="s">
        <v>47</v>
      </c>
      <c r="D19">
        <v>12.328078</v>
      </c>
      <c r="E19">
        <v>12.014381</v>
      </c>
      <c r="F19">
        <v>10.020856</v>
      </c>
      <c r="G19">
        <v>9.6091870000000004</v>
      </c>
      <c r="H19">
        <v>9.4012499999999992</v>
      </c>
      <c r="I19">
        <v>9.4814330000000009</v>
      </c>
      <c r="J19">
        <v>9.562951</v>
      </c>
      <c r="K19">
        <v>9.5179620000000007</v>
      </c>
      <c r="L19">
        <v>9.8859510000000004</v>
      </c>
      <c r="M19">
        <v>10.170484999999999</v>
      </c>
      <c r="N19">
        <v>10.10838</v>
      </c>
      <c r="O19">
        <v>10.079719000000001</v>
      </c>
      <c r="P19">
        <v>9.9528730000000003</v>
      </c>
      <c r="Q19">
        <v>9.8424189999999996</v>
      </c>
      <c r="R19">
        <v>9.8068449999999991</v>
      </c>
      <c r="S19">
        <v>9.7208629999999996</v>
      </c>
      <c r="T19">
        <v>9.7130150000000004</v>
      </c>
      <c r="U19">
        <v>9.7580609999999997</v>
      </c>
      <c r="V19">
        <v>9.8074980000000007</v>
      </c>
      <c r="W19">
        <v>10.065118</v>
      </c>
      <c r="X19">
        <v>10.062205000000001</v>
      </c>
      <c r="Y19">
        <v>10.078823</v>
      </c>
      <c r="Z19">
        <v>10.262544999999999</v>
      </c>
      <c r="AA19">
        <v>10.320109</v>
      </c>
      <c r="AB19">
        <v>10.314667</v>
      </c>
      <c r="AC19">
        <v>10.28612</v>
      </c>
      <c r="AD19">
        <v>10.258699</v>
      </c>
      <c r="AE19" s="6">
        <v>-0.16785901257276273</v>
      </c>
    </row>
    <row r="20" spans="1:31" x14ac:dyDescent="0.25">
      <c r="A20" t="s">
        <v>74</v>
      </c>
      <c r="B20" t="s">
        <v>49</v>
      </c>
      <c r="C20" t="s">
        <v>47</v>
      </c>
      <c r="D20">
        <v>6.6026689999999997</v>
      </c>
      <c r="E20">
        <v>6.5067349999999999</v>
      </c>
      <c r="F20">
        <v>5.17835</v>
      </c>
      <c r="G20">
        <v>4.9698370000000001</v>
      </c>
      <c r="H20">
        <v>4.8614930000000003</v>
      </c>
      <c r="I20">
        <v>4.945271</v>
      </c>
      <c r="J20">
        <v>5.0276120000000004</v>
      </c>
      <c r="K20">
        <v>5.0558230000000002</v>
      </c>
      <c r="L20">
        <v>5.3501599999999998</v>
      </c>
      <c r="M20">
        <v>5.5714969999999999</v>
      </c>
      <c r="N20">
        <v>5.5707040000000001</v>
      </c>
      <c r="O20">
        <v>5.5933279999999996</v>
      </c>
      <c r="P20">
        <v>5.5476599999999996</v>
      </c>
      <c r="Q20">
        <v>5.5024689999999996</v>
      </c>
      <c r="R20">
        <v>5.49871</v>
      </c>
      <c r="S20">
        <v>5.46671</v>
      </c>
      <c r="T20">
        <v>5.4719920000000002</v>
      </c>
      <c r="U20">
        <v>5.5175700000000001</v>
      </c>
      <c r="V20">
        <v>5.5442140000000002</v>
      </c>
      <c r="W20">
        <v>5.7438450000000003</v>
      </c>
      <c r="X20">
        <v>5.741771</v>
      </c>
      <c r="Y20">
        <v>5.7644900000000003</v>
      </c>
      <c r="Z20">
        <v>5.8849710000000002</v>
      </c>
      <c r="AA20">
        <v>5.9279130000000002</v>
      </c>
      <c r="AB20">
        <v>5.900468</v>
      </c>
      <c r="AC20">
        <v>5.898555</v>
      </c>
      <c r="AD20">
        <v>5.8746210000000003</v>
      </c>
      <c r="AE20" s="6">
        <v>-0.11026571224454829</v>
      </c>
    </row>
    <row r="21" spans="1:31" x14ac:dyDescent="0.25">
      <c r="A21" t="s">
        <v>74</v>
      </c>
      <c r="B21" t="s">
        <v>50</v>
      </c>
      <c r="C21" t="s">
        <v>47</v>
      </c>
      <c r="D21">
        <v>10.707079999999999</v>
      </c>
      <c r="E21">
        <v>10.423575</v>
      </c>
      <c r="F21">
        <v>8.7880929999999999</v>
      </c>
      <c r="G21">
        <v>8.4101230000000005</v>
      </c>
      <c r="H21">
        <v>8.2327150000000007</v>
      </c>
      <c r="I21">
        <v>8.2982220000000009</v>
      </c>
      <c r="J21">
        <v>8.3758090000000003</v>
      </c>
      <c r="K21">
        <v>8.3349189999999993</v>
      </c>
      <c r="L21">
        <v>8.6388069999999999</v>
      </c>
      <c r="M21">
        <v>8.8953050000000005</v>
      </c>
      <c r="N21">
        <v>8.8635800000000007</v>
      </c>
      <c r="O21">
        <v>8.8512419999999992</v>
      </c>
      <c r="P21">
        <v>8.7498780000000007</v>
      </c>
      <c r="Q21">
        <v>8.6660009999999996</v>
      </c>
      <c r="R21">
        <v>8.6418239999999997</v>
      </c>
      <c r="S21">
        <v>8.5695650000000008</v>
      </c>
      <c r="T21">
        <v>8.5700079999999996</v>
      </c>
      <c r="U21">
        <v>8.6033670000000004</v>
      </c>
      <c r="V21">
        <v>8.6554079999999995</v>
      </c>
      <c r="W21">
        <v>8.8456829999999993</v>
      </c>
      <c r="X21">
        <v>8.8488849999999992</v>
      </c>
      <c r="Y21">
        <v>8.8522859999999994</v>
      </c>
      <c r="Z21">
        <v>9.0059920000000009</v>
      </c>
      <c r="AA21">
        <v>9.0486450000000005</v>
      </c>
      <c r="AB21">
        <v>9.0575729999999997</v>
      </c>
      <c r="AC21">
        <v>9.0120389999999997</v>
      </c>
      <c r="AD21">
        <v>8.9875769999999999</v>
      </c>
      <c r="AE21" s="6">
        <v>-0.16059495212513586</v>
      </c>
    </row>
    <row r="22" spans="1:31" x14ac:dyDescent="0.25">
      <c r="A22" t="s">
        <v>74</v>
      </c>
      <c r="B22" t="s">
        <v>51</v>
      </c>
      <c r="C22" t="s">
        <v>47</v>
      </c>
      <c r="D22">
        <v>10.556850000000001</v>
      </c>
      <c r="E22">
        <v>10.39043</v>
      </c>
      <c r="F22">
        <v>8.7342019999999998</v>
      </c>
      <c r="G22">
        <v>8.3872529999999994</v>
      </c>
      <c r="H22">
        <v>8.2140839999999997</v>
      </c>
      <c r="I22">
        <v>8.2729409999999994</v>
      </c>
      <c r="J22">
        <v>8.3287030000000009</v>
      </c>
      <c r="K22">
        <v>8.2837669999999992</v>
      </c>
      <c r="L22">
        <v>8.5813919999999992</v>
      </c>
      <c r="M22">
        <v>8.8078649999999996</v>
      </c>
      <c r="N22">
        <v>8.7512450000000008</v>
      </c>
      <c r="O22">
        <v>8.7212650000000007</v>
      </c>
      <c r="P22">
        <v>8.6113780000000002</v>
      </c>
      <c r="Q22">
        <v>8.5122540000000004</v>
      </c>
      <c r="R22">
        <v>8.4738629999999997</v>
      </c>
      <c r="S22">
        <v>8.3956169999999997</v>
      </c>
      <c r="T22">
        <v>8.3808050000000005</v>
      </c>
      <c r="U22">
        <v>8.4079899999999999</v>
      </c>
      <c r="V22">
        <v>8.4721220000000006</v>
      </c>
      <c r="W22">
        <v>8.6450040000000001</v>
      </c>
      <c r="X22">
        <v>8.634639</v>
      </c>
      <c r="Y22">
        <v>8.6452819999999999</v>
      </c>
      <c r="Z22">
        <v>8.7898219999999991</v>
      </c>
      <c r="AA22">
        <v>8.832236</v>
      </c>
      <c r="AB22">
        <v>8.8621359999999996</v>
      </c>
      <c r="AC22">
        <v>8.8216339999999995</v>
      </c>
      <c r="AD22">
        <v>8.8084910000000001</v>
      </c>
      <c r="AE22" s="6">
        <v>-0.16561370105665996</v>
      </c>
    </row>
    <row r="23" spans="1:31" x14ac:dyDescent="0.25">
      <c r="A23" t="s">
        <v>75</v>
      </c>
      <c r="B23" t="s">
        <v>46</v>
      </c>
      <c r="C23" t="s">
        <v>52</v>
      </c>
      <c r="D23">
        <v>11.772422000000001</v>
      </c>
      <c r="E23">
        <v>12.096425999999999</v>
      </c>
      <c r="F23">
        <v>10.649187</v>
      </c>
      <c r="G23">
        <v>10.399590999999999</v>
      </c>
      <c r="H23">
        <v>10.363692</v>
      </c>
      <c r="I23">
        <v>10.586817999999999</v>
      </c>
      <c r="J23">
        <v>10.840616000000001</v>
      </c>
      <c r="K23">
        <v>10.997180999999999</v>
      </c>
      <c r="L23">
        <v>11.561604000000001</v>
      </c>
      <c r="M23">
        <v>12.079665</v>
      </c>
      <c r="N23">
        <v>12.279627</v>
      </c>
      <c r="O23">
        <v>12.502826000000001</v>
      </c>
      <c r="P23">
        <v>12.621085000000001</v>
      </c>
      <c r="Q23">
        <v>12.741388000000001</v>
      </c>
      <c r="R23">
        <v>12.933538</v>
      </c>
      <c r="S23">
        <v>13.057534</v>
      </c>
      <c r="T23">
        <v>13.273581999999999</v>
      </c>
      <c r="U23">
        <v>13.537903</v>
      </c>
      <c r="V23">
        <v>13.827572999999999</v>
      </c>
      <c r="W23">
        <v>14.351494000000001</v>
      </c>
      <c r="X23">
        <v>14.592616</v>
      </c>
      <c r="Y23">
        <v>14.882044</v>
      </c>
      <c r="Z23">
        <v>15.386609999999999</v>
      </c>
      <c r="AA23">
        <v>15.755753</v>
      </c>
      <c r="AB23">
        <v>16.131744000000001</v>
      </c>
      <c r="AC23">
        <v>16.486397</v>
      </c>
      <c r="AD23">
        <v>16.864508000000001</v>
      </c>
      <c r="AE23" s="6" cm="1">
        <f t="array" ref="AE23:AE27">(AD23:AD27-D23:D27)/D23:D27</f>
        <v>0.4325436176175132</v>
      </c>
    </row>
    <row r="24" spans="1:31" x14ac:dyDescent="0.25">
      <c r="A24" t="s">
        <v>75</v>
      </c>
      <c r="B24" t="s">
        <v>48</v>
      </c>
      <c r="C24" t="s">
        <v>52</v>
      </c>
      <c r="D24">
        <v>12.328078</v>
      </c>
      <c r="E24">
        <v>12.267398999999999</v>
      </c>
      <c r="F24">
        <v>10.418653000000001</v>
      </c>
      <c r="G24">
        <v>10.164923999999999</v>
      </c>
      <c r="H24">
        <v>10.1381</v>
      </c>
      <c r="I24">
        <v>10.422224999999999</v>
      </c>
      <c r="J24">
        <v>10.729224</v>
      </c>
      <c r="K24">
        <v>10.920427999999999</v>
      </c>
      <c r="L24">
        <v>11.605214</v>
      </c>
      <c r="M24">
        <v>12.229383</v>
      </c>
      <c r="N24">
        <v>12.451362</v>
      </c>
      <c r="O24">
        <v>12.7155</v>
      </c>
      <c r="P24">
        <v>12.849525</v>
      </c>
      <c r="Q24">
        <v>12.994932</v>
      </c>
      <c r="R24">
        <v>13.227619000000001</v>
      </c>
      <c r="S24">
        <v>13.384449999999999</v>
      </c>
      <c r="T24">
        <v>13.649924</v>
      </c>
      <c r="U24">
        <v>13.99366</v>
      </c>
      <c r="V24">
        <v>14.350781</v>
      </c>
      <c r="W24">
        <v>15.028347</v>
      </c>
      <c r="X24">
        <v>15.329292000000001</v>
      </c>
      <c r="Y24">
        <v>15.671207000000001</v>
      </c>
      <c r="Z24">
        <v>16.286179000000001</v>
      </c>
      <c r="AA24">
        <v>16.723617999999998</v>
      </c>
      <c r="AB24">
        <v>17.074546999999999</v>
      </c>
      <c r="AC24">
        <v>17.396678999999999</v>
      </c>
      <c r="AD24">
        <v>17.732899</v>
      </c>
      <c r="AE24" s="6">
        <v>0.43841554214695916</v>
      </c>
    </row>
    <row r="25" spans="1:31" x14ac:dyDescent="0.25">
      <c r="A25" t="s">
        <v>75</v>
      </c>
      <c r="B25" t="s">
        <v>49</v>
      </c>
      <c r="C25" t="s">
        <v>52</v>
      </c>
      <c r="D25">
        <v>6.6026689999999997</v>
      </c>
      <c r="E25">
        <v>6.643764</v>
      </c>
      <c r="F25">
        <v>5.3839139999999999</v>
      </c>
      <c r="G25">
        <v>5.2572609999999997</v>
      </c>
      <c r="H25">
        <v>5.2425269999999999</v>
      </c>
      <c r="I25">
        <v>5.4359630000000001</v>
      </c>
      <c r="J25">
        <v>5.6407670000000003</v>
      </c>
      <c r="K25">
        <v>5.8007960000000001</v>
      </c>
      <c r="L25">
        <v>6.2806050000000004</v>
      </c>
      <c r="M25">
        <v>6.6993830000000001</v>
      </c>
      <c r="N25">
        <v>6.8619159999999999</v>
      </c>
      <c r="O25">
        <v>7.0559459999999996</v>
      </c>
      <c r="P25">
        <v>7.1622329999999996</v>
      </c>
      <c r="Q25">
        <v>7.2649030000000003</v>
      </c>
      <c r="R25">
        <v>7.4167430000000003</v>
      </c>
      <c r="S25">
        <v>7.5269959999999996</v>
      </c>
      <c r="T25">
        <v>7.6899179999999996</v>
      </c>
      <c r="U25">
        <v>7.9125360000000002</v>
      </c>
      <c r="V25">
        <v>8.1125489999999996</v>
      </c>
      <c r="W25">
        <v>8.5762020000000003</v>
      </c>
      <c r="X25">
        <v>8.7473139999999994</v>
      </c>
      <c r="Y25">
        <v>8.9630030000000005</v>
      </c>
      <c r="Z25">
        <v>9.3391719999999996</v>
      </c>
      <c r="AA25">
        <v>9.6061139999999998</v>
      </c>
      <c r="AB25">
        <v>9.7674330000000005</v>
      </c>
      <c r="AC25">
        <v>9.9760899999999992</v>
      </c>
      <c r="AD25">
        <v>10.154704000000001</v>
      </c>
      <c r="AE25" s="6">
        <v>0.53796956957860542</v>
      </c>
    </row>
    <row r="26" spans="1:31" x14ac:dyDescent="0.25">
      <c r="A26" t="s">
        <v>75</v>
      </c>
      <c r="B26" t="s">
        <v>50</v>
      </c>
      <c r="C26" t="s">
        <v>52</v>
      </c>
      <c r="D26">
        <v>10.707079999999999</v>
      </c>
      <c r="E26">
        <v>10.643090000000001</v>
      </c>
      <c r="F26">
        <v>9.1369520000000009</v>
      </c>
      <c r="G26">
        <v>8.8965130000000006</v>
      </c>
      <c r="H26">
        <v>8.8779769999999996</v>
      </c>
      <c r="I26">
        <v>9.1216100000000004</v>
      </c>
      <c r="J26">
        <v>9.3973010000000006</v>
      </c>
      <c r="K26">
        <v>9.5630649999999999</v>
      </c>
      <c r="L26">
        <v>10.14118</v>
      </c>
      <c r="M26">
        <v>10.696057</v>
      </c>
      <c r="N26">
        <v>10.918034</v>
      </c>
      <c r="O26">
        <v>11.165785</v>
      </c>
      <c r="P26">
        <v>11.296414</v>
      </c>
      <c r="Q26">
        <v>11.44171</v>
      </c>
      <c r="R26">
        <v>11.656222</v>
      </c>
      <c r="S26">
        <v>11.799251</v>
      </c>
      <c r="T26">
        <v>12.043632000000001</v>
      </c>
      <c r="U26">
        <v>12.337757</v>
      </c>
      <c r="V26">
        <v>12.66499</v>
      </c>
      <c r="W26">
        <v>13.207594</v>
      </c>
      <c r="X26">
        <v>13.480855</v>
      </c>
      <c r="Y26">
        <v>13.764110000000001</v>
      </c>
      <c r="Z26">
        <v>14.292088</v>
      </c>
      <c r="AA26">
        <v>14.663225000000001</v>
      </c>
      <c r="AB26">
        <v>14.993596999999999</v>
      </c>
      <c r="AC26">
        <v>15.241856</v>
      </c>
      <c r="AD26">
        <v>15.535674</v>
      </c>
      <c r="AE26" s="6">
        <v>0.45097206708084753</v>
      </c>
    </row>
    <row r="27" spans="1:31" x14ac:dyDescent="0.25">
      <c r="A27" t="s">
        <v>75</v>
      </c>
      <c r="B27" t="s">
        <v>51</v>
      </c>
      <c r="C27" t="s">
        <v>52</v>
      </c>
      <c r="D27">
        <v>10.556850000000001</v>
      </c>
      <c r="E27">
        <v>10.609247999999999</v>
      </c>
      <c r="F27">
        <v>9.0809230000000003</v>
      </c>
      <c r="G27">
        <v>8.8723200000000002</v>
      </c>
      <c r="H27">
        <v>8.8578860000000006</v>
      </c>
      <c r="I27">
        <v>9.0938210000000002</v>
      </c>
      <c r="J27">
        <v>9.3444500000000001</v>
      </c>
      <c r="K27">
        <v>9.5043749999999996</v>
      </c>
      <c r="L27">
        <v>10.073779999999999</v>
      </c>
      <c r="M27">
        <v>10.590916999999999</v>
      </c>
      <c r="N27">
        <v>10.779661000000001</v>
      </c>
      <c r="O27">
        <v>11.001818999999999</v>
      </c>
      <c r="P27">
        <v>11.117604999999999</v>
      </c>
      <c r="Q27">
        <v>11.238716999999999</v>
      </c>
      <c r="R27">
        <v>11.429672999999999</v>
      </c>
      <c r="S27">
        <v>11.559744999999999</v>
      </c>
      <c r="T27">
        <v>11.77774</v>
      </c>
      <c r="U27">
        <v>12.057573</v>
      </c>
      <c r="V27">
        <v>12.396796999999999</v>
      </c>
      <c r="W27">
        <v>12.907959</v>
      </c>
      <c r="X27">
        <v>13.154462000000001</v>
      </c>
      <c r="Y27">
        <v>13.442245</v>
      </c>
      <c r="Z27">
        <v>13.949036</v>
      </c>
      <c r="AA27">
        <v>14.312537000000001</v>
      </c>
      <c r="AB27">
        <v>14.670075000000001</v>
      </c>
      <c r="AC27">
        <v>14.919828000000001</v>
      </c>
      <c r="AD27">
        <v>15.22611</v>
      </c>
      <c r="AE27" s="6">
        <v>0.4422967078247772</v>
      </c>
    </row>
    <row r="28" spans="1:31" x14ac:dyDescent="0.25">
      <c r="A28" t="s">
        <v>76</v>
      </c>
      <c r="B28" t="s">
        <v>53</v>
      </c>
      <c r="C28" t="s">
        <v>47</v>
      </c>
      <c r="D28">
        <v>7.0255770000000002</v>
      </c>
      <c r="E28">
        <v>6.8488290000000003</v>
      </c>
      <c r="F28">
        <v>5.196199</v>
      </c>
      <c r="G28">
        <v>4.838374</v>
      </c>
      <c r="H28">
        <v>4.6337529999999996</v>
      </c>
      <c r="I28">
        <v>4.6463999999999999</v>
      </c>
      <c r="J28">
        <v>4.6565950000000003</v>
      </c>
      <c r="K28">
        <v>4.5663109999999998</v>
      </c>
      <c r="L28">
        <v>4.7759390000000002</v>
      </c>
      <c r="M28">
        <v>4.9318960000000001</v>
      </c>
      <c r="N28">
        <v>4.8570599999999997</v>
      </c>
      <c r="O28">
        <v>4.8049439999999999</v>
      </c>
      <c r="P28">
        <v>4.6605939999999997</v>
      </c>
      <c r="Q28">
        <v>4.5431039999999996</v>
      </c>
      <c r="R28">
        <v>4.4744339999999996</v>
      </c>
      <c r="S28">
        <v>4.3699680000000001</v>
      </c>
      <c r="T28">
        <v>4.3183259999999999</v>
      </c>
      <c r="U28">
        <v>4.3108820000000003</v>
      </c>
      <c r="V28">
        <v>4.3064049999999998</v>
      </c>
      <c r="W28">
        <v>4.4490619999999996</v>
      </c>
      <c r="X28">
        <v>4.3921409999999996</v>
      </c>
      <c r="Y28">
        <v>4.3415220000000003</v>
      </c>
      <c r="Z28">
        <v>4.4185290000000004</v>
      </c>
      <c r="AA28">
        <v>4.3999030000000001</v>
      </c>
      <c r="AB28">
        <v>4.3411099999999996</v>
      </c>
      <c r="AC28">
        <v>4.2629919999999997</v>
      </c>
      <c r="AD28">
        <v>4.1879840000000002</v>
      </c>
      <c r="AE28" s="6" cm="1">
        <f t="array" ref="AE28:AE30">(AD28:AD30-D28:D30)/D28:D30</f>
        <v>-0.40389465520056217</v>
      </c>
    </row>
    <row r="29" spans="1:31" x14ac:dyDescent="0.25">
      <c r="A29" t="s">
        <v>76</v>
      </c>
      <c r="B29" t="s">
        <v>54</v>
      </c>
      <c r="C29" t="s">
        <v>47</v>
      </c>
      <c r="D29">
        <v>0.699793</v>
      </c>
      <c r="E29">
        <v>0.74468599999999996</v>
      </c>
      <c r="F29">
        <v>0.783053</v>
      </c>
      <c r="G29">
        <v>0.82662899999999995</v>
      </c>
      <c r="H29">
        <v>0.88073699999999999</v>
      </c>
      <c r="I29">
        <v>0.93679599999999996</v>
      </c>
      <c r="J29">
        <v>0.98917500000000003</v>
      </c>
      <c r="K29">
        <v>1.0490710000000001</v>
      </c>
      <c r="L29">
        <v>1.1210450000000001</v>
      </c>
      <c r="M29">
        <v>1.200755</v>
      </c>
      <c r="N29">
        <v>1.228704</v>
      </c>
      <c r="O29">
        <v>1.2600119999999999</v>
      </c>
      <c r="P29">
        <v>1.298648</v>
      </c>
      <c r="Q29">
        <v>1.325277</v>
      </c>
      <c r="R29">
        <v>1.349259</v>
      </c>
      <c r="S29">
        <v>1.3761939999999999</v>
      </c>
      <c r="T29">
        <v>1.4030549999999999</v>
      </c>
      <c r="U29">
        <v>1.431794</v>
      </c>
      <c r="V29">
        <v>1.475152</v>
      </c>
      <c r="W29">
        <v>1.4977609999999999</v>
      </c>
      <c r="X29">
        <v>1.531628</v>
      </c>
      <c r="Y29">
        <v>1.568487</v>
      </c>
      <c r="Z29">
        <v>1.604535</v>
      </c>
      <c r="AA29">
        <v>1.6397170000000001</v>
      </c>
      <c r="AB29">
        <v>1.687201</v>
      </c>
      <c r="AC29">
        <v>1.709476</v>
      </c>
      <c r="AD29">
        <v>1.7443599999999999</v>
      </c>
      <c r="AE29" s="6">
        <v>1.4926799782221312</v>
      </c>
    </row>
    <row r="30" spans="1:31" x14ac:dyDescent="0.25">
      <c r="A30" t="s">
        <v>76</v>
      </c>
      <c r="B30" t="s">
        <v>55</v>
      </c>
      <c r="C30" t="s">
        <v>47</v>
      </c>
      <c r="D30">
        <v>2.83148</v>
      </c>
      <c r="E30">
        <v>2.7969149999999998</v>
      </c>
      <c r="F30">
        <v>2.7549489999999999</v>
      </c>
      <c r="G30">
        <v>2.7222499999999998</v>
      </c>
      <c r="H30">
        <v>2.6995939999999998</v>
      </c>
      <c r="I30">
        <v>2.6897440000000001</v>
      </c>
      <c r="J30">
        <v>2.6829339999999999</v>
      </c>
      <c r="K30">
        <v>2.6683849999999998</v>
      </c>
      <c r="L30">
        <v>2.684409</v>
      </c>
      <c r="M30">
        <v>2.675214</v>
      </c>
      <c r="N30">
        <v>2.6654810000000002</v>
      </c>
      <c r="O30">
        <v>2.6563099999999999</v>
      </c>
      <c r="P30">
        <v>2.652136</v>
      </c>
      <c r="Q30">
        <v>2.6438730000000001</v>
      </c>
      <c r="R30">
        <v>2.6501700000000001</v>
      </c>
      <c r="S30">
        <v>2.649454</v>
      </c>
      <c r="T30">
        <v>2.659424</v>
      </c>
      <c r="U30">
        <v>2.6653150000000001</v>
      </c>
      <c r="V30">
        <v>2.690566</v>
      </c>
      <c r="W30">
        <v>2.6981820000000001</v>
      </c>
      <c r="X30">
        <v>2.710871</v>
      </c>
      <c r="Y30">
        <v>2.7352729999999998</v>
      </c>
      <c r="Z30">
        <v>2.7667579999999998</v>
      </c>
      <c r="AA30">
        <v>2.7926160000000002</v>
      </c>
      <c r="AB30">
        <v>2.833825</v>
      </c>
      <c r="AC30">
        <v>2.8491659999999999</v>
      </c>
      <c r="AD30">
        <v>2.8761459999999999</v>
      </c>
      <c r="AE30" s="6">
        <v>1.5774789156200952E-2</v>
      </c>
    </row>
    <row r="31" spans="1:31" x14ac:dyDescent="0.25">
      <c r="A31" t="s">
        <v>77</v>
      </c>
      <c r="B31" t="s">
        <v>53</v>
      </c>
      <c r="C31" t="s">
        <v>52</v>
      </c>
      <c r="D31">
        <v>7.0255770000000002</v>
      </c>
      <c r="E31">
        <v>6.9930620000000001</v>
      </c>
      <c r="F31">
        <v>5.4024720000000004</v>
      </c>
      <c r="G31">
        <v>5.1181960000000002</v>
      </c>
      <c r="H31">
        <v>4.996937</v>
      </c>
      <c r="I31">
        <v>5.1074380000000001</v>
      </c>
      <c r="J31">
        <v>5.2245020000000002</v>
      </c>
      <c r="K31">
        <v>5.2391540000000001</v>
      </c>
      <c r="L31">
        <v>5.6065209999999999</v>
      </c>
      <c r="M31">
        <v>5.9303020000000002</v>
      </c>
      <c r="N31">
        <v>5.9828590000000004</v>
      </c>
      <c r="O31">
        <v>6.0614049999999997</v>
      </c>
      <c r="P31">
        <v>6.0169969999999999</v>
      </c>
      <c r="Q31">
        <v>5.9982540000000002</v>
      </c>
      <c r="R31">
        <v>6.0351840000000001</v>
      </c>
      <c r="S31">
        <v>6.0169160000000002</v>
      </c>
      <c r="T31">
        <v>6.0686439999999999</v>
      </c>
      <c r="U31">
        <v>6.1820690000000003</v>
      </c>
      <c r="V31">
        <v>6.301329</v>
      </c>
      <c r="W31">
        <v>6.6429470000000004</v>
      </c>
      <c r="X31">
        <v>6.6912180000000001</v>
      </c>
      <c r="Y31">
        <v>6.7504809999999997</v>
      </c>
      <c r="Z31">
        <v>7.0119980000000002</v>
      </c>
      <c r="AA31">
        <v>7.1299919999999997</v>
      </c>
      <c r="AB31">
        <v>7.1861240000000004</v>
      </c>
      <c r="AC31">
        <v>7.2099010000000003</v>
      </c>
      <c r="AD31">
        <v>7.2392320000000003</v>
      </c>
      <c r="AE31" s="6" cm="1">
        <f t="array" ref="AE31:AE33">(AD31:AD33-D31:D33)/D31:D33</f>
        <v>3.0411025315073788E-2</v>
      </c>
    </row>
    <row r="32" spans="1:31" x14ac:dyDescent="0.25">
      <c r="A32" t="s">
        <v>77</v>
      </c>
      <c r="B32" t="s">
        <v>54</v>
      </c>
      <c r="C32" t="s">
        <v>52</v>
      </c>
      <c r="D32">
        <v>0.699793</v>
      </c>
      <c r="E32">
        <v>0.76036899999999996</v>
      </c>
      <c r="F32">
        <v>0.81413800000000003</v>
      </c>
      <c r="G32">
        <v>0.87443599999999999</v>
      </c>
      <c r="H32">
        <v>0.94976700000000003</v>
      </c>
      <c r="I32">
        <v>1.029749</v>
      </c>
      <c r="J32">
        <v>1.109812</v>
      </c>
      <c r="K32">
        <v>1.203651</v>
      </c>
      <c r="L32">
        <v>1.3160050000000001</v>
      </c>
      <c r="M32">
        <v>1.4438340000000001</v>
      </c>
      <c r="N32">
        <v>1.5135000000000001</v>
      </c>
      <c r="O32">
        <v>1.589496</v>
      </c>
      <c r="P32">
        <v>1.6766030000000001</v>
      </c>
      <c r="Q32">
        <v>1.7497609999999999</v>
      </c>
      <c r="R32">
        <v>1.8199000000000001</v>
      </c>
      <c r="S32">
        <v>1.894852</v>
      </c>
      <c r="T32">
        <v>1.9717450000000001</v>
      </c>
      <c r="U32">
        <v>2.05328</v>
      </c>
      <c r="V32">
        <v>2.158509</v>
      </c>
      <c r="W32">
        <v>2.2363240000000002</v>
      </c>
      <c r="X32">
        <v>2.3333620000000002</v>
      </c>
      <c r="Y32">
        <v>2.4387850000000002</v>
      </c>
      <c r="Z32">
        <v>2.546322</v>
      </c>
      <c r="AA32">
        <v>2.657143</v>
      </c>
      <c r="AB32">
        <v>2.7929349999999999</v>
      </c>
      <c r="AC32">
        <v>2.8911980000000002</v>
      </c>
      <c r="AD32">
        <v>3.0152519999999998</v>
      </c>
      <c r="AE32" s="6">
        <v>3.3087770240628296</v>
      </c>
    </row>
    <row r="33" spans="1:31" x14ac:dyDescent="0.25">
      <c r="A33" t="s">
        <v>77</v>
      </c>
      <c r="B33" t="s">
        <v>55</v>
      </c>
      <c r="C33" t="s">
        <v>52</v>
      </c>
      <c r="D33">
        <v>2.83148</v>
      </c>
      <c r="E33">
        <v>2.855817</v>
      </c>
      <c r="F33">
        <v>2.864312</v>
      </c>
      <c r="G33">
        <v>2.8796889999999999</v>
      </c>
      <c r="H33">
        <v>2.9111829999999999</v>
      </c>
      <c r="I33">
        <v>2.9566330000000001</v>
      </c>
      <c r="J33">
        <v>3.010138</v>
      </c>
      <c r="K33">
        <v>3.0615700000000001</v>
      </c>
      <c r="L33">
        <v>3.1512530000000001</v>
      </c>
      <c r="M33">
        <v>3.21678</v>
      </c>
      <c r="N33">
        <v>3.2833019999999999</v>
      </c>
      <c r="O33">
        <v>3.3509169999999999</v>
      </c>
      <c r="P33">
        <v>3.4240050000000002</v>
      </c>
      <c r="Q33">
        <v>3.4907020000000002</v>
      </c>
      <c r="R33">
        <v>3.574589</v>
      </c>
      <c r="S33">
        <v>3.647977</v>
      </c>
      <c r="T33">
        <v>3.7373509999999999</v>
      </c>
      <c r="U33">
        <v>3.822225</v>
      </c>
      <c r="V33">
        <v>3.9369589999999999</v>
      </c>
      <c r="W33">
        <v>4.0286869999999997</v>
      </c>
      <c r="X33">
        <v>4.1298830000000004</v>
      </c>
      <c r="Y33">
        <v>4.25298</v>
      </c>
      <c r="Z33">
        <v>4.3907160000000003</v>
      </c>
      <c r="AA33">
        <v>4.5254019999999997</v>
      </c>
      <c r="AB33">
        <v>4.6910170000000004</v>
      </c>
      <c r="AC33">
        <v>4.8187300000000004</v>
      </c>
      <c r="AD33">
        <v>4.9716240000000003</v>
      </c>
      <c r="AE33" s="6">
        <v>0.75583934903301464</v>
      </c>
    </row>
    <row r="34" spans="1:31" x14ac:dyDescent="0.25">
      <c r="A34" t="s">
        <v>56</v>
      </c>
      <c r="B34" t="s">
        <v>57</v>
      </c>
      <c r="C34" t="s">
        <v>58</v>
      </c>
      <c r="D34">
        <v>23.076864</v>
      </c>
      <c r="E34">
        <v>22.748418999999998</v>
      </c>
      <c r="F34">
        <v>20.737774000000002</v>
      </c>
      <c r="G34">
        <v>18.240701999999999</v>
      </c>
      <c r="H34">
        <v>17.423811000000001</v>
      </c>
      <c r="I34">
        <v>16.356117000000001</v>
      </c>
      <c r="J34">
        <v>16.265514</v>
      </c>
      <c r="K34">
        <v>14.634562000000001</v>
      </c>
      <c r="L34">
        <v>8.6601839999999992</v>
      </c>
      <c r="M34">
        <v>8.9082980000000003</v>
      </c>
      <c r="N34">
        <v>8.7256520000000002</v>
      </c>
      <c r="O34">
        <v>8.0872259999999994</v>
      </c>
      <c r="P34">
        <v>7.517296</v>
      </c>
      <c r="Q34">
        <v>7.6403879999999997</v>
      </c>
      <c r="R34">
        <v>7.8334190000000001</v>
      </c>
      <c r="S34">
        <v>7.1472470000000001</v>
      </c>
      <c r="T34">
        <v>6.7214470000000004</v>
      </c>
      <c r="U34">
        <v>6.9799810000000004</v>
      </c>
      <c r="V34">
        <v>6.8921049999999999</v>
      </c>
      <c r="W34">
        <v>7.7382270000000002</v>
      </c>
      <c r="X34">
        <v>7.5267249999999999</v>
      </c>
      <c r="Y34">
        <v>8.0846119999999999</v>
      </c>
      <c r="Z34">
        <v>9.0038199999999993</v>
      </c>
      <c r="AA34">
        <v>9.7248129999999993</v>
      </c>
      <c r="AB34">
        <v>10.005013999999999</v>
      </c>
      <c r="AC34">
        <v>9.9647279999999991</v>
      </c>
      <c r="AD34">
        <v>10.124166000000001</v>
      </c>
      <c r="AE34" s="6" cm="1">
        <f t="array" ref="AE34:AE38">(AD34:AD38-D34:D38)/D34:D38</f>
        <v>-0.56128501688964327</v>
      </c>
    </row>
    <row r="35" spans="1:31" x14ac:dyDescent="0.25">
      <c r="A35" t="s">
        <v>56</v>
      </c>
      <c r="B35" t="s">
        <v>59</v>
      </c>
      <c r="C35" t="s">
        <v>58</v>
      </c>
      <c r="D35">
        <v>84.615157999999994</v>
      </c>
      <c r="E35">
        <v>83.410881000000003</v>
      </c>
      <c r="F35">
        <v>76.038535999999993</v>
      </c>
      <c r="G35">
        <v>66.882499999999993</v>
      </c>
      <c r="H35">
        <v>63.887287000000001</v>
      </c>
      <c r="I35">
        <v>59.972423999999997</v>
      </c>
      <c r="J35">
        <v>59.640179000000003</v>
      </c>
      <c r="K35">
        <v>53.660069</v>
      </c>
      <c r="L35">
        <v>31.754009</v>
      </c>
      <c r="M35">
        <v>32.663761000000001</v>
      </c>
      <c r="N35">
        <v>31.994060999999999</v>
      </c>
      <c r="O35">
        <v>29.653161999999998</v>
      </c>
      <c r="P35">
        <v>27.563412</v>
      </c>
      <c r="Q35">
        <v>28.014745999999999</v>
      </c>
      <c r="R35">
        <v>28.722532000000001</v>
      </c>
      <c r="S35">
        <v>26.20656</v>
      </c>
      <c r="T35">
        <v>24.645295999999998</v>
      </c>
      <c r="U35">
        <v>25.593250000000001</v>
      </c>
      <c r="V35">
        <v>25.271042000000001</v>
      </c>
      <c r="W35">
        <v>28.373488999999999</v>
      </c>
      <c r="X35">
        <v>27.597985999999999</v>
      </c>
      <c r="Y35">
        <v>29.643560000000001</v>
      </c>
      <c r="Z35">
        <v>33.014023000000002</v>
      </c>
      <c r="AA35">
        <v>35.657646</v>
      </c>
      <c r="AB35">
        <v>36.685059000000003</v>
      </c>
      <c r="AC35">
        <v>36.537337999999998</v>
      </c>
      <c r="AD35">
        <v>37.121941</v>
      </c>
      <c r="AE35" s="6">
        <v>-0.56128497685958345</v>
      </c>
    </row>
    <row r="36" spans="1:31" x14ac:dyDescent="0.25">
      <c r="A36" t="s">
        <v>56</v>
      </c>
      <c r="B36" t="s">
        <v>60</v>
      </c>
      <c r="C36" t="s">
        <v>58</v>
      </c>
      <c r="D36">
        <v>6.1046999999999997E-2</v>
      </c>
      <c r="E36">
        <v>5.3275000000000003E-2</v>
      </c>
      <c r="F36">
        <v>3.9591000000000001E-2</v>
      </c>
      <c r="G36">
        <v>3.2146000000000001E-2</v>
      </c>
      <c r="H36">
        <v>2.7171000000000001E-2</v>
      </c>
      <c r="I36">
        <v>2.1274999999999999E-2</v>
      </c>
      <c r="J36">
        <v>2.1977E-2</v>
      </c>
      <c r="K36">
        <v>2.7560999999999999E-2</v>
      </c>
      <c r="L36">
        <v>2.0000000000000002E-5</v>
      </c>
      <c r="M36">
        <v>2.3E-5</v>
      </c>
      <c r="N36">
        <v>2.5000000000000001E-5</v>
      </c>
      <c r="O36">
        <v>2.8E-5</v>
      </c>
      <c r="P36">
        <v>3.4E-5</v>
      </c>
      <c r="Q36">
        <v>6.0000000000000002E-5</v>
      </c>
      <c r="R36">
        <v>9.2E-5</v>
      </c>
      <c r="S36">
        <v>2.2599999999999999E-4</v>
      </c>
      <c r="T36">
        <v>2.3499999999999999E-4</v>
      </c>
      <c r="U36">
        <v>2.4399999999999999E-4</v>
      </c>
      <c r="V36">
        <v>2.5300000000000002E-4</v>
      </c>
      <c r="W36">
        <v>2.63E-4</v>
      </c>
      <c r="X36">
        <v>2.6800000000000001E-4</v>
      </c>
      <c r="Y36">
        <v>2.7300000000000002E-4</v>
      </c>
      <c r="Z36">
        <v>2.7900000000000001E-4</v>
      </c>
      <c r="AA36">
        <v>2.8200000000000002E-4</v>
      </c>
      <c r="AB36">
        <v>2.8600000000000001E-4</v>
      </c>
      <c r="AC36">
        <v>2.8600000000000001E-4</v>
      </c>
      <c r="AD36">
        <v>2.8800000000000001E-4</v>
      </c>
      <c r="AE36" s="6">
        <v>-0.99528232345569811</v>
      </c>
    </row>
    <row r="37" spans="1:31" x14ac:dyDescent="0.25">
      <c r="A37" t="s">
        <v>56</v>
      </c>
      <c r="B37" t="s">
        <v>61</v>
      </c>
      <c r="C37" t="s">
        <v>58</v>
      </c>
      <c r="D37">
        <v>2.5645999999999999E-2</v>
      </c>
      <c r="E37">
        <v>2.5014999999999999E-2</v>
      </c>
      <c r="F37">
        <v>1.7610000000000001E-2</v>
      </c>
      <c r="G37">
        <v>1.5997000000000001E-2</v>
      </c>
      <c r="H37">
        <v>1.3627999999999999E-2</v>
      </c>
      <c r="I37">
        <v>1.1828E-2</v>
      </c>
      <c r="J37">
        <v>1.4590000000000001E-2</v>
      </c>
      <c r="K37">
        <v>1.4289E-2</v>
      </c>
      <c r="L37">
        <v>8.3990000000000002E-3</v>
      </c>
      <c r="M37">
        <v>9.0100000000000006E-3</v>
      </c>
      <c r="N37">
        <v>8.7360000000000007E-3</v>
      </c>
      <c r="O37">
        <v>7.7920000000000003E-3</v>
      </c>
      <c r="P37">
        <v>7.1149999999999998E-3</v>
      </c>
      <c r="Q37">
        <v>7.4749999999999999E-3</v>
      </c>
      <c r="R37">
        <v>8.5369999999999994E-3</v>
      </c>
      <c r="S37">
        <v>7.5919999999999998E-3</v>
      </c>
      <c r="T37">
        <v>7.1830000000000001E-3</v>
      </c>
      <c r="U37">
        <v>7.5500000000000003E-3</v>
      </c>
      <c r="V37">
        <v>7.3080000000000003E-3</v>
      </c>
      <c r="W37">
        <v>9.0279999999999996E-3</v>
      </c>
      <c r="X37">
        <v>8.633E-3</v>
      </c>
      <c r="Y37">
        <v>9.5619999999999993E-3</v>
      </c>
      <c r="Z37">
        <v>1.1271E-2</v>
      </c>
      <c r="AA37">
        <v>1.248E-2</v>
      </c>
      <c r="AB37">
        <v>1.2899000000000001E-2</v>
      </c>
      <c r="AC37">
        <v>1.2526000000000001E-2</v>
      </c>
      <c r="AD37">
        <v>1.3032E-2</v>
      </c>
      <c r="AE37" s="6">
        <v>-0.49185058098728845</v>
      </c>
    </row>
    <row r="38" spans="1:31" x14ac:dyDescent="0.25">
      <c r="A38" t="s">
        <v>56</v>
      </c>
      <c r="B38" t="s">
        <v>62</v>
      </c>
      <c r="C38" t="s">
        <v>63</v>
      </c>
      <c r="D38">
        <v>0.259876</v>
      </c>
      <c r="E38">
        <v>0.254801</v>
      </c>
      <c r="F38">
        <v>0.19958000000000001</v>
      </c>
      <c r="G38">
        <v>0.13814699999999999</v>
      </c>
      <c r="H38">
        <v>0.127415</v>
      </c>
      <c r="I38">
        <v>0.103064</v>
      </c>
      <c r="J38">
        <v>0.10594199999999999</v>
      </c>
      <c r="K38">
        <v>9.5853999999999995E-2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6">
        <v>-1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107.95308326135209</v>
      </c>
      <c r="E39" s="4" cm="1">
        <f t="array" ref="E39:E42">907185*E34:E37*10^6/(E17*10^9)</f>
        <v>105.62513273125457</v>
      </c>
      <c r="F39" s="4" cm="1">
        <f t="array" ref="F39:F42">907185*F34:F37*10^6/(F17*10^9)</f>
        <v>96.908533441600184</v>
      </c>
      <c r="G39" s="4" cm="1">
        <f t="array" ref="G39:G42">907185*G34:G37*10^6/(G17*10^9)</f>
        <v>86.739420410038534</v>
      </c>
      <c r="H39" s="4" cm="1">
        <f t="array" ref="H39:H42">907185*H34:H37*10^6/(H17*10^9)</f>
        <v>84.123628005532822</v>
      </c>
      <c r="I39" s="4" cm="1">
        <f t="array" ref="I39:I42">907185*I34:I37*10^6/(I17*10^9)</f>
        <v>79.34914639427511</v>
      </c>
      <c r="J39" s="4" cm="1">
        <f t="array" ref="J39:J42">907185*J34:J37*10^6/(J17*10^9)</f>
        <v>78.60405476343972</v>
      </c>
      <c r="K39" s="4" cm="1">
        <f t="array" ref="K39:K42">907185*K34:K37*10^6/(K17*10^9)</f>
        <v>71.657451407118089</v>
      </c>
      <c r="L39" s="4" cm="1">
        <f t="array" ref="L39:L42">907185*L34:L37*10^6/(L17*10^9)</f>
        <v>41.599006441045724</v>
      </c>
      <c r="M39" s="4" cm="1">
        <f t="array" ref="M39:M42">907185*M34:M37*10^6/(M17*10^9)</f>
        <v>40.886242108073922</v>
      </c>
      <c r="N39" s="4" cm="1">
        <f t="array" ref="N39:N42">907185*N34:N37*10^6/(N17*10^9)</f>
        <v>39.76553762826606</v>
      </c>
      <c r="O39" s="4" cm="1">
        <f t="array" ref="O39:O42">907185*O34:O37*10^6/(O17*10^9)</f>
        <v>36.276114931301684</v>
      </c>
      <c r="P39" s="4" cm="1">
        <f t="array" ref="P39:P42">907185*P34:P37*10^6/(P17*10^9)</f>
        <v>33.425257030442744</v>
      </c>
      <c r="Q39" s="4" cm="1">
        <f t="array" ref="Q39:Q42">907185*Q34:Q37*10^6/(Q17*10^9)</f>
        <v>33.738149804523282</v>
      </c>
      <c r="R39" s="4" cm="1">
        <f t="array" ref="R39:R42">907185*R34:R37*10^6/(R17*10^9)</f>
        <v>34.435285011824064</v>
      </c>
      <c r="S39" s="4" cm="1">
        <f t="array" ref="S39:S42">907185*S34:S37*10^6/(S17*10^9)</f>
        <v>32.251340735488363</v>
      </c>
      <c r="T39" s="4" cm="1">
        <f t="array" ref="T39:T42">907185*T34:T37*10^6/(T17*10^9)</f>
        <v>30.813910385112941</v>
      </c>
      <c r="U39" s="4" cm="1">
        <f t="array" ref="U39:U42">907185*U34:U37*10^6/(U17*10^9)</f>
        <v>31.691587679617605</v>
      </c>
      <c r="V39" s="4" cm="1">
        <f t="array" ref="V39:V42">907185*V34:V37*10^6/(V17*10^9)</f>
        <v>31.393006422065376</v>
      </c>
      <c r="W39" s="4" cm="1">
        <f t="array" ref="W39:W42">907185*W34:W37*10^6/(W17*10^9)</f>
        <v>34.248352395247842</v>
      </c>
      <c r="X39" s="4" cm="1">
        <f t="array" ref="X39:X42">907185*X34:X37*10^6/(X17*10^9)</f>
        <v>33.528206055405931</v>
      </c>
      <c r="Y39" s="4" cm="1">
        <f t="array" ref="Y39:Y42">907185*Y34:Y37*10^6/(Y17*10^9)</f>
        <v>35.364710585526517</v>
      </c>
      <c r="Z39" s="4" cm="1">
        <f t="array" ref="Z39:Z42">907185*Z34:Z37*10^6/(Z17*10^9)</f>
        <v>38.217087936971183</v>
      </c>
      <c r="AA39" s="4" cm="1">
        <f t="array" ref="AA39:AA42">907185*AA34:AA37*10^6/(AA17*10^9)</f>
        <v>40.327154901445454</v>
      </c>
      <c r="AB39" s="4" cm="1">
        <f t="array" ref="AB39:AB42">907185*AB34:AB37*10^6/(AB17*10^9)</f>
        <v>41.111601943634568</v>
      </c>
      <c r="AC39" s="4" cm="1">
        <f t="array" ref="AC39:AC42">907185*AC34:AC37*10^6/(AC17*10^9)</f>
        <v>41.005022411426609</v>
      </c>
      <c r="AD39" s="4" cm="1">
        <f t="array" ref="AD39:AD42">907185*AD34:AD37*10^6/(AD17*10^9)</f>
        <v>41.497874035498853</v>
      </c>
      <c r="AE39" s="6" cm="1">
        <f t="array" ref="AE39:AE43">(AD39:AD43-D39:D43)/D39:D43</f>
        <v>-0.61559343390838228</v>
      </c>
    </row>
    <row r="40" spans="1:31" x14ac:dyDescent="0.25">
      <c r="A40" t="s">
        <v>64</v>
      </c>
      <c r="B40" t="s">
        <v>66</v>
      </c>
      <c r="C40" t="s">
        <v>70</v>
      </c>
      <c r="D40" s="4">
        <v>395.82792517850186</v>
      </c>
      <c r="E40" s="4">
        <v>387.29220597070423</v>
      </c>
      <c r="F40" s="4">
        <v>355.33143570791725</v>
      </c>
      <c r="G40" s="4">
        <v>318.04418961366741</v>
      </c>
      <c r="H40" s="4">
        <v>308.45320612526808</v>
      </c>
      <c r="I40" s="4">
        <v>290.94684585562317</v>
      </c>
      <c r="J40" s="4">
        <v>288.21467899614782</v>
      </c>
      <c r="K40" s="4">
        <v>262.74402929654497</v>
      </c>
      <c r="L40" s="4">
        <v>152.52969508731272</v>
      </c>
      <c r="M40" s="4">
        <v>149.91622871240531</v>
      </c>
      <c r="N40" s="4">
        <v>145.80698801379424</v>
      </c>
      <c r="O40" s="4">
        <v>133.01242141477283</v>
      </c>
      <c r="P40" s="4">
        <v>122.55924613531114</v>
      </c>
      <c r="Q40" s="4">
        <v>123.70650512561265</v>
      </c>
      <c r="R40" s="4">
        <v>126.26269266092331</v>
      </c>
      <c r="S40" s="4">
        <v>118.25486037701229</v>
      </c>
      <c r="T40" s="4">
        <v>112.98429376272438</v>
      </c>
      <c r="U40" s="4">
        <v>116.20242610708731</v>
      </c>
      <c r="V40" s="4">
        <v>115.10764618331901</v>
      </c>
      <c r="W40" s="4">
        <v>125.57724785725313</v>
      </c>
      <c r="X40" s="4">
        <v>122.9367302940134</v>
      </c>
      <c r="Y40" s="4">
        <v>129.67052965865159</v>
      </c>
      <c r="Z40" s="4">
        <v>140.1293917630727</v>
      </c>
      <c r="AA40" s="4">
        <v>147.86622772724851</v>
      </c>
      <c r="AB40" s="4">
        <v>150.74257196309262</v>
      </c>
      <c r="AC40" s="4">
        <v>150.35175707193102</v>
      </c>
      <c r="AD40" s="4">
        <v>152.15886736460271</v>
      </c>
      <c r="AE40" s="6">
        <v>-0.61559339883363351</v>
      </c>
    </row>
    <row r="41" spans="1:31" x14ac:dyDescent="0.25">
      <c r="A41" t="s">
        <v>64</v>
      </c>
      <c r="B41" t="s">
        <v>67</v>
      </c>
      <c r="C41" t="s">
        <v>70</v>
      </c>
      <c r="D41" s="4">
        <v>0.28557657894312505</v>
      </c>
      <c r="E41" s="4">
        <v>0.24736571566831034</v>
      </c>
      <c r="F41" s="4">
        <v>0.1850104908794161</v>
      </c>
      <c r="G41" s="4">
        <v>0.15286283436356229</v>
      </c>
      <c r="H41" s="4">
        <v>0.1311838780011062</v>
      </c>
      <c r="I41" s="4">
        <v>0.10321233881722679</v>
      </c>
      <c r="J41" s="4">
        <v>0.10620514737721259</v>
      </c>
      <c r="K41" s="4">
        <v>0.13495115318323717</v>
      </c>
      <c r="L41" s="4">
        <v>9.6069567207915542E-5</v>
      </c>
      <c r="M41" s="4">
        <v>1.0556265276326636E-4</v>
      </c>
      <c r="N41" s="4">
        <v>1.139328546115123E-4</v>
      </c>
      <c r="O41" s="4">
        <v>1.2559698691200756E-4</v>
      </c>
      <c r="P41" s="4">
        <v>1.5117919249621849E-4</v>
      </c>
      <c r="Q41" s="4">
        <v>2.649458362940988E-4</v>
      </c>
      <c r="R41" s="4">
        <v>4.044270095966798E-4</v>
      </c>
      <c r="S41" s="4">
        <v>1.0198056687029805E-3</v>
      </c>
      <c r="T41" s="4">
        <v>1.0773378024853191E-3</v>
      </c>
      <c r="U41" s="4">
        <v>1.107846481792242E-3</v>
      </c>
      <c r="V41" s="4">
        <v>1.1523954763867556E-3</v>
      </c>
      <c r="W41" s="4">
        <v>1.1640026429762505E-3</v>
      </c>
      <c r="X41" s="4">
        <v>1.1938205823713221E-3</v>
      </c>
      <c r="Y41" s="4">
        <v>1.1941903940286486E-3</v>
      </c>
      <c r="Z41" s="4">
        <v>1.184227087437883E-3</v>
      </c>
      <c r="AA41" s="4">
        <v>1.1694063096336781E-3</v>
      </c>
      <c r="AB41" s="4">
        <v>1.1752025690198421E-3</v>
      </c>
      <c r="AC41" s="4">
        <v>1.1768947842498067E-3</v>
      </c>
      <c r="AD41" s="4">
        <v>1.180481209239721E-3</v>
      </c>
      <c r="AE41" s="6">
        <v>-0.99586632344428061</v>
      </c>
    </row>
    <row r="42" spans="1:31" x14ac:dyDescent="0.25">
      <c r="A42" t="s">
        <v>64</v>
      </c>
      <c r="B42" t="s">
        <v>68</v>
      </c>
      <c r="C42" t="s">
        <v>70</v>
      </c>
      <c r="D42" s="4">
        <v>0.11997144730413266</v>
      </c>
      <c r="E42" s="4">
        <v>0.11614928911201844</v>
      </c>
      <c r="F42" s="4">
        <v>8.2292307453373681E-2</v>
      </c>
      <c r="G42" s="4">
        <v>7.6070016839230564E-2</v>
      </c>
      <c r="H42" s="4">
        <v>6.5797132582498821E-2</v>
      </c>
      <c r="I42" s="4">
        <v>5.7381694172980419E-2</v>
      </c>
      <c r="J42" s="4">
        <v>7.050703463773636E-2</v>
      </c>
      <c r="K42" s="4">
        <v>6.9965423164445262E-2</v>
      </c>
      <c r="L42" s="4">
        <v>4.0344414748964122E-2</v>
      </c>
      <c r="M42" s="4">
        <v>4.1353021799870868E-2</v>
      </c>
      <c r="N42" s="4">
        <v>3.9812696715446863E-2</v>
      </c>
      <c r="O42" s="4">
        <v>3.4951847214941531E-2</v>
      </c>
      <c r="P42" s="4">
        <v>3.163646925325278E-2</v>
      </c>
      <c r="Q42" s="4">
        <v>3.3007835438306474E-2</v>
      </c>
      <c r="R42" s="4">
        <v>3.7528188923117989E-2</v>
      </c>
      <c r="S42" s="4">
        <v>3.425825060527888E-2</v>
      </c>
      <c r="T42" s="4">
        <v>3.2929861426604458E-2</v>
      </c>
      <c r="U42" s="4">
        <v>3.4279675973489458E-2</v>
      </c>
      <c r="V42" s="4">
        <v>3.3287376053100434E-2</v>
      </c>
      <c r="W42" s="4">
        <v>3.9956714299580191E-2</v>
      </c>
      <c r="X42" s="4">
        <v>3.8456168237356807E-2</v>
      </c>
      <c r="Y42" s="4">
        <v>4.1827284057516248E-2</v>
      </c>
      <c r="Z42" s="4">
        <v>4.7840227607571256E-2</v>
      </c>
      <c r="AA42" s="4">
        <v>5.1752449447618094E-2</v>
      </c>
      <c r="AB42" s="4">
        <v>5.3003279502751556E-2</v>
      </c>
      <c r="AC42" s="4">
        <v>5.1544699536759025E-2</v>
      </c>
      <c r="AD42" s="4">
        <v>5.341677471809738E-2</v>
      </c>
      <c r="AE42" s="6">
        <v>-0.55475426929973093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1.2156944490216321E-6</v>
      </c>
      <c r="E43" s="5">
        <f>907185*E38/(E17*10^9)</f>
        <v>1.1830883475927008E-6</v>
      </c>
      <c r="F43" s="5">
        <f>907185*F38/(F17*10^9)</f>
        <v>9.3264615113823503E-7</v>
      </c>
      <c r="G43" s="5">
        <f>907185*G38/(G17*10^9)</f>
        <v>6.5692596213597447E-7</v>
      </c>
      <c r="H43" s="5">
        <f>907185*H38/(H17*10^9)</f>
        <v>6.151703586732527E-7</v>
      </c>
      <c r="I43" s="5">
        <f>907185*I38/(I17*10^9)</f>
        <v>4.9999889484647061E-7</v>
      </c>
      <c r="J43" s="5">
        <f>907185*J38/(J17*10^9)</f>
        <v>5.1197095706587135E-7</v>
      </c>
      <c r="K43" s="5">
        <f>907185*K38/(K17*10^9)</f>
        <v>4.6934464777134416E-7</v>
      </c>
      <c r="L43" s="5">
        <f>907185*L38/(L17*10^9)</f>
        <v>0</v>
      </c>
      <c r="M43" s="5">
        <f>907185*M38/(M17*10^9)</f>
        <v>0</v>
      </c>
      <c r="N43" s="5">
        <f>907185*N38/(N17*10^9)</f>
        <v>0</v>
      </c>
      <c r="O43" s="5">
        <f>907185*O38/(O17*10^9)</f>
        <v>0</v>
      </c>
      <c r="P43" s="5">
        <f>907185*P38/(P17*10^9)</f>
        <v>0</v>
      </c>
      <c r="Q43" s="5">
        <f>907185*Q38/(Q17*10^9)</f>
        <v>0</v>
      </c>
      <c r="R43" s="5">
        <f>907185*R38/(R17*10^9)</f>
        <v>0</v>
      </c>
      <c r="S43" s="5">
        <f>907185*S38/(S17*10^9)</f>
        <v>0</v>
      </c>
      <c r="T43" s="5">
        <f>907185*T38/(T17*10^9)</f>
        <v>0</v>
      </c>
      <c r="U43" s="5">
        <f>907185*U38/(U17*10^9)</f>
        <v>0</v>
      </c>
      <c r="V43" s="5">
        <f>907185*V38/(V17*10^9)</f>
        <v>0</v>
      </c>
      <c r="W43" s="5">
        <f>907185*W38/(W17*10^9)</f>
        <v>0</v>
      </c>
      <c r="X43" s="5">
        <f>907185*X38/(X17*10^9)</f>
        <v>0</v>
      </c>
      <c r="Y43" s="5">
        <f>907185*Y38/(Y17*10^9)</f>
        <v>0</v>
      </c>
      <c r="Z43" s="5">
        <f>907185*Z38/(Z17*10^9)</f>
        <v>0</v>
      </c>
      <c r="AA43" s="5">
        <f>907185*AA38/(AA17*10^9)</f>
        <v>0</v>
      </c>
      <c r="AB43" s="5">
        <f>907185*AB38/(AB17*10^9)</f>
        <v>0</v>
      </c>
      <c r="AC43" s="5">
        <f>907185*AC38/(AC17*10^9)</f>
        <v>0</v>
      </c>
      <c r="AD43" s="5">
        <f>907185*AD38/(AD17*10^9)</f>
        <v>0</v>
      </c>
      <c r="AE43" s="6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38.381476999999997</v>
      </c>
      <c r="E2">
        <v>38.707329000000001</v>
      </c>
      <c r="F2">
        <v>12.51702</v>
      </c>
      <c r="G2">
        <v>10.649573999999999</v>
      </c>
      <c r="H2">
        <v>20.357116999999999</v>
      </c>
      <c r="I2">
        <v>19.461137999999998</v>
      </c>
      <c r="J2">
        <v>19.514165999999999</v>
      </c>
      <c r="K2">
        <v>15.966763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0.28912900000000002</v>
      </c>
      <c r="E3">
        <v>0.28763300000000003</v>
      </c>
      <c r="F3">
        <v>0.17463899999999999</v>
      </c>
      <c r="G3">
        <v>0.15306800000000001</v>
      </c>
      <c r="H3">
        <v>0.174427</v>
      </c>
      <c r="I3">
        <v>0.152667</v>
      </c>
      <c r="J3">
        <v>0.138679</v>
      </c>
      <c r="K3">
        <v>0.11980399999999999</v>
      </c>
      <c r="L3">
        <v>3.7593000000000001E-2</v>
      </c>
      <c r="M3">
        <v>3.5503E-2</v>
      </c>
      <c r="N3">
        <v>3.5519000000000002E-2</v>
      </c>
      <c r="O3">
        <v>3.4924999999999998E-2</v>
      </c>
      <c r="P3">
        <v>3.4887000000000001E-2</v>
      </c>
      <c r="Q3">
        <v>3.4887000000000001E-2</v>
      </c>
      <c r="R3">
        <v>3.4887000000000001E-2</v>
      </c>
      <c r="S3">
        <v>3.4887000000000001E-2</v>
      </c>
      <c r="T3">
        <v>3.4887000000000001E-2</v>
      </c>
      <c r="U3">
        <v>3.4887000000000001E-2</v>
      </c>
      <c r="V3">
        <v>3.4887000000000001E-2</v>
      </c>
      <c r="W3">
        <v>3.4887000000000001E-2</v>
      </c>
      <c r="X3">
        <v>3.4887000000000001E-2</v>
      </c>
      <c r="Y3">
        <v>3.4887000000000001E-2</v>
      </c>
      <c r="Z3">
        <v>3.4887000000000001E-2</v>
      </c>
      <c r="AA3">
        <v>0</v>
      </c>
      <c r="AB3">
        <v>0</v>
      </c>
      <c r="AC3">
        <v>0</v>
      </c>
      <c r="AD3">
        <v>0</v>
      </c>
      <c r="AE3" s="6">
        <v>-1</v>
      </c>
    </row>
    <row r="4" spans="1:31" x14ac:dyDescent="0.25">
      <c r="A4" t="s">
        <v>28</v>
      </c>
      <c r="B4" t="s">
        <v>32</v>
      </c>
      <c r="C4" t="s">
        <v>30</v>
      </c>
      <c r="D4">
        <v>146.21264600000001</v>
      </c>
      <c r="E4">
        <v>144.920456</v>
      </c>
      <c r="F4">
        <v>156.84963999999999</v>
      </c>
      <c r="G4">
        <v>161.61531099999999</v>
      </c>
      <c r="H4">
        <v>156.58506800000001</v>
      </c>
      <c r="I4">
        <v>156.99305699999999</v>
      </c>
      <c r="J4">
        <v>153.38720699999999</v>
      </c>
      <c r="K4">
        <v>149.59141500000001</v>
      </c>
      <c r="L4">
        <v>148.92735300000001</v>
      </c>
      <c r="M4">
        <v>145.23251300000001</v>
      </c>
      <c r="N4">
        <v>142.984161</v>
      </c>
      <c r="O4">
        <v>140.748718</v>
      </c>
      <c r="P4">
        <v>135.85635400000001</v>
      </c>
      <c r="Q4">
        <v>135.861694</v>
      </c>
      <c r="R4">
        <v>133.47280900000001</v>
      </c>
      <c r="S4">
        <v>130.817261</v>
      </c>
      <c r="T4">
        <v>132.223557</v>
      </c>
      <c r="U4">
        <v>136.20721399999999</v>
      </c>
      <c r="V4">
        <v>132.644012</v>
      </c>
      <c r="W4">
        <v>138.721588</v>
      </c>
      <c r="X4">
        <v>137.88029499999999</v>
      </c>
      <c r="Y4">
        <v>139.083923</v>
      </c>
      <c r="Z4">
        <v>141.164841</v>
      </c>
      <c r="AA4">
        <v>140.96283</v>
      </c>
      <c r="AB4">
        <v>138.83334400000001</v>
      </c>
      <c r="AC4">
        <v>142.669556</v>
      </c>
      <c r="AD4">
        <v>143.53526299999999</v>
      </c>
      <c r="AE4" s="6">
        <v>-1.8311569301604869E-2</v>
      </c>
    </row>
    <row r="5" spans="1:31" x14ac:dyDescent="0.25">
      <c r="A5" t="s">
        <v>28</v>
      </c>
      <c r="B5" t="s">
        <v>33</v>
      </c>
      <c r="C5" t="s">
        <v>30</v>
      </c>
      <c r="D5">
        <v>62.215060999999999</v>
      </c>
      <c r="E5">
        <v>65.012778999999995</v>
      </c>
      <c r="F5">
        <v>65.598388999999997</v>
      </c>
      <c r="G5">
        <v>65.448738000000006</v>
      </c>
      <c r="H5">
        <v>65.448738000000006</v>
      </c>
      <c r="I5">
        <v>65.448738000000006</v>
      </c>
      <c r="J5">
        <v>65.448738000000006</v>
      </c>
      <c r="K5">
        <v>65.448738000000006</v>
      </c>
      <c r="L5">
        <v>65.448738000000006</v>
      </c>
      <c r="M5">
        <v>65.448738000000006</v>
      </c>
      <c r="N5">
        <v>65.448738000000006</v>
      </c>
      <c r="O5">
        <v>65.448256999999998</v>
      </c>
      <c r="P5">
        <v>65.448250000000002</v>
      </c>
      <c r="Q5">
        <v>65.448250000000002</v>
      </c>
      <c r="R5">
        <v>65.448250000000002</v>
      </c>
      <c r="S5">
        <v>65.448250000000002</v>
      </c>
      <c r="T5">
        <v>65.448250000000002</v>
      </c>
      <c r="U5">
        <v>65.448250000000002</v>
      </c>
      <c r="V5">
        <v>65.448250000000002</v>
      </c>
      <c r="W5">
        <v>65.448250000000002</v>
      </c>
      <c r="X5">
        <v>65.448250000000002</v>
      </c>
      <c r="Y5">
        <v>65.448250000000002</v>
      </c>
      <c r="Z5">
        <v>65.448250000000002</v>
      </c>
      <c r="AA5">
        <v>65.448250000000002</v>
      </c>
      <c r="AB5">
        <v>65.448250000000002</v>
      </c>
      <c r="AC5">
        <v>65.448250000000002</v>
      </c>
      <c r="AD5">
        <v>65.448250000000002</v>
      </c>
      <c r="AE5" s="6">
        <v>5.1967947118142392E-2</v>
      </c>
    </row>
    <row r="6" spans="1:31" x14ac:dyDescent="0.25">
      <c r="A6" t="s">
        <v>28</v>
      </c>
      <c r="B6" t="s">
        <v>34</v>
      </c>
      <c r="C6" t="s">
        <v>30</v>
      </c>
      <c r="D6">
        <v>-0.41052899999999998</v>
      </c>
      <c r="E6">
        <v>-0.40669699999999998</v>
      </c>
      <c r="F6">
        <v>-0.40771800000000002</v>
      </c>
      <c r="G6">
        <v>-0.408775</v>
      </c>
      <c r="H6">
        <v>-0.40897699999999998</v>
      </c>
      <c r="I6">
        <v>-0.40751999999999999</v>
      </c>
      <c r="J6">
        <v>-0.408356</v>
      </c>
      <c r="K6">
        <v>-0.416022</v>
      </c>
      <c r="L6">
        <v>-0.41689500000000002</v>
      </c>
      <c r="M6">
        <v>-0.416881</v>
      </c>
      <c r="N6">
        <v>-0.416881</v>
      </c>
      <c r="O6">
        <v>-0.416966</v>
      </c>
      <c r="P6">
        <v>-0.416883</v>
      </c>
      <c r="Q6">
        <v>-0.44259100000000001</v>
      </c>
      <c r="R6">
        <v>-0.57188399999999995</v>
      </c>
      <c r="S6">
        <v>-0.79278499999999996</v>
      </c>
      <c r="T6">
        <v>-0.79376000000000002</v>
      </c>
      <c r="U6">
        <v>-0.91924499999999998</v>
      </c>
      <c r="V6">
        <v>-1.0223249999999999</v>
      </c>
      <c r="W6">
        <v>-1.2799970000000001</v>
      </c>
      <c r="X6">
        <v>-1.3924369999999999</v>
      </c>
      <c r="Y6">
        <v>-1.635964</v>
      </c>
      <c r="Z6">
        <v>-1.8938710000000001</v>
      </c>
      <c r="AA6">
        <v>-2.329215</v>
      </c>
      <c r="AB6">
        <v>-2.3359749999999999</v>
      </c>
      <c r="AC6">
        <v>-2.574935</v>
      </c>
      <c r="AD6">
        <v>-2.8581020000000001</v>
      </c>
      <c r="AE6" s="6">
        <v>5.9619978125784057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10.377699</v>
      </c>
      <c r="E8">
        <v>11.274747</v>
      </c>
      <c r="F8">
        <v>11.7065</v>
      </c>
      <c r="G8">
        <v>12.131869</v>
      </c>
      <c r="H8">
        <v>12.142132999999999</v>
      </c>
      <c r="I8">
        <v>12.139194</v>
      </c>
      <c r="J8">
        <v>12.143703</v>
      </c>
      <c r="K8">
        <v>12.150385</v>
      </c>
      <c r="L8">
        <v>12.178668999999999</v>
      </c>
      <c r="M8">
        <v>12.177549000000001</v>
      </c>
      <c r="N8">
        <v>12.179496</v>
      </c>
      <c r="O8">
        <v>12.180482</v>
      </c>
      <c r="P8">
        <v>11.825634000000001</v>
      </c>
      <c r="Q8">
        <v>11.507548</v>
      </c>
      <c r="R8">
        <v>11.511303</v>
      </c>
      <c r="S8">
        <v>11.589305</v>
      </c>
      <c r="T8">
        <v>11.503531000000001</v>
      </c>
      <c r="U8">
        <v>11.456688</v>
      </c>
      <c r="V8">
        <v>11.470397999999999</v>
      </c>
      <c r="W8">
        <v>11.451404999999999</v>
      </c>
      <c r="X8">
        <v>11.355433</v>
      </c>
      <c r="Y8">
        <v>11.383227</v>
      </c>
      <c r="Z8">
        <v>11.362508</v>
      </c>
      <c r="AA8">
        <v>11.383687999999999</v>
      </c>
      <c r="AB8">
        <v>11.366275</v>
      </c>
      <c r="AC8">
        <v>11.234916</v>
      </c>
      <c r="AD8">
        <v>11.193425</v>
      </c>
      <c r="AE8" s="6">
        <v>7.8603744433134906E-2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0.28325299999999998</v>
      </c>
      <c r="E10">
        <v>0.38551400000000002</v>
      </c>
      <c r="F10">
        <v>0.51819099999999996</v>
      </c>
      <c r="G10">
        <v>0.63910699999999998</v>
      </c>
      <c r="H10">
        <v>0.776752</v>
      </c>
      <c r="I10">
        <v>0.88358599999999998</v>
      </c>
      <c r="J10">
        <v>0.99191700000000005</v>
      </c>
      <c r="K10">
        <v>1.087234</v>
      </c>
      <c r="L10">
        <v>1.2063619999999999</v>
      </c>
      <c r="M10">
        <v>1.322344</v>
      </c>
      <c r="N10">
        <v>1.420158</v>
      </c>
      <c r="O10">
        <v>1.5154719999999999</v>
      </c>
      <c r="P10">
        <v>1.6173930000000001</v>
      </c>
      <c r="Q10">
        <v>1.722521</v>
      </c>
      <c r="R10">
        <v>1.8313280000000001</v>
      </c>
      <c r="S10">
        <v>1.9080250000000001</v>
      </c>
      <c r="T10">
        <v>1.987965</v>
      </c>
      <c r="U10">
        <v>2.0686800000000001</v>
      </c>
      <c r="V10">
        <v>2.1547320000000001</v>
      </c>
      <c r="W10">
        <v>2.24396</v>
      </c>
      <c r="X10">
        <v>2.288535</v>
      </c>
      <c r="Y10">
        <v>2.3342369999999999</v>
      </c>
      <c r="Z10">
        <v>2.379413</v>
      </c>
      <c r="AA10">
        <v>2.426002</v>
      </c>
      <c r="AB10">
        <v>2.4724059999999999</v>
      </c>
      <c r="AC10">
        <v>2.4724059999999999</v>
      </c>
      <c r="AD10">
        <v>2.4724059999999999</v>
      </c>
      <c r="AE10" s="6">
        <v>7.7286136422209131</v>
      </c>
    </row>
    <row r="11" spans="1:31" x14ac:dyDescent="0.25">
      <c r="A11" t="s">
        <v>28</v>
      </c>
      <c r="B11" t="s">
        <v>39</v>
      </c>
      <c r="C11" t="s">
        <v>30</v>
      </c>
      <c r="D11">
        <v>1.367292</v>
      </c>
      <c r="E11">
        <v>1.367291</v>
      </c>
      <c r="F11">
        <v>1.367291</v>
      </c>
      <c r="G11">
        <v>1.367291</v>
      </c>
      <c r="H11">
        <v>1.367083</v>
      </c>
      <c r="I11">
        <v>1.367291</v>
      </c>
      <c r="J11">
        <v>1.367291</v>
      </c>
      <c r="K11">
        <v>1.367291</v>
      </c>
      <c r="L11">
        <v>1.367291</v>
      </c>
      <c r="M11">
        <v>1.367291</v>
      </c>
      <c r="N11">
        <v>1.367291</v>
      </c>
      <c r="O11">
        <v>1.367291</v>
      </c>
      <c r="P11">
        <v>1.367291</v>
      </c>
      <c r="Q11">
        <v>1.367291</v>
      </c>
      <c r="R11">
        <v>1.367291</v>
      </c>
      <c r="S11">
        <v>1.367291</v>
      </c>
      <c r="T11">
        <v>1.367291</v>
      </c>
      <c r="U11">
        <v>1.367291</v>
      </c>
      <c r="V11">
        <v>1.367291</v>
      </c>
      <c r="W11">
        <v>1.367291</v>
      </c>
      <c r="X11">
        <v>1.367291</v>
      </c>
      <c r="Y11">
        <v>1.367291</v>
      </c>
      <c r="Z11">
        <v>1.367291</v>
      </c>
      <c r="AA11">
        <v>1.367291</v>
      </c>
      <c r="AB11">
        <v>1.367291</v>
      </c>
      <c r="AC11">
        <v>1.367291</v>
      </c>
      <c r="AD11">
        <v>1.367291</v>
      </c>
      <c r="AE11" s="6">
        <v>-7.3137266942082117E-7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9.7885729999999995</v>
      </c>
      <c r="E13">
        <v>11.803107000000001</v>
      </c>
      <c r="F13">
        <v>13.608547</v>
      </c>
      <c r="G13">
        <v>14.279813000000001</v>
      </c>
      <c r="H13">
        <v>14.349784</v>
      </c>
      <c r="I13">
        <v>14.348735</v>
      </c>
      <c r="J13">
        <v>21.367977</v>
      </c>
      <c r="K13">
        <v>35.178288000000002</v>
      </c>
      <c r="L13">
        <v>60.397990999999998</v>
      </c>
      <c r="M13">
        <v>66.184310999999994</v>
      </c>
      <c r="N13">
        <v>72.077194000000006</v>
      </c>
      <c r="O13">
        <v>82.469513000000006</v>
      </c>
      <c r="P13">
        <v>98.065353000000002</v>
      </c>
      <c r="Q13">
        <v>106.778954</v>
      </c>
      <c r="R13">
        <v>108.741394</v>
      </c>
      <c r="S13">
        <v>109.988411</v>
      </c>
      <c r="T13">
        <v>109.05604599999999</v>
      </c>
      <c r="U13">
        <v>109.688591</v>
      </c>
      <c r="V13">
        <v>110.129745</v>
      </c>
      <c r="W13">
        <v>115.104332</v>
      </c>
      <c r="X13">
        <v>121.04473900000001</v>
      </c>
      <c r="Y13">
        <v>121.970337</v>
      </c>
      <c r="Z13">
        <v>122.553307</v>
      </c>
      <c r="AA13">
        <v>124.105408</v>
      </c>
      <c r="AB13">
        <v>124.121391</v>
      </c>
      <c r="AC13">
        <v>132.662308</v>
      </c>
      <c r="AD13">
        <v>135.26620500000001</v>
      </c>
      <c r="AE13" s="6">
        <v>12.818786967211668</v>
      </c>
    </row>
    <row r="14" spans="1:31" x14ac:dyDescent="0.25">
      <c r="A14" t="s">
        <v>28</v>
      </c>
      <c r="B14" t="s">
        <v>42</v>
      </c>
      <c r="C14" t="s">
        <v>30</v>
      </c>
      <c r="D14">
        <v>0</v>
      </c>
      <c r="E14">
        <v>0</v>
      </c>
      <c r="F14">
        <v>0</v>
      </c>
      <c r="G14">
        <v>0.51392199999999999</v>
      </c>
      <c r="H14">
        <v>0.64170700000000003</v>
      </c>
      <c r="I14">
        <v>0.641706</v>
      </c>
      <c r="J14">
        <v>0.64176500000000003</v>
      </c>
      <c r="K14">
        <v>0.64175899999999997</v>
      </c>
      <c r="L14">
        <v>0.642378</v>
      </c>
      <c r="M14">
        <v>0.64174299999999995</v>
      </c>
      <c r="N14">
        <v>0.642038</v>
      </c>
      <c r="O14">
        <v>0.64185199999999998</v>
      </c>
      <c r="P14">
        <v>0.61743300000000001</v>
      </c>
      <c r="Q14">
        <v>0.59451600000000004</v>
      </c>
      <c r="R14">
        <v>0.59584599999999999</v>
      </c>
      <c r="S14">
        <v>0.81209299999999995</v>
      </c>
      <c r="T14">
        <v>0.85949399999999998</v>
      </c>
      <c r="U14">
        <v>0.853634</v>
      </c>
      <c r="V14">
        <v>0.85906300000000002</v>
      </c>
      <c r="W14">
        <v>0.85694899999999996</v>
      </c>
      <c r="X14">
        <v>0.84305799999999997</v>
      </c>
      <c r="Y14">
        <v>0.84611800000000004</v>
      </c>
      <c r="Z14">
        <v>0.84271099999999999</v>
      </c>
      <c r="AA14">
        <v>0.84355800000000003</v>
      </c>
      <c r="AB14">
        <v>0.84273900000000002</v>
      </c>
      <c r="AC14">
        <v>0.83303099999999997</v>
      </c>
      <c r="AD14">
        <v>0.82362100000000005</v>
      </c>
      <c r="AE14" s="6" t="e">
        <v>#DIV/0!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9" t="s">
        <v>44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5.2690000000000002E-3</v>
      </c>
      <c r="L16">
        <v>5.4344000000000003E-2</v>
      </c>
      <c r="M16">
        <v>6.0316000000000002E-2</v>
      </c>
      <c r="N16">
        <v>6.6843E-2</v>
      </c>
      <c r="O16">
        <v>7.3960999999999999E-2</v>
      </c>
      <c r="P16">
        <v>8.1575999999999996E-2</v>
      </c>
      <c r="Q16">
        <v>0.101938</v>
      </c>
      <c r="R16">
        <v>0.12310599999999999</v>
      </c>
      <c r="S16">
        <v>0.144452</v>
      </c>
      <c r="T16">
        <v>0.16538</v>
      </c>
      <c r="U16">
        <v>0.18607399999999999</v>
      </c>
      <c r="V16">
        <v>0.19361600000000001</v>
      </c>
      <c r="W16">
        <v>0.22428899999999999</v>
      </c>
      <c r="X16">
        <v>0.242864</v>
      </c>
      <c r="Y16">
        <v>0.25048500000000001</v>
      </c>
      <c r="Z16">
        <v>0.257822</v>
      </c>
      <c r="AA16">
        <v>0.26482600000000001</v>
      </c>
      <c r="AB16">
        <v>0.26768599999999998</v>
      </c>
      <c r="AC16">
        <v>0.279588</v>
      </c>
      <c r="AD16">
        <v>0.28723500000000002</v>
      </c>
      <c r="AE16" s="6" t="e">
        <v>#DIV/0!</v>
      </c>
    </row>
    <row r="17" spans="1:31" x14ac:dyDescent="0.25">
      <c r="A17" t="s">
        <v>28</v>
      </c>
      <c r="B17" s="9" t="s">
        <v>45</v>
      </c>
      <c r="C17" t="s">
        <v>30</v>
      </c>
      <c r="D17">
        <v>268.50460800000002</v>
      </c>
      <c r="E17">
        <v>273.35217299999999</v>
      </c>
      <c r="F17">
        <v>261.93249500000002</v>
      </c>
      <c r="G17">
        <v>266.38992300000001</v>
      </c>
      <c r="H17">
        <v>271.433807</v>
      </c>
      <c r="I17">
        <v>271.028595</v>
      </c>
      <c r="J17">
        <v>274.59310900000003</v>
      </c>
      <c r="K17">
        <v>281.14093000000003</v>
      </c>
      <c r="L17">
        <v>289.843842</v>
      </c>
      <c r="M17">
        <v>292.053406</v>
      </c>
      <c r="N17">
        <v>295.80453499999999</v>
      </c>
      <c r="O17">
        <v>304.06353799999999</v>
      </c>
      <c r="P17">
        <v>314.497253</v>
      </c>
      <c r="Q17">
        <v>322.97497600000003</v>
      </c>
      <c r="R17">
        <v>322.55432100000002</v>
      </c>
      <c r="S17">
        <v>321.31716899999998</v>
      </c>
      <c r="T17">
        <v>321.85263099999997</v>
      </c>
      <c r="U17">
        <v>326.39202899999998</v>
      </c>
      <c r="V17">
        <v>323.27966300000003</v>
      </c>
      <c r="W17">
        <v>334.17294299999998</v>
      </c>
      <c r="X17">
        <v>339.11291499999999</v>
      </c>
      <c r="Y17">
        <v>341.082764</v>
      </c>
      <c r="Z17">
        <v>343.51715100000001</v>
      </c>
      <c r="AA17">
        <v>344.47262599999999</v>
      </c>
      <c r="AB17">
        <v>342.38342299999999</v>
      </c>
      <c r="AC17">
        <v>354.39239500000002</v>
      </c>
      <c r="AD17">
        <v>357.53558299999997</v>
      </c>
      <c r="AE17" s="6">
        <v>0.33158080847536126</v>
      </c>
    </row>
    <row r="18" spans="1:31" x14ac:dyDescent="0.25">
      <c r="A18" t="s">
        <v>74</v>
      </c>
      <c r="B18" t="s">
        <v>46</v>
      </c>
      <c r="C18" t="s">
        <v>47</v>
      </c>
      <c r="D18">
        <v>14.532906000000001</v>
      </c>
      <c r="E18">
        <v>14.335355</v>
      </c>
      <c r="F18">
        <v>13.254987</v>
      </c>
      <c r="G18">
        <v>12.532576000000001</v>
      </c>
      <c r="H18">
        <v>12.204091999999999</v>
      </c>
      <c r="I18">
        <v>12.135332</v>
      </c>
      <c r="J18">
        <v>12.068695999999999</v>
      </c>
      <c r="K18">
        <v>12.073164</v>
      </c>
      <c r="L18">
        <v>12.164286000000001</v>
      </c>
      <c r="M18">
        <v>12.245952000000001</v>
      </c>
      <c r="N18">
        <v>12.206105000000001</v>
      </c>
      <c r="O18">
        <v>12.165831000000001</v>
      </c>
      <c r="P18">
        <v>12.067722</v>
      </c>
      <c r="Q18">
        <v>11.954741</v>
      </c>
      <c r="R18">
        <v>11.824847999999999</v>
      </c>
      <c r="S18">
        <v>11.684284999999999</v>
      </c>
      <c r="T18">
        <v>11.604782</v>
      </c>
      <c r="U18">
        <v>11.572055000000001</v>
      </c>
      <c r="V18">
        <v>11.553184999999999</v>
      </c>
      <c r="W18">
        <v>11.694493</v>
      </c>
      <c r="X18">
        <v>11.708996000000001</v>
      </c>
      <c r="Y18">
        <v>11.660423</v>
      </c>
      <c r="Z18">
        <v>11.666988999999999</v>
      </c>
      <c r="AA18">
        <v>11.736402999999999</v>
      </c>
      <c r="AB18">
        <v>11.739143</v>
      </c>
      <c r="AC18">
        <v>11.737328</v>
      </c>
      <c r="AD18">
        <v>11.666639</v>
      </c>
      <c r="AE18" s="6" cm="1">
        <f t="array" ref="AE18:AE22">(AD18:AD22-D18:D22)/D18:D22</f>
        <v>-0.19722600559034789</v>
      </c>
    </row>
    <row r="19" spans="1:31" x14ac:dyDescent="0.25">
      <c r="A19" t="s">
        <v>74</v>
      </c>
      <c r="B19" t="s">
        <v>48</v>
      </c>
      <c r="C19" t="s">
        <v>47</v>
      </c>
      <c r="D19">
        <v>12.302289999999999</v>
      </c>
      <c r="E19">
        <v>11.711501</v>
      </c>
      <c r="F19">
        <v>10.621184</v>
      </c>
      <c r="G19">
        <v>10.065685999999999</v>
      </c>
      <c r="H19">
        <v>9.8285800000000005</v>
      </c>
      <c r="I19">
        <v>9.8107009999999999</v>
      </c>
      <c r="J19">
        <v>9.8059840000000005</v>
      </c>
      <c r="K19">
        <v>9.8446549999999995</v>
      </c>
      <c r="L19">
        <v>10.003192</v>
      </c>
      <c r="M19">
        <v>10.1174</v>
      </c>
      <c r="N19">
        <v>10.11633</v>
      </c>
      <c r="O19">
        <v>10.124326999999999</v>
      </c>
      <c r="P19">
        <v>10.070162</v>
      </c>
      <c r="Q19">
        <v>10.009067</v>
      </c>
      <c r="R19">
        <v>9.9247820000000004</v>
      </c>
      <c r="S19">
        <v>9.8289950000000008</v>
      </c>
      <c r="T19">
        <v>9.7944440000000004</v>
      </c>
      <c r="U19">
        <v>9.8090510000000002</v>
      </c>
      <c r="V19">
        <v>9.8487720000000003</v>
      </c>
      <c r="W19">
        <v>10.025632</v>
      </c>
      <c r="X19">
        <v>10.076921</v>
      </c>
      <c r="Y19">
        <v>10.058335</v>
      </c>
      <c r="Z19">
        <v>10.095426</v>
      </c>
      <c r="AA19">
        <v>10.191689</v>
      </c>
      <c r="AB19">
        <v>10.227515</v>
      </c>
      <c r="AC19">
        <v>10.229832999999999</v>
      </c>
      <c r="AD19">
        <v>10.176761000000001</v>
      </c>
      <c r="AE19" s="6">
        <v>-0.17277506870672035</v>
      </c>
    </row>
    <row r="20" spans="1:31" x14ac:dyDescent="0.25">
      <c r="A20" t="s">
        <v>74</v>
      </c>
      <c r="B20" t="s">
        <v>49</v>
      </c>
      <c r="C20" t="s">
        <v>47</v>
      </c>
      <c r="D20">
        <v>7.8862560000000004</v>
      </c>
      <c r="E20">
        <v>7.4854500000000002</v>
      </c>
      <c r="F20">
        <v>6.5657399999999999</v>
      </c>
      <c r="G20">
        <v>6.2257920000000002</v>
      </c>
      <c r="H20">
        <v>6.0567979999999997</v>
      </c>
      <c r="I20">
        <v>6.0641860000000003</v>
      </c>
      <c r="J20">
        <v>6.0986799999999999</v>
      </c>
      <c r="K20">
        <v>6.1452669999999996</v>
      </c>
      <c r="L20">
        <v>6.3226630000000004</v>
      </c>
      <c r="M20">
        <v>6.4225139999999996</v>
      </c>
      <c r="N20">
        <v>6.4536290000000003</v>
      </c>
      <c r="O20">
        <v>6.4888599999999999</v>
      </c>
      <c r="P20">
        <v>6.467543</v>
      </c>
      <c r="Q20">
        <v>6.4437990000000003</v>
      </c>
      <c r="R20">
        <v>6.3941999999999997</v>
      </c>
      <c r="S20">
        <v>6.3378230000000002</v>
      </c>
      <c r="T20">
        <v>6.3267930000000003</v>
      </c>
      <c r="U20">
        <v>6.3527950000000004</v>
      </c>
      <c r="V20">
        <v>6.3797129999999997</v>
      </c>
      <c r="W20">
        <v>6.5547680000000001</v>
      </c>
      <c r="X20">
        <v>6.5774670000000004</v>
      </c>
      <c r="Y20">
        <v>6.56724</v>
      </c>
      <c r="Z20">
        <v>6.6067200000000001</v>
      </c>
      <c r="AA20">
        <v>6.6891879999999997</v>
      </c>
      <c r="AB20">
        <v>6.6951340000000004</v>
      </c>
      <c r="AC20">
        <v>6.7184850000000003</v>
      </c>
      <c r="AD20">
        <v>6.675624</v>
      </c>
      <c r="AE20" s="6">
        <v>-0.15351162833161899</v>
      </c>
    </row>
    <row r="21" spans="1:31" x14ac:dyDescent="0.25">
      <c r="A21" t="s">
        <v>74</v>
      </c>
      <c r="B21" t="s">
        <v>50</v>
      </c>
      <c r="C21" t="s">
        <v>47</v>
      </c>
      <c r="D21">
        <v>11.929766000000001</v>
      </c>
      <c r="E21">
        <v>11.391322000000001</v>
      </c>
      <c r="F21">
        <v>10.366393</v>
      </c>
      <c r="G21">
        <v>9.7466570000000008</v>
      </c>
      <c r="H21">
        <v>9.4850440000000003</v>
      </c>
      <c r="I21">
        <v>9.4588110000000007</v>
      </c>
      <c r="J21">
        <v>9.4420680000000008</v>
      </c>
      <c r="K21">
        <v>9.4870380000000001</v>
      </c>
      <c r="L21">
        <v>9.6210179999999994</v>
      </c>
      <c r="M21">
        <v>9.7412939999999999</v>
      </c>
      <c r="N21">
        <v>9.7507540000000006</v>
      </c>
      <c r="O21">
        <v>9.7615890000000007</v>
      </c>
      <c r="P21">
        <v>9.7159569999999995</v>
      </c>
      <c r="Q21">
        <v>9.6573530000000005</v>
      </c>
      <c r="R21">
        <v>9.5790930000000003</v>
      </c>
      <c r="S21">
        <v>9.4868860000000002</v>
      </c>
      <c r="T21">
        <v>9.4506820000000005</v>
      </c>
      <c r="U21">
        <v>9.4581169999999997</v>
      </c>
      <c r="V21">
        <v>9.4917800000000003</v>
      </c>
      <c r="W21">
        <v>9.6348470000000006</v>
      </c>
      <c r="X21">
        <v>9.7009430000000005</v>
      </c>
      <c r="Y21">
        <v>9.6819170000000003</v>
      </c>
      <c r="Z21">
        <v>9.7082820000000005</v>
      </c>
      <c r="AA21">
        <v>9.7941160000000007</v>
      </c>
      <c r="AB21">
        <v>9.8398199999999996</v>
      </c>
      <c r="AC21">
        <v>9.8361140000000002</v>
      </c>
      <c r="AD21">
        <v>9.7917179999999995</v>
      </c>
      <c r="AE21" s="6">
        <v>-0.17921960916919921</v>
      </c>
    </row>
    <row r="22" spans="1:31" x14ac:dyDescent="0.25">
      <c r="A22" t="s">
        <v>74</v>
      </c>
      <c r="B22" t="s">
        <v>51</v>
      </c>
      <c r="C22" t="s">
        <v>47</v>
      </c>
      <c r="D22">
        <v>12.078519</v>
      </c>
      <c r="E22">
        <v>11.64364</v>
      </c>
      <c r="F22">
        <v>10.596489</v>
      </c>
      <c r="G22">
        <v>10.03838</v>
      </c>
      <c r="H22">
        <v>9.794257</v>
      </c>
      <c r="I22">
        <v>9.7633480000000006</v>
      </c>
      <c r="J22">
        <v>9.7374749999999999</v>
      </c>
      <c r="K22">
        <v>9.7549810000000008</v>
      </c>
      <c r="L22">
        <v>9.8800360000000005</v>
      </c>
      <c r="M22">
        <v>9.9699100000000005</v>
      </c>
      <c r="N22">
        <v>9.9540019999999991</v>
      </c>
      <c r="O22">
        <v>9.9429259999999999</v>
      </c>
      <c r="P22">
        <v>9.8754109999999997</v>
      </c>
      <c r="Q22">
        <v>9.8010029999999997</v>
      </c>
      <c r="R22">
        <v>9.7050300000000007</v>
      </c>
      <c r="S22">
        <v>9.6015149999999991</v>
      </c>
      <c r="T22">
        <v>9.5555009999999996</v>
      </c>
      <c r="U22">
        <v>9.5542789999999993</v>
      </c>
      <c r="V22">
        <v>9.6048150000000003</v>
      </c>
      <c r="W22">
        <v>9.7332260000000002</v>
      </c>
      <c r="X22">
        <v>9.7658179999999994</v>
      </c>
      <c r="Y22">
        <v>9.7386330000000001</v>
      </c>
      <c r="Z22">
        <v>9.7644950000000001</v>
      </c>
      <c r="AA22">
        <v>9.8460900000000002</v>
      </c>
      <c r="AB22">
        <v>9.8921980000000005</v>
      </c>
      <c r="AC22">
        <v>9.8664640000000006</v>
      </c>
      <c r="AD22">
        <v>9.8093959999999996</v>
      </c>
      <c r="AE22" s="6">
        <v>-0.1878643399906893</v>
      </c>
    </row>
    <row r="23" spans="1:31" x14ac:dyDescent="0.25">
      <c r="A23" t="s">
        <v>75</v>
      </c>
      <c r="B23" t="s">
        <v>46</v>
      </c>
      <c r="C23" t="s">
        <v>52</v>
      </c>
      <c r="D23">
        <v>14.532906000000001</v>
      </c>
      <c r="E23">
        <v>14.63725</v>
      </c>
      <c r="F23">
        <v>13.781167999999999</v>
      </c>
      <c r="G23">
        <v>13.257382</v>
      </c>
      <c r="H23">
        <v>13.160622999999999</v>
      </c>
      <c r="I23">
        <v>13.339456</v>
      </c>
      <c r="J23">
        <v>13.540563000000001</v>
      </c>
      <c r="K23">
        <v>13.852138999999999</v>
      </c>
      <c r="L23">
        <v>14.279774</v>
      </c>
      <c r="M23">
        <v>14.725004</v>
      </c>
      <c r="N23">
        <v>15.035310000000001</v>
      </c>
      <c r="O23">
        <v>15.347116</v>
      </c>
      <c r="P23">
        <v>15.579872999999999</v>
      </c>
      <c r="Q23">
        <v>15.783829000000001</v>
      </c>
      <c r="R23">
        <v>15.949533000000001</v>
      </c>
      <c r="S23">
        <v>16.087842999999999</v>
      </c>
      <c r="T23">
        <v>16.30847</v>
      </c>
      <c r="U23">
        <v>16.595039</v>
      </c>
      <c r="V23">
        <v>16.905151</v>
      </c>
      <c r="W23">
        <v>17.461186999999999</v>
      </c>
      <c r="X23">
        <v>17.838100000000001</v>
      </c>
      <c r="Y23">
        <v>18.130382999999998</v>
      </c>
      <c r="Z23">
        <v>18.514965</v>
      </c>
      <c r="AA23">
        <v>19.018705000000001</v>
      </c>
      <c r="AB23">
        <v>19.432575</v>
      </c>
      <c r="AC23">
        <v>19.851074000000001</v>
      </c>
      <c r="AD23">
        <v>20.166623999999999</v>
      </c>
      <c r="AE23" s="6" cm="1">
        <f t="array" ref="AE23:AE27">(AD23:AD27-D23:D27)/D23:D27</f>
        <v>0.38765254519639764</v>
      </c>
    </row>
    <row r="24" spans="1:31" x14ac:dyDescent="0.25">
      <c r="A24" t="s">
        <v>75</v>
      </c>
      <c r="B24" t="s">
        <v>48</v>
      </c>
      <c r="C24" t="s">
        <v>52</v>
      </c>
      <c r="D24">
        <v>12.302289999999999</v>
      </c>
      <c r="E24">
        <v>11.958138999999999</v>
      </c>
      <c r="F24">
        <v>11.042812</v>
      </c>
      <c r="G24">
        <v>10.647823000000001</v>
      </c>
      <c r="H24">
        <v>10.598922999999999</v>
      </c>
      <c r="I24">
        <v>10.784164000000001</v>
      </c>
      <c r="J24">
        <v>11.001896</v>
      </c>
      <c r="K24">
        <v>11.295259</v>
      </c>
      <c r="L24">
        <v>11.742845000000001</v>
      </c>
      <c r="M24">
        <v>12.165552</v>
      </c>
      <c r="N24">
        <v>12.461155</v>
      </c>
      <c r="O24">
        <v>12.771773</v>
      </c>
      <c r="P24">
        <v>13.000949</v>
      </c>
      <c r="Q24">
        <v>13.214957</v>
      </c>
      <c r="R24">
        <v>13.386695</v>
      </c>
      <c r="S24">
        <v>13.533334</v>
      </c>
      <c r="T24">
        <v>13.76436</v>
      </c>
      <c r="U24">
        <v>14.066782</v>
      </c>
      <c r="V24">
        <v>14.411175</v>
      </c>
      <c r="W24">
        <v>14.969390000000001</v>
      </c>
      <c r="X24">
        <v>15.351710000000001</v>
      </c>
      <c r="Y24">
        <v>15.639352000000001</v>
      </c>
      <c r="Z24">
        <v>16.020966999999999</v>
      </c>
      <c r="AA24">
        <v>16.515514</v>
      </c>
      <c r="AB24">
        <v>16.930277</v>
      </c>
      <c r="AC24">
        <v>17.301480999999999</v>
      </c>
      <c r="AD24">
        <v>17.591260999999999</v>
      </c>
      <c r="AE24" s="6">
        <v>0.4299176007068603</v>
      </c>
    </row>
    <row r="25" spans="1:31" x14ac:dyDescent="0.25">
      <c r="A25" t="s">
        <v>75</v>
      </c>
      <c r="B25" t="s">
        <v>49</v>
      </c>
      <c r="C25" t="s">
        <v>52</v>
      </c>
      <c r="D25">
        <v>7.8862560000000004</v>
      </c>
      <c r="E25">
        <v>7.6430899999999999</v>
      </c>
      <c r="F25">
        <v>6.8263800000000003</v>
      </c>
      <c r="G25">
        <v>6.5858540000000003</v>
      </c>
      <c r="H25">
        <v>6.5315180000000002</v>
      </c>
      <c r="I25">
        <v>6.665902</v>
      </c>
      <c r="J25">
        <v>6.8424589999999998</v>
      </c>
      <c r="K25">
        <v>7.05077</v>
      </c>
      <c r="L25">
        <v>7.4222359999999998</v>
      </c>
      <c r="M25">
        <v>7.7226780000000002</v>
      </c>
      <c r="N25">
        <v>7.9494910000000001</v>
      </c>
      <c r="O25">
        <v>8.1856550000000006</v>
      </c>
      <c r="P25">
        <v>8.3498359999999998</v>
      </c>
      <c r="Q25">
        <v>8.5077379999999998</v>
      </c>
      <c r="R25">
        <v>8.6245940000000001</v>
      </c>
      <c r="S25">
        <v>8.7264140000000001</v>
      </c>
      <c r="T25">
        <v>8.8911890000000007</v>
      </c>
      <c r="U25">
        <v>9.1102989999999995</v>
      </c>
      <c r="V25">
        <v>9.335089</v>
      </c>
      <c r="W25">
        <v>9.7870019999999993</v>
      </c>
      <c r="X25">
        <v>10.020458</v>
      </c>
      <c r="Y25">
        <v>10.211171</v>
      </c>
      <c r="Z25">
        <v>10.484555</v>
      </c>
      <c r="AA25">
        <v>10.839751</v>
      </c>
      <c r="AB25">
        <v>11.082894</v>
      </c>
      <c r="AC25">
        <v>11.362819999999999</v>
      </c>
      <c r="AD25">
        <v>11.539294999999999</v>
      </c>
      <c r="AE25" s="6">
        <v>0.46321587835850098</v>
      </c>
    </row>
    <row r="26" spans="1:31" x14ac:dyDescent="0.25">
      <c r="A26" t="s">
        <v>75</v>
      </c>
      <c r="B26" t="s">
        <v>50</v>
      </c>
      <c r="C26" t="s">
        <v>52</v>
      </c>
      <c r="D26">
        <v>11.929766000000001</v>
      </c>
      <c r="E26">
        <v>11.631216999999999</v>
      </c>
      <c r="F26">
        <v>10.777906</v>
      </c>
      <c r="G26">
        <v>10.310345</v>
      </c>
      <c r="H26">
        <v>10.228460999999999</v>
      </c>
      <c r="I26">
        <v>10.397358000000001</v>
      </c>
      <c r="J26">
        <v>10.593598</v>
      </c>
      <c r="K26">
        <v>10.884948</v>
      </c>
      <c r="L26">
        <v>11.294207999999999</v>
      </c>
      <c r="M26">
        <v>11.713307</v>
      </c>
      <c r="N26">
        <v>12.010842999999999</v>
      </c>
      <c r="O26">
        <v>12.314182000000001</v>
      </c>
      <c r="P26">
        <v>12.543657</v>
      </c>
      <c r="Q26">
        <v>12.750589</v>
      </c>
      <c r="R26">
        <v>12.920425</v>
      </c>
      <c r="S26">
        <v>13.062291</v>
      </c>
      <c r="T26">
        <v>13.281262</v>
      </c>
      <c r="U26">
        <v>13.563521</v>
      </c>
      <c r="V26">
        <v>13.888809</v>
      </c>
      <c r="W26">
        <v>14.385904</v>
      </c>
      <c r="X26">
        <v>14.778926</v>
      </c>
      <c r="Y26">
        <v>15.054073000000001</v>
      </c>
      <c r="Z26">
        <v>15.406589</v>
      </c>
      <c r="AA26">
        <v>15.871251000000001</v>
      </c>
      <c r="AB26">
        <v>16.288499999999999</v>
      </c>
      <c r="AC26">
        <v>16.635593</v>
      </c>
      <c r="AD26">
        <v>16.925689999999999</v>
      </c>
      <c r="AE26" s="6">
        <v>0.41877803806042785</v>
      </c>
    </row>
    <row r="27" spans="1:31" x14ac:dyDescent="0.25">
      <c r="A27" t="s">
        <v>75</v>
      </c>
      <c r="B27" t="s">
        <v>51</v>
      </c>
      <c r="C27" t="s">
        <v>52</v>
      </c>
      <c r="D27">
        <v>12.078519</v>
      </c>
      <c r="E27">
        <v>11.888849</v>
      </c>
      <c r="F27">
        <v>11.017136000000001</v>
      </c>
      <c r="G27">
        <v>10.618938</v>
      </c>
      <c r="H27">
        <v>10.561909999999999</v>
      </c>
      <c r="I27">
        <v>10.732112000000001</v>
      </c>
      <c r="J27">
        <v>10.925033000000001</v>
      </c>
      <c r="K27">
        <v>11.192372000000001</v>
      </c>
      <c r="L27">
        <v>11.598269999999999</v>
      </c>
      <c r="M27">
        <v>11.988204</v>
      </c>
      <c r="N27">
        <v>12.261201</v>
      </c>
      <c r="O27">
        <v>12.542937999999999</v>
      </c>
      <c r="P27">
        <v>12.749518999999999</v>
      </c>
      <c r="Q27">
        <v>12.940251999999999</v>
      </c>
      <c r="R27">
        <v>13.09029</v>
      </c>
      <c r="S27">
        <v>13.22012</v>
      </c>
      <c r="T27">
        <v>13.428568</v>
      </c>
      <c r="U27">
        <v>13.701425</v>
      </c>
      <c r="V27">
        <v>14.054205</v>
      </c>
      <c r="W27">
        <v>14.532795</v>
      </c>
      <c r="X27">
        <v>14.87776</v>
      </c>
      <c r="Y27">
        <v>15.142258999999999</v>
      </c>
      <c r="Z27">
        <v>15.495796</v>
      </c>
      <c r="AA27">
        <v>15.955476000000001</v>
      </c>
      <c r="AB27">
        <v>16.375205999999999</v>
      </c>
      <c r="AC27">
        <v>16.686924000000001</v>
      </c>
      <c r="AD27">
        <v>16.956244999999999</v>
      </c>
      <c r="AE27" s="6">
        <v>0.40383477477660956</v>
      </c>
    </row>
    <row r="28" spans="1:31" x14ac:dyDescent="0.25">
      <c r="A28" t="s">
        <v>76</v>
      </c>
      <c r="B28" t="s">
        <v>53</v>
      </c>
      <c r="C28" t="s">
        <v>47</v>
      </c>
      <c r="D28">
        <v>8.0197920000000007</v>
      </c>
      <c r="E28">
        <v>7.5997539999999999</v>
      </c>
      <c r="F28">
        <v>6.5248679999999997</v>
      </c>
      <c r="G28">
        <v>5.9386599999999996</v>
      </c>
      <c r="H28">
        <v>5.6622769999999996</v>
      </c>
      <c r="I28">
        <v>5.5929190000000002</v>
      </c>
      <c r="J28">
        <v>5.5297169999999998</v>
      </c>
      <c r="K28">
        <v>5.5041700000000002</v>
      </c>
      <c r="L28">
        <v>5.5840319999999997</v>
      </c>
      <c r="M28">
        <v>5.6293959999999998</v>
      </c>
      <c r="N28">
        <v>5.6019119999999996</v>
      </c>
      <c r="O28">
        <v>5.5713809999999997</v>
      </c>
      <c r="P28">
        <v>5.4812989999999999</v>
      </c>
      <c r="Q28">
        <v>5.3891479999999996</v>
      </c>
      <c r="R28">
        <v>5.2811830000000004</v>
      </c>
      <c r="S28">
        <v>5.1705740000000002</v>
      </c>
      <c r="T28">
        <v>5.1165479999999999</v>
      </c>
      <c r="U28">
        <v>5.1050680000000002</v>
      </c>
      <c r="V28">
        <v>5.1255850000000001</v>
      </c>
      <c r="W28">
        <v>5.2376620000000003</v>
      </c>
      <c r="X28">
        <v>5.2563500000000003</v>
      </c>
      <c r="Y28">
        <v>5.2055920000000002</v>
      </c>
      <c r="Z28">
        <v>5.211087</v>
      </c>
      <c r="AA28">
        <v>5.2737259999999999</v>
      </c>
      <c r="AB28">
        <v>5.2851049999999997</v>
      </c>
      <c r="AC28">
        <v>5.2432819999999998</v>
      </c>
      <c r="AD28">
        <v>5.1679310000000003</v>
      </c>
      <c r="AE28" s="6" cm="1">
        <f t="array" ref="AE28:AE30">(AD28:AD30-D28:D30)/D28:D30</f>
        <v>-0.35560286351566228</v>
      </c>
    </row>
    <row r="29" spans="1:31" x14ac:dyDescent="0.25">
      <c r="A29" t="s">
        <v>76</v>
      </c>
      <c r="B29" t="s">
        <v>54</v>
      </c>
      <c r="C29" t="s">
        <v>47</v>
      </c>
      <c r="D29">
        <v>0.93637300000000001</v>
      </c>
      <c r="E29">
        <v>0.93630199999999997</v>
      </c>
      <c r="F29">
        <v>0.94892900000000002</v>
      </c>
      <c r="G29">
        <v>0.963314</v>
      </c>
      <c r="H29">
        <v>0.97930899999999999</v>
      </c>
      <c r="I29">
        <v>0.99862600000000001</v>
      </c>
      <c r="J29">
        <v>1.0209820000000001</v>
      </c>
      <c r="K29">
        <v>1.0556950000000001</v>
      </c>
      <c r="L29">
        <v>1.095405</v>
      </c>
      <c r="M29">
        <v>1.135383</v>
      </c>
      <c r="N29">
        <v>1.1435109999999999</v>
      </c>
      <c r="O29">
        <v>1.1605019999999999</v>
      </c>
      <c r="P29">
        <v>1.181157</v>
      </c>
      <c r="Q29">
        <v>1.1982930000000001</v>
      </c>
      <c r="R29">
        <v>1.2050959999999999</v>
      </c>
      <c r="S29">
        <v>1.2043779999999999</v>
      </c>
      <c r="T29">
        <v>1.204188</v>
      </c>
      <c r="U29">
        <v>1.2053119999999999</v>
      </c>
      <c r="V29">
        <v>1.2151179999999999</v>
      </c>
      <c r="W29">
        <v>1.2227239999999999</v>
      </c>
      <c r="X29">
        <v>1.2311110000000001</v>
      </c>
      <c r="Y29">
        <v>1.241946</v>
      </c>
      <c r="Z29">
        <v>1.2464500000000001</v>
      </c>
      <c r="AA29">
        <v>1.250543</v>
      </c>
      <c r="AB29">
        <v>1.263442</v>
      </c>
      <c r="AC29">
        <v>1.270438</v>
      </c>
      <c r="AD29">
        <v>1.282581</v>
      </c>
      <c r="AE29" s="6">
        <v>0.36973300169910917</v>
      </c>
    </row>
    <row r="30" spans="1:31" x14ac:dyDescent="0.25">
      <c r="A30" t="s">
        <v>76</v>
      </c>
      <c r="B30" t="s">
        <v>55</v>
      </c>
      <c r="C30" t="s">
        <v>47</v>
      </c>
      <c r="D30">
        <v>3.1223550000000002</v>
      </c>
      <c r="E30">
        <v>3.1075840000000001</v>
      </c>
      <c r="F30">
        <v>3.12269</v>
      </c>
      <c r="G30">
        <v>3.1364049999999999</v>
      </c>
      <c r="H30">
        <v>3.1526709999999998</v>
      </c>
      <c r="I30">
        <v>3.1718039999999998</v>
      </c>
      <c r="J30">
        <v>3.1867749999999999</v>
      </c>
      <c r="K30">
        <v>3.1951170000000002</v>
      </c>
      <c r="L30">
        <v>3.200599</v>
      </c>
      <c r="M30">
        <v>3.20513</v>
      </c>
      <c r="N30">
        <v>3.2085780000000002</v>
      </c>
      <c r="O30">
        <v>3.2110449999999999</v>
      </c>
      <c r="P30">
        <v>3.212955</v>
      </c>
      <c r="Q30">
        <v>3.213562</v>
      </c>
      <c r="R30">
        <v>3.21875</v>
      </c>
      <c r="S30">
        <v>3.2265619999999999</v>
      </c>
      <c r="T30">
        <v>3.2347649999999999</v>
      </c>
      <c r="U30">
        <v>3.2439</v>
      </c>
      <c r="V30">
        <v>3.2641119999999999</v>
      </c>
      <c r="W30">
        <v>3.2728389999999998</v>
      </c>
      <c r="X30">
        <v>3.2783570000000002</v>
      </c>
      <c r="Y30">
        <v>3.2910949999999999</v>
      </c>
      <c r="Z30">
        <v>3.3069579999999998</v>
      </c>
      <c r="AA30">
        <v>3.3218209999999999</v>
      </c>
      <c r="AB30">
        <v>3.3436509999999999</v>
      </c>
      <c r="AC30">
        <v>3.3527439999999999</v>
      </c>
      <c r="AD30">
        <v>3.3588830000000001</v>
      </c>
      <c r="AE30" s="6">
        <v>7.5753077404715291E-2</v>
      </c>
    </row>
    <row r="31" spans="1:31" x14ac:dyDescent="0.25">
      <c r="A31" t="s">
        <v>77</v>
      </c>
      <c r="B31" t="s">
        <v>53</v>
      </c>
      <c r="C31" t="s">
        <v>52</v>
      </c>
      <c r="D31">
        <v>8.0197920000000007</v>
      </c>
      <c r="E31">
        <v>7.7598010000000004</v>
      </c>
      <c r="F31">
        <v>6.7838849999999997</v>
      </c>
      <c r="G31">
        <v>6.2821160000000003</v>
      </c>
      <c r="H31">
        <v>6.1060739999999996</v>
      </c>
      <c r="I31">
        <v>6.1478739999999998</v>
      </c>
      <c r="J31">
        <v>6.2041069999999996</v>
      </c>
      <c r="K31">
        <v>6.315207</v>
      </c>
      <c r="L31">
        <v>6.5551500000000003</v>
      </c>
      <c r="M31">
        <v>6.7690029999999997</v>
      </c>
      <c r="N31">
        <v>6.9003579999999998</v>
      </c>
      <c r="O31">
        <v>7.0282609999999996</v>
      </c>
      <c r="P31">
        <v>7.0765589999999996</v>
      </c>
      <c r="Q31">
        <v>7.1152850000000001</v>
      </c>
      <c r="R31">
        <v>7.1233389999999996</v>
      </c>
      <c r="S31">
        <v>7.1192529999999996</v>
      </c>
      <c r="T31">
        <v>7.1904029999999999</v>
      </c>
      <c r="U31">
        <v>7.3209819999999999</v>
      </c>
      <c r="V31">
        <v>7.4999909999999996</v>
      </c>
      <c r="W31">
        <v>7.8204159999999998</v>
      </c>
      <c r="X31">
        <v>8.0077990000000003</v>
      </c>
      <c r="Y31">
        <v>8.0939910000000008</v>
      </c>
      <c r="Z31">
        <v>8.2697520000000004</v>
      </c>
      <c r="AA31">
        <v>8.5460130000000003</v>
      </c>
      <c r="AB31">
        <v>8.7487820000000003</v>
      </c>
      <c r="AC31">
        <v>8.8678430000000006</v>
      </c>
      <c r="AD31">
        <v>8.9331399999999999</v>
      </c>
      <c r="AE31" s="6" cm="1">
        <f t="array" ref="AE31:AE33">(AD31:AD33-D31:D33)/D31:D33</f>
        <v>0.11388674419486179</v>
      </c>
    </row>
    <row r="32" spans="1:31" x14ac:dyDescent="0.25">
      <c r="A32" t="s">
        <v>77</v>
      </c>
      <c r="B32" t="s">
        <v>54</v>
      </c>
      <c r="C32" t="s">
        <v>52</v>
      </c>
      <c r="D32">
        <v>0.93637300000000001</v>
      </c>
      <c r="E32">
        <v>0.95601999999999998</v>
      </c>
      <c r="F32">
        <v>0.986599</v>
      </c>
      <c r="G32">
        <v>1.019026</v>
      </c>
      <c r="H32">
        <v>1.056065</v>
      </c>
      <c r="I32">
        <v>1.097715</v>
      </c>
      <c r="J32">
        <v>1.145499</v>
      </c>
      <c r="K32">
        <v>1.2112510000000001</v>
      </c>
      <c r="L32">
        <v>1.2859069999999999</v>
      </c>
      <c r="M32">
        <v>1.365229</v>
      </c>
      <c r="N32">
        <v>1.408561</v>
      </c>
      <c r="O32">
        <v>1.4639660000000001</v>
      </c>
      <c r="P32">
        <v>1.5249170000000001</v>
      </c>
      <c r="Q32">
        <v>1.5821050000000001</v>
      </c>
      <c r="R32">
        <v>1.6254519999999999</v>
      </c>
      <c r="S32">
        <v>1.658283</v>
      </c>
      <c r="T32">
        <v>1.6922729999999999</v>
      </c>
      <c r="U32">
        <v>1.7284919999999999</v>
      </c>
      <c r="V32">
        <v>1.778016</v>
      </c>
      <c r="W32">
        <v>1.825664</v>
      </c>
      <c r="X32">
        <v>1.8755390000000001</v>
      </c>
      <c r="Y32">
        <v>1.9310590000000001</v>
      </c>
      <c r="Z32">
        <v>1.9780580000000001</v>
      </c>
      <c r="AA32">
        <v>2.026491</v>
      </c>
      <c r="AB32">
        <v>2.0914579999999998</v>
      </c>
      <c r="AC32">
        <v>2.148663</v>
      </c>
      <c r="AD32">
        <v>2.2170339999999999</v>
      </c>
      <c r="AE32" s="6">
        <v>1.3676825367668652</v>
      </c>
    </row>
    <row r="33" spans="1:31" x14ac:dyDescent="0.25">
      <c r="A33" t="s">
        <v>77</v>
      </c>
      <c r="B33" t="s">
        <v>55</v>
      </c>
      <c r="C33" t="s">
        <v>52</v>
      </c>
      <c r="D33">
        <v>3.1223550000000002</v>
      </c>
      <c r="E33">
        <v>3.173028</v>
      </c>
      <c r="F33">
        <v>3.246651</v>
      </c>
      <c r="G33">
        <v>3.3177949999999998</v>
      </c>
      <c r="H33">
        <v>3.3997700000000002</v>
      </c>
      <c r="I33">
        <v>3.4865249999999999</v>
      </c>
      <c r="J33">
        <v>3.5754260000000002</v>
      </c>
      <c r="K33">
        <v>3.665915</v>
      </c>
      <c r="L33">
        <v>3.7572139999999998</v>
      </c>
      <c r="M33">
        <v>3.8539720000000002</v>
      </c>
      <c r="N33">
        <v>3.9522819999999999</v>
      </c>
      <c r="O33">
        <v>4.0507119999999999</v>
      </c>
      <c r="P33">
        <v>4.1480439999999996</v>
      </c>
      <c r="Q33">
        <v>4.2428610000000004</v>
      </c>
      <c r="R33">
        <v>4.3414989999999998</v>
      </c>
      <c r="S33">
        <v>4.4425850000000002</v>
      </c>
      <c r="T33">
        <v>4.5458910000000001</v>
      </c>
      <c r="U33">
        <v>4.6519529999999998</v>
      </c>
      <c r="V33">
        <v>4.7761979999999999</v>
      </c>
      <c r="W33">
        <v>4.8867139999999996</v>
      </c>
      <c r="X33">
        <v>4.994421</v>
      </c>
      <c r="Y33">
        <v>5.1172079999999998</v>
      </c>
      <c r="Z33">
        <v>5.2479880000000003</v>
      </c>
      <c r="AA33">
        <v>5.3829719999999996</v>
      </c>
      <c r="AB33">
        <v>5.5349649999999997</v>
      </c>
      <c r="AC33">
        <v>5.6704189999999999</v>
      </c>
      <c r="AD33">
        <v>5.8060710000000002</v>
      </c>
      <c r="AE33" s="6">
        <v>0.85951661486281983</v>
      </c>
    </row>
    <row r="34" spans="1:31" x14ac:dyDescent="0.25">
      <c r="A34" t="s">
        <v>56</v>
      </c>
      <c r="B34" t="s">
        <v>57</v>
      </c>
      <c r="C34" t="s">
        <v>58</v>
      </c>
      <c r="D34">
        <v>28.653196000000001</v>
      </c>
      <c r="E34">
        <v>28.120829000000001</v>
      </c>
      <c r="F34">
        <v>22.776064000000002</v>
      </c>
      <c r="G34">
        <v>23.065935</v>
      </c>
      <c r="H34">
        <v>24.970811999999999</v>
      </c>
      <c r="I34">
        <v>24.676731</v>
      </c>
      <c r="J34">
        <v>24.063282000000001</v>
      </c>
      <c r="K34">
        <v>22.397525999999999</v>
      </c>
      <c r="L34">
        <v>17.359483999999998</v>
      </c>
      <c r="M34">
        <v>16.933706000000001</v>
      </c>
      <c r="N34">
        <v>16.673120000000001</v>
      </c>
      <c r="O34">
        <v>16.433847</v>
      </c>
      <c r="P34">
        <v>15.888609000000001</v>
      </c>
      <c r="Q34">
        <v>15.933123999999999</v>
      </c>
      <c r="R34">
        <v>15.679764</v>
      </c>
      <c r="S34">
        <v>15.392253</v>
      </c>
      <c r="T34">
        <v>15.587634</v>
      </c>
      <c r="U34">
        <v>16.045321999999999</v>
      </c>
      <c r="V34">
        <v>15.627321999999999</v>
      </c>
      <c r="W34">
        <v>16.350985999999999</v>
      </c>
      <c r="X34">
        <v>16.182303999999998</v>
      </c>
      <c r="Y34">
        <v>16.297256000000001</v>
      </c>
      <c r="Z34">
        <v>16.555306999999999</v>
      </c>
      <c r="AA34">
        <v>16.540876000000001</v>
      </c>
      <c r="AB34">
        <v>16.286000999999999</v>
      </c>
      <c r="AC34">
        <v>16.835820999999999</v>
      </c>
      <c r="AD34">
        <v>16.923334000000001</v>
      </c>
      <c r="AE34" s="6" cm="1">
        <f t="array" ref="AE34:AE38">(AD34:AD38-D34:D38)/D34:D38</f>
        <v>-0.40937360006890683</v>
      </c>
    </row>
    <row r="35" spans="1:31" x14ac:dyDescent="0.25">
      <c r="A35" t="s">
        <v>56</v>
      </c>
      <c r="B35" t="s">
        <v>59</v>
      </c>
      <c r="C35" t="s">
        <v>58</v>
      </c>
      <c r="D35">
        <v>105.061729</v>
      </c>
      <c r="E35">
        <v>103.109718</v>
      </c>
      <c r="F35">
        <v>83.512230000000002</v>
      </c>
      <c r="G35">
        <v>84.575080999999997</v>
      </c>
      <c r="H35">
        <v>91.559669</v>
      </c>
      <c r="I35">
        <v>90.481316000000007</v>
      </c>
      <c r="J35">
        <v>88.232024999999993</v>
      </c>
      <c r="K35">
        <v>82.124306000000004</v>
      </c>
      <c r="L35">
        <v>63.651446999999997</v>
      </c>
      <c r="M35">
        <v>62.090263</v>
      </c>
      <c r="N35">
        <v>61.134788999999998</v>
      </c>
      <c r="O35">
        <v>60.257454000000003</v>
      </c>
      <c r="P35">
        <v>58.258235999999997</v>
      </c>
      <c r="Q35">
        <v>58.421467</v>
      </c>
      <c r="R35">
        <v>57.492455</v>
      </c>
      <c r="S35">
        <v>56.438254999999998</v>
      </c>
      <c r="T35">
        <v>57.154674999999997</v>
      </c>
      <c r="U35">
        <v>58.832844000000001</v>
      </c>
      <c r="V35">
        <v>57.300182</v>
      </c>
      <c r="W35">
        <v>59.953612999999997</v>
      </c>
      <c r="X35">
        <v>59.335106000000003</v>
      </c>
      <c r="Y35">
        <v>59.756599000000001</v>
      </c>
      <c r="Z35">
        <v>60.702812000000002</v>
      </c>
      <c r="AA35">
        <v>60.649867999999998</v>
      </c>
      <c r="AB35">
        <v>59.715313000000002</v>
      </c>
      <c r="AC35">
        <v>61.731338999999998</v>
      </c>
      <c r="AD35">
        <v>62.052177</v>
      </c>
      <c r="AE35" s="6">
        <v>-0.40937411186141814</v>
      </c>
    </row>
    <row r="36" spans="1:31" x14ac:dyDescent="0.25">
      <c r="A36" t="s">
        <v>56</v>
      </c>
      <c r="B36" t="s">
        <v>60</v>
      </c>
      <c r="C36" t="s">
        <v>58</v>
      </c>
      <c r="D36">
        <v>1.4888E-2</v>
      </c>
      <c r="E36">
        <v>1.8148999999999998E-2</v>
      </c>
      <c r="F36">
        <v>5.2509999999999996E-3</v>
      </c>
      <c r="G36">
        <v>3.8140000000000001E-3</v>
      </c>
      <c r="H36">
        <v>8.5540000000000008E-3</v>
      </c>
      <c r="I36">
        <v>5.1650000000000003E-3</v>
      </c>
      <c r="J36">
        <v>4.5890000000000002E-3</v>
      </c>
      <c r="K36">
        <v>3.7859999999999999E-3</v>
      </c>
      <c r="L36">
        <v>7.7999999999999999E-5</v>
      </c>
      <c r="M36">
        <v>9.1000000000000003E-5</v>
      </c>
      <c r="N36">
        <v>9.7E-5</v>
      </c>
      <c r="O36">
        <v>1.12E-4</v>
      </c>
      <c r="P36">
        <v>1.3799999999999999E-4</v>
      </c>
      <c r="Q36">
        <v>2.42E-4</v>
      </c>
      <c r="R36">
        <v>3.6900000000000002E-4</v>
      </c>
      <c r="S36">
        <v>9.1500000000000001E-4</v>
      </c>
      <c r="T36">
        <v>9.5299999999999996E-4</v>
      </c>
      <c r="U36">
        <v>9.9099999999999991E-4</v>
      </c>
      <c r="V36">
        <v>1.0319999999999999E-3</v>
      </c>
      <c r="W36">
        <v>1.075E-3</v>
      </c>
      <c r="X36">
        <v>1.0970000000000001E-3</v>
      </c>
      <c r="Y36">
        <v>1.119E-3</v>
      </c>
      <c r="Z36">
        <v>1.14E-3</v>
      </c>
      <c r="AA36">
        <v>1.155E-3</v>
      </c>
      <c r="AB36">
        <v>1.1720000000000001E-3</v>
      </c>
      <c r="AC36">
        <v>1.1720000000000001E-3</v>
      </c>
      <c r="AD36">
        <v>1.181E-3</v>
      </c>
      <c r="AE36" s="6">
        <v>-0.92067436861902208</v>
      </c>
    </row>
    <row r="37" spans="1:31" x14ac:dyDescent="0.25">
      <c r="A37" t="s">
        <v>56</v>
      </c>
      <c r="B37" t="s">
        <v>61</v>
      </c>
      <c r="C37" t="s">
        <v>58</v>
      </c>
      <c r="D37">
        <v>1.9737999999999999E-2</v>
      </c>
      <c r="E37">
        <v>1.9286999999999999E-2</v>
      </c>
      <c r="F37">
        <v>3.1266000000000002E-2</v>
      </c>
      <c r="G37">
        <v>3.8554999999999999E-2</v>
      </c>
      <c r="H37">
        <v>3.0675000000000001E-2</v>
      </c>
      <c r="I37">
        <v>2.5224E-2</v>
      </c>
      <c r="J37">
        <v>2.3909E-2</v>
      </c>
      <c r="K37">
        <v>1.8638999999999999E-2</v>
      </c>
      <c r="L37">
        <v>1.0442E-2</v>
      </c>
      <c r="M37">
        <v>9.7619999999999998E-3</v>
      </c>
      <c r="N37">
        <v>9.4199999999999996E-3</v>
      </c>
      <c r="O37">
        <v>9.0100000000000006E-3</v>
      </c>
      <c r="P37">
        <v>8.711E-3</v>
      </c>
      <c r="Q37">
        <v>8.8120000000000004E-3</v>
      </c>
      <c r="R37">
        <v>9.044E-3</v>
      </c>
      <c r="S37">
        <v>8.6130000000000009E-3</v>
      </c>
      <c r="T37">
        <v>8.9709999999999998E-3</v>
      </c>
      <c r="U37">
        <v>9.2350000000000002E-3</v>
      </c>
      <c r="V37">
        <v>8.8769999999999995E-3</v>
      </c>
      <c r="W37">
        <v>9.5709999999999996E-3</v>
      </c>
      <c r="X37">
        <v>9.2560000000000003E-3</v>
      </c>
      <c r="Y37">
        <v>9.0360000000000006E-3</v>
      </c>
      <c r="Z37">
        <v>9.2549999999999993E-3</v>
      </c>
      <c r="AA37">
        <v>9.0369999999999999E-3</v>
      </c>
      <c r="AB37">
        <v>8.7729999999999995E-3</v>
      </c>
      <c r="AC37">
        <v>1.1344E-2</v>
      </c>
      <c r="AD37">
        <v>1.133E-2</v>
      </c>
      <c r="AE37" s="6">
        <v>-0.42598034248657407</v>
      </c>
    </row>
    <row r="38" spans="1:31" x14ac:dyDescent="0.25">
      <c r="A38" t="s">
        <v>56</v>
      </c>
      <c r="B38" t="s">
        <v>62</v>
      </c>
      <c r="C38" t="s">
        <v>63</v>
      </c>
      <c r="D38">
        <v>0.14621600000000001</v>
      </c>
      <c r="E38">
        <v>0.13478799999999999</v>
      </c>
      <c r="F38">
        <v>4.6482000000000002E-2</v>
      </c>
      <c r="G38">
        <v>3.9601999999999998E-2</v>
      </c>
      <c r="H38">
        <v>7.3562000000000002E-2</v>
      </c>
      <c r="I38">
        <v>7.0582000000000006E-2</v>
      </c>
      <c r="J38">
        <v>7.0755999999999999E-2</v>
      </c>
      <c r="K38">
        <v>5.8208999999999997E-2</v>
      </c>
      <c r="L38">
        <v>2.5999999999999998E-5</v>
      </c>
      <c r="M38">
        <v>2.4000000000000001E-5</v>
      </c>
      <c r="N38">
        <v>2.4000000000000001E-5</v>
      </c>
      <c r="O38">
        <v>2.5999999999999998E-5</v>
      </c>
      <c r="P38">
        <v>2.5000000000000001E-5</v>
      </c>
      <c r="Q38">
        <v>2.8E-5</v>
      </c>
      <c r="R38">
        <v>2.9E-5</v>
      </c>
      <c r="S38">
        <v>9.2E-5</v>
      </c>
      <c r="T38">
        <v>9.5000000000000005E-5</v>
      </c>
      <c r="U38">
        <v>9.6000000000000002E-5</v>
      </c>
      <c r="V38">
        <v>1E-4</v>
      </c>
      <c r="W38">
        <v>1.05E-4</v>
      </c>
      <c r="X38">
        <v>1.1E-4</v>
      </c>
      <c r="Y38">
        <v>1.12E-4</v>
      </c>
      <c r="Z38">
        <v>1.1400000000000001E-4</v>
      </c>
      <c r="AA38">
        <v>0</v>
      </c>
      <c r="AB38">
        <v>0</v>
      </c>
      <c r="AC38">
        <v>0</v>
      </c>
      <c r="AD38">
        <v>0</v>
      </c>
      <c r="AE38" s="6">
        <v>-1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96.809324081544247</v>
      </c>
      <c r="E39" s="4" cm="1">
        <f t="array" ref="E39:E42">907185*E34:E37*10^6/(E17*10^9)</f>
        <v>93.325741575008436</v>
      </c>
      <c r="F39" s="4" cm="1">
        <f t="array" ref="F39:F42">907185*F34:F37*10^6/(F17*10^9)</f>
        <v>78.88331541239279</v>
      </c>
      <c r="G39" s="4" cm="1">
        <f t="array" ref="G39:G42">907185*G34:G37*10^6/(G17*10^9)</f>
        <v>78.550532269852411</v>
      </c>
      <c r="H39" s="4" cm="1">
        <f t="array" ref="H39:H42">907185*H34:H37*10^6/(H17*10^9)</f>
        <v>83.457349453231515</v>
      </c>
      <c r="I39" s="4" cm="1">
        <f t="array" ref="I39:I42">907185*I34:I37*10^6/(I17*10^9)</f>
        <v>82.597779810779741</v>
      </c>
      <c r="J39" s="4" cm="1">
        <f t="array" ref="J39:J42">907185*J34:J37*10^6/(J17*10^9)</f>
        <v>79.498894056988163</v>
      </c>
      <c r="K39" s="4" cm="1">
        <f t="array" ref="K39:K42">907185*K34:K37*10^6/(K17*10^9)</f>
        <v>72.272292847256338</v>
      </c>
      <c r="L39" s="4" cm="1">
        <f t="array" ref="L39:L42">907185*L34:L37*10^6/(L17*10^9)</f>
        <v>54.333614210578943</v>
      </c>
      <c r="M39" s="4" cm="1">
        <f t="array" ref="M39:M42">907185*M34:M37*10^6/(M17*10^9)</f>
        <v>52.599982612803359</v>
      </c>
      <c r="N39" s="4" cm="1">
        <f t="array" ref="N39:N42">907185*N34:N37*10^6/(N17*10^9)</f>
        <v>51.133781188310721</v>
      </c>
      <c r="O39" s="4" cm="1">
        <f t="array" ref="O39:O42">907185*O34:O37*10^6/(O17*10^9)</f>
        <v>49.031000522972931</v>
      </c>
      <c r="P39" s="4" cm="1">
        <f t="array" ref="P39:P42">907185*P34:P37*10^6/(P17*10^9)</f>
        <v>45.831585548586652</v>
      </c>
      <c r="Q39" s="4" cm="1">
        <f t="array" ref="Q39:Q42">907185*Q34:Q37*10^6/(Q17*10^9)</f>
        <v>44.7535944578567</v>
      </c>
      <c r="R39" s="4" cm="1">
        <f t="array" ref="R39:R42">907185*R34:R37*10^6/(R17*10^9)</f>
        <v>44.099383509235331</v>
      </c>
      <c r="S39" s="4" cm="1">
        <f t="array" ref="S39:S42">907185*S34:S37*10^6/(S17*10^9)</f>
        <v>43.457438272789588</v>
      </c>
      <c r="T39" s="4" cm="1">
        <f t="array" ref="T39:T42">907185*T34:T37*10^6/(T17*10^9)</f>
        <v>43.93584637277673</v>
      </c>
      <c r="U39" s="4" cm="1">
        <f t="array" ref="U39:U42">907185*U34:U37*10^6/(U17*10^9)</f>
        <v>44.596908457497896</v>
      </c>
      <c r="V39" s="4" cm="1">
        <f t="array" ref="V39:V42">907185*V34:V37*10^6/(V17*10^9)</f>
        <v>43.853275448910622</v>
      </c>
      <c r="W39" s="4" cm="1">
        <f t="array" ref="W39:W42">907185*W34:W37*10^6/(W17*10^9)</f>
        <v>44.388301162999902</v>
      </c>
      <c r="X39" s="4" cm="1">
        <f t="array" ref="X39:X42">907185*X34:X37*10^6/(X17*10^9)</f>
        <v>43.290428659256456</v>
      </c>
      <c r="Y39" s="4" cm="1">
        <f t="array" ref="Y39:Y42">907185*Y34:Y37*10^6/(Y17*10^9)</f>
        <v>43.346154496273527</v>
      </c>
      <c r="Z39" s="4" cm="1">
        <f t="array" ref="Z39:Z42">907185*Z34:Z37*10^6/(Z17*10^9)</f>
        <v>43.720455112865672</v>
      </c>
      <c r="AA39" s="4" cm="1">
        <f t="array" ref="AA39:AA42">907185*AA34:AA37*10^6/(AA17*10^9)</f>
        <v>43.561181532201054</v>
      </c>
      <c r="AB39" s="4" cm="1">
        <f t="array" ref="AB39:AB42">907185*AB34:AB37*10^6/(AB17*10^9)</f>
        <v>43.151668056034943</v>
      </c>
      <c r="AC39" s="4" cm="1">
        <f t="array" ref="AC39:AC42">907185*AC34:AC37*10^6/(AC17*10^9)</f>
        <v>43.096873661425491</v>
      </c>
      <c r="AD39" s="4" cm="1">
        <f t="array" ref="AD39:AD42">907185*AD34:AD37*10^6/(AD17*10^9)</f>
        <v>42.940047046422229</v>
      </c>
      <c r="AE39" s="6" cm="1">
        <f t="array" ref="AE39:AE43">(AD39:AD43-D39:D43)/D39:D43</f>
        <v>-0.55644719706695767</v>
      </c>
    </row>
    <row r="40" spans="1:31" x14ac:dyDescent="0.25">
      <c r="A40" t="s">
        <v>64</v>
      </c>
      <c r="B40" t="s">
        <v>66</v>
      </c>
      <c r="C40" t="s">
        <v>70</v>
      </c>
      <c r="D40" s="4">
        <v>354.9675565451189</v>
      </c>
      <c r="E40" s="4">
        <v>342.19442449367324</v>
      </c>
      <c r="F40" s="4">
        <v>289.23880701609778</v>
      </c>
      <c r="G40" s="4">
        <v>288.01857064610135</v>
      </c>
      <c r="H40" s="4">
        <v>306.01036488341703</v>
      </c>
      <c r="I40" s="4">
        <v>302.85842220987792</v>
      </c>
      <c r="J40" s="4">
        <v>291.49591514193816</v>
      </c>
      <c r="K40" s="4">
        <v>264.99854908572013</v>
      </c>
      <c r="L40" s="4">
        <v>199.22326984161009</v>
      </c>
      <c r="M40" s="4">
        <v>192.86662672804096</v>
      </c>
      <c r="N40" s="4">
        <v>187.49057907095644</v>
      </c>
      <c r="O40" s="4">
        <v>179.78038000396484</v>
      </c>
      <c r="P40" s="4">
        <v>168.04915566515297</v>
      </c>
      <c r="Q40" s="4">
        <v>164.09654765450003</v>
      </c>
      <c r="R40" s="4">
        <v>161.69770297132371</v>
      </c>
      <c r="S40" s="4">
        <v>159.34392339357063</v>
      </c>
      <c r="T40" s="4">
        <v>161.09815128363826</v>
      </c>
      <c r="U40" s="4">
        <v>163.52198841271334</v>
      </c>
      <c r="V40" s="4">
        <v>160.79534705426244</v>
      </c>
      <c r="W40" s="4">
        <v>162.75709792999308</v>
      </c>
      <c r="X40" s="4">
        <v>158.73154856579259</v>
      </c>
      <c r="Y40" s="4">
        <v>158.93588297476973</v>
      </c>
      <c r="Z40" s="4">
        <v>160.30838735100014</v>
      </c>
      <c r="AA40" s="4">
        <v>159.72430419356456</v>
      </c>
      <c r="AB40" s="4">
        <v>158.22271928131582</v>
      </c>
      <c r="AC40" s="4">
        <v>158.02185814601071</v>
      </c>
      <c r="AD40" s="4">
        <v>157.44671822425295</v>
      </c>
      <c r="AE40" s="6">
        <v>-0.55644758141652773</v>
      </c>
    </row>
    <row r="41" spans="1:31" x14ac:dyDescent="0.25">
      <c r="A41" t="s">
        <v>64</v>
      </c>
      <c r="B41" t="s">
        <v>67</v>
      </c>
      <c r="C41" t="s">
        <v>70</v>
      </c>
      <c r="D41" s="4">
        <v>5.0301446893604142E-2</v>
      </c>
      <c r="E41" s="4">
        <v>6.0231826161484356E-2</v>
      </c>
      <c r="F41" s="4">
        <v>1.8186473713389398E-2</v>
      </c>
      <c r="G41" s="4">
        <v>1.2988492774180502E-2</v>
      </c>
      <c r="H41" s="4">
        <v>2.8589145087590365E-2</v>
      </c>
      <c r="I41" s="4">
        <v>1.728825154039558E-2</v>
      </c>
      <c r="J41" s="4">
        <v>1.516087559575284E-2</v>
      </c>
      <c r="K41" s="4">
        <v>1.2216657354018143E-2</v>
      </c>
      <c r="L41" s="4">
        <v>2.4413294245526873E-4</v>
      </c>
      <c r="M41" s="4">
        <v>2.8266691400955619E-4</v>
      </c>
      <c r="N41" s="4">
        <v>2.9748342093538222E-4</v>
      </c>
      <c r="O41" s="4">
        <v>3.3415621178491979E-4</v>
      </c>
      <c r="P41" s="4">
        <v>3.980687551506213E-4</v>
      </c>
      <c r="Q41" s="4">
        <v>6.7973925633173509E-4</v>
      </c>
      <c r="R41" s="4">
        <v>1.0378136121760404E-3</v>
      </c>
      <c r="S41" s="4">
        <v>2.5833486507532374E-3</v>
      </c>
      <c r="T41" s="4">
        <v>2.6861588867981008E-3</v>
      </c>
      <c r="U41" s="4">
        <v>2.7544187820836763E-3</v>
      </c>
      <c r="V41" s="4">
        <v>2.8959907694533814E-3</v>
      </c>
      <c r="W41" s="4">
        <v>2.9183208737518884E-3</v>
      </c>
      <c r="X41" s="4">
        <v>2.9346624707584494E-3</v>
      </c>
      <c r="Y41" s="4">
        <v>2.97622783131897E-3</v>
      </c>
      <c r="Z41" s="4">
        <v>3.0105946587802249E-3</v>
      </c>
      <c r="AA41" s="4">
        <v>3.0417472853125926E-3</v>
      </c>
      <c r="AB41" s="4">
        <v>3.1053513358910486E-3</v>
      </c>
      <c r="AC41" s="4">
        <v>3.0001231262313066E-3</v>
      </c>
      <c r="AD41" s="4">
        <v>2.9965842169057616E-3</v>
      </c>
      <c r="AE41" s="6">
        <v>-0.94042747471570687</v>
      </c>
    </row>
    <row r="42" spans="1:31" x14ac:dyDescent="0.25">
      <c r="A42" t="s">
        <v>64</v>
      </c>
      <c r="B42" t="s">
        <v>68</v>
      </c>
      <c r="C42" t="s">
        <v>70</v>
      </c>
      <c r="D42" s="4">
        <v>6.6687933824956899E-2</v>
      </c>
      <c r="E42" s="4">
        <v>6.4008553153151626E-2</v>
      </c>
      <c r="F42" s="4">
        <v>0.10828761895311995</v>
      </c>
      <c r="G42" s="4">
        <v>0.13129820107722315</v>
      </c>
      <c r="H42" s="4">
        <v>0.10252186410589599</v>
      </c>
      <c r="I42" s="4">
        <v>8.4429594744421715E-2</v>
      </c>
      <c r="J42" s="4">
        <v>7.8989186014132629E-2</v>
      </c>
      <c r="K42" s="4">
        <v>6.0144288542404695E-2</v>
      </c>
      <c r="L42" s="4">
        <v>3.2682515193819435E-2</v>
      </c>
      <c r="M42" s="4">
        <v>3.0323015544629534E-2</v>
      </c>
      <c r="N42" s="4">
        <v>2.8889627064034022E-2</v>
      </c>
      <c r="O42" s="4">
        <v>2.6881673823054706E-2</v>
      </c>
      <c r="P42" s="4">
        <v>2.5127369029833785E-2</v>
      </c>
      <c r="Q42" s="4">
        <v>2.475149721816219E-2</v>
      </c>
      <c r="R42" s="4">
        <v>2.5436277258862081E-2</v>
      </c>
      <c r="S42" s="4">
        <v>2.4317357299385396E-2</v>
      </c>
      <c r="T42" s="4">
        <v>2.5285972060299859E-2</v>
      </c>
      <c r="U42" s="4">
        <v>2.5668070083292385E-2</v>
      </c>
      <c r="V42" s="4">
        <v>2.4910571763989989E-2</v>
      </c>
      <c r="W42" s="4">
        <v>2.5982557286213324E-2</v>
      </c>
      <c r="X42" s="4">
        <v>2.4761381795205293E-2</v>
      </c>
      <c r="Y42" s="4">
        <v>2.4033239216977847E-2</v>
      </c>
      <c r="Z42" s="4">
        <v>2.4441275058781561E-2</v>
      </c>
      <c r="AA42" s="4">
        <v>2.3799368153567011E-2</v>
      </c>
      <c r="AB42" s="4">
        <v>2.3245091527109359E-2</v>
      </c>
      <c r="AC42" s="4">
        <v>2.9038734423180838E-2</v>
      </c>
      <c r="AD42" s="4">
        <v>2.8747924790467637E-2</v>
      </c>
      <c r="AE42" s="6">
        <v>-0.56891864627377042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4.9401372642364488E-7</v>
      </c>
      <c r="E43" s="5">
        <f>907185*E38/(E17*10^9)</f>
        <v>4.4732643036278325E-7</v>
      </c>
      <c r="F43" s="5">
        <f>907185*F38/(F17*10^9)</f>
        <v>1.6098717789864139E-7</v>
      </c>
      <c r="G43" s="5">
        <f>907185*G38/(G17*10^9)</f>
        <v>1.3486373645597698E-7</v>
      </c>
      <c r="H43" s="5">
        <f>907185*H38/(H17*10^9)</f>
        <v>2.4585862648273577E-7</v>
      </c>
      <c r="I43" s="5">
        <f>907185*I38/(I17*10^9)</f>
        <v>2.3625157216344647E-7</v>
      </c>
      <c r="J43" s="5">
        <f>907185*J38/(J17*10^9)</f>
        <v>2.3375962380760254E-7</v>
      </c>
      <c r="K43" s="5">
        <f>907185*K38/(K17*10^9)</f>
        <v>1.8782868671950399E-7</v>
      </c>
      <c r="L43" s="5">
        <f>907185*L38/(L17*10^9)</f>
        <v>8.1377647485089575E-11</v>
      </c>
      <c r="M43" s="5">
        <f>907185*M38/(M17*10^9)</f>
        <v>7.454951578274009E-11</v>
      </c>
      <c r="N43" s="5">
        <f>907185*N38/(N17*10^9)</f>
        <v>7.3604145386073954E-11</v>
      </c>
      <c r="O43" s="5">
        <f>907185*O38/(O17*10^9)</f>
        <v>7.7571977735784943E-11</v>
      </c>
      <c r="P43" s="5">
        <f>907185*P38/(P17*10^9)</f>
        <v>7.2113904918590819E-11</v>
      </c>
      <c r="Q43" s="5">
        <f>907185*Q38/(Q17*10^9)</f>
        <v>7.8647517261523066E-11</v>
      </c>
      <c r="R43" s="5">
        <f>907185*R38/(R17*10^9)</f>
        <v>8.1562587406789073E-11</v>
      </c>
      <c r="S43" s="5">
        <f>907185*S38/(S17*10^9)</f>
        <v>2.5974653100469715E-10</v>
      </c>
      <c r="T43" s="5">
        <f>907185*T38/(T17*10^9)</f>
        <v>2.6777029826423881E-10</v>
      </c>
      <c r="U43" s="5">
        <f>907185*U38/(U17*10^9)</f>
        <v>2.6682563378408973E-10</v>
      </c>
      <c r="V43" s="5">
        <f>907185*V38/(V17*10^9)</f>
        <v>2.8061926060594787E-10</v>
      </c>
      <c r="W43" s="5">
        <f>907185*W38/(W17*10^9)</f>
        <v>2.850452946455333E-10</v>
      </c>
      <c r="X43" s="5">
        <f>907185*X38/(X17*10^9)</f>
        <v>2.94268798344056E-10</v>
      </c>
      <c r="Y43" s="5">
        <f>907185*Y38/(Y17*10^9)</f>
        <v>2.9788875523478516E-10</v>
      </c>
      <c r="Z43" s="5">
        <f>907185*Z38/(Z17*10^9)</f>
        <v>3.0105946587802253E-10</v>
      </c>
      <c r="AA43" s="5">
        <f>907185*AA38/(AA17*10^9)</f>
        <v>0</v>
      </c>
      <c r="AB43" s="5">
        <f>907185*AB38/(AB17*10^9)</f>
        <v>0</v>
      </c>
      <c r="AC43" s="5">
        <f>907185*AC38/(AC17*10^9)</f>
        <v>0</v>
      </c>
      <c r="AD43" s="5">
        <f>907185*AD38/(AD17*10^9)</f>
        <v>0</v>
      </c>
      <c r="AE43" s="6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38.197952000000001</v>
      </c>
      <c r="E2">
        <v>33.861313000000003</v>
      </c>
      <c r="F2">
        <v>21.194229</v>
      </c>
      <c r="G2">
        <v>19.586663999999999</v>
      </c>
      <c r="H2">
        <v>20.945816000000001</v>
      </c>
      <c r="I2">
        <v>22.838633999999999</v>
      </c>
      <c r="J2">
        <v>19.579348</v>
      </c>
      <c r="K2">
        <v>16.595441999999998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0.16885600000000001</v>
      </c>
      <c r="E3">
        <v>0.15014</v>
      </c>
      <c r="F3">
        <v>0.101062</v>
      </c>
      <c r="G3">
        <v>9.5707E-2</v>
      </c>
      <c r="H3">
        <v>9.7173999999999996E-2</v>
      </c>
      <c r="I3">
        <v>0.108767</v>
      </c>
      <c r="J3">
        <v>9.0109999999999996E-2</v>
      </c>
      <c r="K3">
        <v>7.5286000000000006E-2</v>
      </c>
      <c r="L3">
        <v>2.3159999999999999E-3</v>
      </c>
      <c r="M3">
        <v>2.0049999999999998E-3</v>
      </c>
      <c r="N3">
        <v>2.0049999999999998E-3</v>
      </c>
      <c r="O3">
        <v>2.0049999999999998E-3</v>
      </c>
      <c r="P3">
        <v>2.0049999999999998E-3</v>
      </c>
      <c r="Q3">
        <v>7.4830000000000001E-3</v>
      </c>
      <c r="R3">
        <v>4.9880000000000002E-3</v>
      </c>
      <c r="S3">
        <v>4.3949999999999996E-3</v>
      </c>
      <c r="T3">
        <v>4.3949999999999996E-3</v>
      </c>
      <c r="U3">
        <v>4.3949999999999996E-3</v>
      </c>
      <c r="V3">
        <v>3.7550000000000001E-3</v>
      </c>
      <c r="W3">
        <v>3.5660000000000002E-3</v>
      </c>
      <c r="X3">
        <v>3.14E-3</v>
      </c>
      <c r="Y3">
        <v>3.3839999999999999E-3</v>
      </c>
      <c r="Z3">
        <v>2.99E-3</v>
      </c>
      <c r="AA3">
        <v>2.0049999999999998E-3</v>
      </c>
      <c r="AB3">
        <v>1.199E-3</v>
      </c>
      <c r="AC3">
        <v>1.0449999999999999E-3</v>
      </c>
      <c r="AD3">
        <v>8.6899999999999998E-4</v>
      </c>
      <c r="AE3" s="6">
        <v>-0.99485360307007153</v>
      </c>
    </row>
    <row r="4" spans="1:31" x14ac:dyDescent="0.25">
      <c r="A4" t="s">
        <v>28</v>
      </c>
      <c r="B4" t="s">
        <v>32</v>
      </c>
      <c r="C4" t="s">
        <v>30</v>
      </c>
      <c r="D4">
        <v>189.53393600000001</v>
      </c>
      <c r="E4">
        <v>173.97522000000001</v>
      </c>
      <c r="F4">
        <v>157.04556299999999</v>
      </c>
      <c r="G4">
        <v>146.333664</v>
      </c>
      <c r="H4">
        <v>149.607361</v>
      </c>
      <c r="I4">
        <v>151.61663799999999</v>
      </c>
      <c r="J4">
        <v>160.59535199999999</v>
      </c>
      <c r="K4">
        <v>175.22979699999999</v>
      </c>
      <c r="L4">
        <v>199.20893899999999</v>
      </c>
      <c r="M4">
        <v>205.95251500000001</v>
      </c>
      <c r="N4">
        <v>205.192734</v>
      </c>
      <c r="O4">
        <v>201.046021</v>
      </c>
      <c r="P4">
        <v>160.04321300000001</v>
      </c>
      <c r="Q4">
        <v>104.61451</v>
      </c>
      <c r="R4">
        <v>104.653915</v>
      </c>
      <c r="S4">
        <v>110.266571</v>
      </c>
      <c r="T4">
        <v>117.470512</v>
      </c>
      <c r="U4">
        <v>125.264687</v>
      </c>
      <c r="V4">
        <v>128.18414300000001</v>
      </c>
      <c r="W4">
        <v>134.756958</v>
      </c>
      <c r="X4">
        <v>133.495148</v>
      </c>
      <c r="Y4">
        <v>132.05728099999999</v>
      </c>
      <c r="Z4">
        <v>136.31037900000001</v>
      </c>
      <c r="AA4">
        <v>140.81774899999999</v>
      </c>
      <c r="AB4">
        <v>141.62666300000001</v>
      </c>
      <c r="AC4">
        <v>146.039108</v>
      </c>
      <c r="AD4">
        <v>145.86425800000001</v>
      </c>
      <c r="AE4" s="6">
        <v>-0.23040558815810169</v>
      </c>
    </row>
    <row r="5" spans="1:31" x14ac:dyDescent="0.25">
      <c r="A5" t="s">
        <v>28</v>
      </c>
      <c r="B5" t="s">
        <v>33</v>
      </c>
      <c r="C5" t="s">
        <v>30</v>
      </c>
      <c r="D5">
        <v>40.659270999999997</v>
      </c>
      <c r="E5">
        <v>41.290030999999999</v>
      </c>
      <c r="F5">
        <v>41.196064</v>
      </c>
      <c r="G5">
        <v>41.102074000000002</v>
      </c>
      <c r="H5">
        <v>41.101596999999998</v>
      </c>
      <c r="I5">
        <v>41.101596999999998</v>
      </c>
      <c r="J5">
        <v>41.101593000000001</v>
      </c>
      <c r="K5">
        <v>41.101596999999998</v>
      </c>
      <c r="L5">
        <v>41.101596999999998</v>
      </c>
      <c r="M5">
        <v>41.101596999999998</v>
      </c>
      <c r="N5">
        <v>41.101596999999998</v>
      </c>
      <c r="O5">
        <v>41.101596999999998</v>
      </c>
      <c r="P5">
        <v>41.101596999999998</v>
      </c>
      <c r="Q5">
        <v>39.875678999999998</v>
      </c>
      <c r="R5">
        <v>35.836922000000001</v>
      </c>
      <c r="S5">
        <v>38.692242</v>
      </c>
      <c r="T5">
        <v>41.101596999999998</v>
      </c>
      <c r="U5">
        <v>41.101596999999998</v>
      </c>
      <c r="V5">
        <v>41.101596999999998</v>
      </c>
      <c r="W5">
        <v>41.101593000000001</v>
      </c>
      <c r="X5">
        <v>41.101596999999998</v>
      </c>
      <c r="Y5">
        <v>41.101593000000001</v>
      </c>
      <c r="Z5">
        <v>41.101596999999998</v>
      </c>
      <c r="AA5">
        <v>41.101596999999998</v>
      </c>
      <c r="AB5">
        <v>41.101596999999998</v>
      </c>
      <c r="AC5">
        <v>41.101596999999998</v>
      </c>
      <c r="AD5">
        <v>41.101596999999998</v>
      </c>
      <c r="AE5" s="6">
        <v>1.087884728676029E-2</v>
      </c>
    </row>
    <row r="6" spans="1:31" x14ac:dyDescent="0.25">
      <c r="A6" t="s">
        <v>28</v>
      </c>
      <c r="B6" t="s">
        <v>34</v>
      </c>
      <c r="C6" t="s">
        <v>30</v>
      </c>
      <c r="D6">
        <v>-0.60063599999999995</v>
      </c>
      <c r="E6">
        <v>-1.2031769999999999</v>
      </c>
      <c r="F6">
        <v>-2.1431119999999999</v>
      </c>
      <c r="G6">
        <v>-2.7517939999999999</v>
      </c>
      <c r="H6">
        <v>-2.7819060000000002</v>
      </c>
      <c r="I6">
        <v>-2.6609820000000002</v>
      </c>
      <c r="J6">
        <v>-2.693594</v>
      </c>
      <c r="K6">
        <v>-2.7085650000000001</v>
      </c>
      <c r="L6">
        <v>-2.556473</v>
      </c>
      <c r="M6">
        <v>-2.4201239999999999</v>
      </c>
      <c r="N6">
        <v>-2.6843400000000002</v>
      </c>
      <c r="O6">
        <v>-2.7430270000000001</v>
      </c>
      <c r="P6">
        <v>-2.8157570000000001</v>
      </c>
      <c r="Q6">
        <v>-3.0320870000000002</v>
      </c>
      <c r="R6">
        <v>-3.1088589999999998</v>
      </c>
      <c r="S6">
        <v>-3.0324610000000001</v>
      </c>
      <c r="T6">
        <v>-2.9597829999999998</v>
      </c>
      <c r="U6">
        <v>-2.9728530000000002</v>
      </c>
      <c r="V6">
        <v>-2.8824329999999998</v>
      </c>
      <c r="W6">
        <v>-2.8826420000000001</v>
      </c>
      <c r="X6">
        <v>-2.8930850000000001</v>
      </c>
      <c r="Y6">
        <v>-2.8926289999999999</v>
      </c>
      <c r="Z6">
        <v>-2.924445</v>
      </c>
      <c r="AA6">
        <v>-2.9115000000000002</v>
      </c>
      <c r="AB6">
        <v>-2.9142329999999999</v>
      </c>
      <c r="AC6">
        <v>-2.86999</v>
      </c>
      <c r="AD6">
        <v>-2.8926889999999998</v>
      </c>
      <c r="AE6" s="6">
        <v>3.816043327406283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0.71346600000000004</v>
      </c>
      <c r="E8">
        <v>0.77674699999999997</v>
      </c>
      <c r="F8">
        <v>0.80603400000000003</v>
      </c>
      <c r="G8">
        <v>0.83646399999999999</v>
      </c>
      <c r="H8">
        <v>0.83457800000000004</v>
      </c>
      <c r="I8">
        <v>0.83412799999999998</v>
      </c>
      <c r="J8">
        <v>0.83623599999999998</v>
      </c>
      <c r="K8">
        <v>0.83674400000000004</v>
      </c>
      <c r="L8">
        <v>0.83813499999999996</v>
      </c>
      <c r="M8">
        <v>0.83734200000000003</v>
      </c>
      <c r="N8">
        <v>0.83623999999999998</v>
      </c>
      <c r="O8">
        <v>0.83755500000000005</v>
      </c>
      <c r="P8">
        <v>0.81935000000000002</v>
      </c>
      <c r="Q8">
        <v>0.79280399999999995</v>
      </c>
      <c r="R8">
        <v>0.78336600000000001</v>
      </c>
      <c r="S8">
        <v>0.79021399999999997</v>
      </c>
      <c r="T8">
        <v>0.79735199999999995</v>
      </c>
      <c r="U8">
        <v>0.79886199999999996</v>
      </c>
      <c r="V8">
        <v>0.79819799999999996</v>
      </c>
      <c r="W8">
        <v>0.79967699999999997</v>
      </c>
      <c r="X8">
        <v>0.79368700000000003</v>
      </c>
      <c r="Y8">
        <v>0.79534800000000005</v>
      </c>
      <c r="Z8">
        <v>0.79505199999999998</v>
      </c>
      <c r="AA8">
        <v>0.79772299999999996</v>
      </c>
      <c r="AB8">
        <v>0.79492099999999999</v>
      </c>
      <c r="AC8">
        <v>0.79886000000000001</v>
      </c>
      <c r="AD8">
        <v>0.79717700000000002</v>
      </c>
      <c r="AE8" s="6">
        <v>0.11733004796304235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0.13234099999999999</v>
      </c>
      <c r="E10">
        <v>0.204345</v>
      </c>
      <c r="F10">
        <v>0.27221699999999999</v>
      </c>
      <c r="G10">
        <v>0.35526799999999997</v>
      </c>
      <c r="H10">
        <v>0.43417800000000001</v>
      </c>
      <c r="I10">
        <v>0.50851800000000003</v>
      </c>
      <c r="J10">
        <v>0.57000200000000001</v>
      </c>
      <c r="K10">
        <v>0.63625799999999999</v>
      </c>
      <c r="L10">
        <v>0.70602500000000001</v>
      </c>
      <c r="M10">
        <v>0.77864199999999995</v>
      </c>
      <c r="N10">
        <v>0.83850599999999997</v>
      </c>
      <c r="O10">
        <v>0.898254</v>
      </c>
      <c r="P10">
        <v>0.95991000000000004</v>
      </c>
      <c r="Q10">
        <v>1.014008</v>
      </c>
      <c r="R10">
        <v>0.98764799999999997</v>
      </c>
      <c r="S10">
        <v>1.1305970000000001</v>
      </c>
      <c r="T10">
        <v>1.1808650000000001</v>
      </c>
      <c r="U10">
        <v>1.243781</v>
      </c>
      <c r="V10">
        <v>1.2976650000000001</v>
      </c>
      <c r="W10">
        <v>1.3529610000000001</v>
      </c>
      <c r="X10">
        <v>1.3815170000000001</v>
      </c>
      <c r="Y10">
        <v>1.409578</v>
      </c>
      <c r="Z10">
        <v>1.43791</v>
      </c>
      <c r="AA10">
        <v>1.4671350000000001</v>
      </c>
      <c r="AB10">
        <v>1.4961930000000001</v>
      </c>
      <c r="AC10">
        <v>1.4962519999999999</v>
      </c>
      <c r="AD10">
        <v>1.496267</v>
      </c>
      <c r="AE10" s="6">
        <v>10.306148510287818</v>
      </c>
    </row>
    <row r="11" spans="1:31" x14ac:dyDescent="0.25">
      <c r="A11" t="s">
        <v>28</v>
      </c>
      <c r="B11" t="s">
        <v>39</v>
      </c>
      <c r="C11" t="s">
        <v>30</v>
      </c>
      <c r="D11">
        <v>0.19350999999999999</v>
      </c>
      <c r="E11">
        <v>0.193496</v>
      </c>
      <c r="F11">
        <v>0.19339500000000001</v>
      </c>
      <c r="G11">
        <v>0.19339500000000001</v>
      </c>
      <c r="H11">
        <v>0.19339500000000001</v>
      </c>
      <c r="I11">
        <v>0.19339500000000001</v>
      </c>
      <c r="J11">
        <v>0.19339500000000001</v>
      </c>
      <c r="K11">
        <v>0.19339500000000001</v>
      </c>
      <c r="L11">
        <v>0.19339500000000001</v>
      </c>
      <c r="M11">
        <v>0.19339500000000001</v>
      </c>
      <c r="N11">
        <v>0.19339500000000001</v>
      </c>
      <c r="O11">
        <v>0.19339500000000001</v>
      </c>
      <c r="P11">
        <v>0.19339500000000001</v>
      </c>
      <c r="Q11">
        <v>0.19339500000000001</v>
      </c>
      <c r="R11">
        <v>0.19339500000000001</v>
      </c>
      <c r="S11">
        <v>0.19339500000000001</v>
      </c>
      <c r="T11">
        <v>0.19339500000000001</v>
      </c>
      <c r="U11">
        <v>0.19339500000000001</v>
      </c>
      <c r="V11">
        <v>0.19339500000000001</v>
      </c>
      <c r="W11">
        <v>0.19339500000000001</v>
      </c>
      <c r="X11">
        <v>0.19339500000000001</v>
      </c>
      <c r="Y11">
        <v>0.19339500000000001</v>
      </c>
      <c r="Z11">
        <v>0.19339500000000001</v>
      </c>
      <c r="AA11">
        <v>0.19339500000000001</v>
      </c>
      <c r="AB11">
        <v>0.19339500000000001</v>
      </c>
      <c r="AC11">
        <v>0.19339500000000001</v>
      </c>
      <c r="AD11">
        <v>0.19339500000000001</v>
      </c>
      <c r="AE11" s="6">
        <v>-5.9428453309894188E-4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39.650790999999998</v>
      </c>
      <c r="E13">
        <v>65.943504000000004</v>
      </c>
      <c r="F13">
        <v>94.563911000000004</v>
      </c>
      <c r="G13">
        <v>109.282623</v>
      </c>
      <c r="H13">
        <v>109.38500999999999</v>
      </c>
      <c r="I13">
        <v>109.36525</v>
      </c>
      <c r="J13">
        <v>109.345398</v>
      </c>
      <c r="K13">
        <v>109.27748099999999</v>
      </c>
      <c r="L13">
        <v>109.34569500000001</v>
      </c>
      <c r="M13">
        <v>109.465958</v>
      </c>
      <c r="N13">
        <v>118.46977200000001</v>
      </c>
      <c r="O13">
        <v>121.457336</v>
      </c>
      <c r="P13">
        <v>121.717392</v>
      </c>
      <c r="Q13">
        <v>121.61140399999999</v>
      </c>
      <c r="R13">
        <v>121.69302399999999</v>
      </c>
      <c r="S13">
        <v>121.742935</v>
      </c>
      <c r="T13">
        <v>121.73743399999999</v>
      </c>
      <c r="U13">
        <v>121.750732</v>
      </c>
      <c r="V13">
        <v>121.746735</v>
      </c>
      <c r="W13">
        <v>124.75695</v>
      </c>
      <c r="X13">
        <v>126.89006000000001</v>
      </c>
      <c r="Y13">
        <v>127.211472</v>
      </c>
      <c r="Z13">
        <v>127.09973100000001</v>
      </c>
      <c r="AA13">
        <v>127.072884</v>
      </c>
      <c r="AB13">
        <v>127.08136</v>
      </c>
      <c r="AC13">
        <v>127.06568900000001</v>
      </c>
      <c r="AD13">
        <v>127.092613</v>
      </c>
      <c r="AE13" s="6">
        <v>2.2052983003542099</v>
      </c>
    </row>
    <row r="14" spans="1:31" x14ac:dyDescent="0.25">
      <c r="A14" t="s">
        <v>28</v>
      </c>
      <c r="B14" t="s">
        <v>42</v>
      </c>
      <c r="C14" t="s">
        <v>30</v>
      </c>
      <c r="D14">
        <v>113.782135</v>
      </c>
      <c r="E14">
        <v>117.543633</v>
      </c>
      <c r="F14">
        <v>125.504417</v>
      </c>
      <c r="G14">
        <v>130.17970299999999</v>
      </c>
      <c r="H14">
        <v>130.14382900000001</v>
      </c>
      <c r="I14">
        <v>130.138397</v>
      </c>
      <c r="J14">
        <v>128.14975000000001</v>
      </c>
      <c r="K14">
        <v>123.302193</v>
      </c>
      <c r="L14">
        <v>123.120232</v>
      </c>
      <c r="M14">
        <v>123.06836699999999</v>
      </c>
      <c r="N14">
        <v>123.94162</v>
      </c>
      <c r="O14">
        <v>133.22318999999999</v>
      </c>
      <c r="P14">
        <v>183.82354699999999</v>
      </c>
      <c r="Q14">
        <v>252.33227500000001</v>
      </c>
      <c r="R14">
        <v>266.37545799999998</v>
      </c>
      <c r="S14">
        <v>266.91104100000001</v>
      </c>
      <c r="T14">
        <v>266.21493500000003</v>
      </c>
      <c r="U14">
        <v>265.63980099999998</v>
      </c>
      <c r="V14">
        <v>263.82003800000001</v>
      </c>
      <c r="W14">
        <v>267.511932</v>
      </c>
      <c r="X14">
        <v>274.97045900000001</v>
      </c>
      <c r="Y14">
        <v>284.400238</v>
      </c>
      <c r="Z14">
        <v>286.78561400000001</v>
      </c>
      <c r="AA14">
        <v>289.67529300000001</v>
      </c>
      <c r="AB14">
        <v>289.76754799999998</v>
      </c>
      <c r="AC14">
        <v>297.15512100000001</v>
      </c>
      <c r="AD14">
        <v>304.38443000000001</v>
      </c>
      <c r="AE14" s="6">
        <v>1.675151331973161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9" t="s">
        <v>44</v>
      </c>
      <c r="C16" t="s">
        <v>30</v>
      </c>
      <c r="D16">
        <v>0</v>
      </c>
      <c r="E16">
        <v>0</v>
      </c>
      <c r="F16">
        <v>2.3621E-2</v>
      </c>
      <c r="G16">
        <v>5.7369999999999997E-2</v>
      </c>
      <c r="H16">
        <v>8.1199999999999994E-2</v>
      </c>
      <c r="I16">
        <v>0.14375399999999999</v>
      </c>
      <c r="J16">
        <v>0.20210900000000001</v>
      </c>
      <c r="K16">
        <v>0.27372999999999997</v>
      </c>
      <c r="L16">
        <v>0.453098</v>
      </c>
      <c r="M16">
        <v>0.54599399999999998</v>
      </c>
      <c r="N16">
        <v>0.645061</v>
      </c>
      <c r="O16">
        <v>0.75544999999999995</v>
      </c>
      <c r="P16">
        <v>0.87223099999999998</v>
      </c>
      <c r="Q16">
        <v>0.99302999999999997</v>
      </c>
      <c r="R16">
        <v>1.124034</v>
      </c>
      <c r="S16">
        <v>1.411467</v>
      </c>
      <c r="T16">
        <v>1.536438</v>
      </c>
      <c r="U16">
        <v>1.6600459999999999</v>
      </c>
      <c r="V16">
        <v>1.7138450000000001</v>
      </c>
      <c r="W16">
        <v>1.9065620000000001</v>
      </c>
      <c r="X16">
        <v>2.030262</v>
      </c>
      <c r="Y16">
        <v>2.1646230000000002</v>
      </c>
      <c r="Z16">
        <v>2.28132</v>
      </c>
      <c r="AA16">
        <v>2.468321</v>
      </c>
      <c r="AB16">
        <v>2.5179860000000001</v>
      </c>
      <c r="AC16">
        <v>2.6971240000000001</v>
      </c>
      <c r="AD16">
        <v>2.9397929999999999</v>
      </c>
      <c r="AE16" s="6" t="e">
        <v>#DIV/0!</v>
      </c>
    </row>
    <row r="17" spans="1:31" x14ac:dyDescent="0.25">
      <c r="A17" t="s">
        <v>28</v>
      </c>
      <c r="B17" s="9" t="s">
        <v>45</v>
      </c>
      <c r="C17" t="s">
        <v>30</v>
      </c>
      <c r="D17">
        <v>422.43158</v>
      </c>
      <c r="E17">
        <v>432.73525999999998</v>
      </c>
      <c r="F17">
        <v>438.757385</v>
      </c>
      <c r="G17">
        <v>445.271118</v>
      </c>
      <c r="H17">
        <v>450.042236</v>
      </c>
      <c r="I17">
        <v>454.18810999999999</v>
      </c>
      <c r="J17">
        <v>457.969696</v>
      </c>
      <c r="K17">
        <v>464.813354</v>
      </c>
      <c r="L17">
        <v>472.41296399999999</v>
      </c>
      <c r="M17">
        <v>479.52569599999998</v>
      </c>
      <c r="N17">
        <v>488.53659099999999</v>
      </c>
      <c r="O17">
        <v>496.77179000000001</v>
      </c>
      <c r="P17">
        <v>506.71688799999998</v>
      </c>
      <c r="Q17">
        <v>518.40252699999996</v>
      </c>
      <c r="R17">
        <v>528.54388400000005</v>
      </c>
      <c r="S17">
        <v>538.11041299999999</v>
      </c>
      <c r="T17">
        <v>547.27716099999998</v>
      </c>
      <c r="U17">
        <v>554.68444799999997</v>
      </c>
      <c r="V17">
        <v>555.97692900000004</v>
      </c>
      <c r="W17">
        <v>569.50097700000003</v>
      </c>
      <c r="X17">
        <v>577.96618699999999</v>
      </c>
      <c r="Y17">
        <v>586.44427499999995</v>
      </c>
      <c r="Z17">
        <v>593.08355700000004</v>
      </c>
      <c r="AA17">
        <v>600.68457000000001</v>
      </c>
      <c r="AB17">
        <v>601.66668700000002</v>
      </c>
      <c r="AC17">
        <v>613.678223</v>
      </c>
      <c r="AD17">
        <v>620.97772199999997</v>
      </c>
      <c r="AE17" s="6">
        <v>0.4700078104956073</v>
      </c>
    </row>
    <row r="18" spans="1:31" x14ac:dyDescent="0.25">
      <c r="A18" t="s">
        <v>74</v>
      </c>
      <c r="B18" t="s">
        <v>46</v>
      </c>
      <c r="C18" t="s">
        <v>47</v>
      </c>
      <c r="D18">
        <v>12.277438999999999</v>
      </c>
      <c r="E18">
        <v>11.777426</v>
      </c>
      <c r="F18">
        <v>11.159171000000001</v>
      </c>
      <c r="G18">
        <v>10.339366999999999</v>
      </c>
      <c r="H18">
        <v>10.248865</v>
      </c>
      <c r="I18">
        <v>10.635797</v>
      </c>
      <c r="J18">
        <v>10.69191</v>
      </c>
      <c r="K18">
        <v>10.863716999999999</v>
      </c>
      <c r="L18">
        <v>10.833401</v>
      </c>
      <c r="M18">
        <v>10.973527000000001</v>
      </c>
      <c r="N18">
        <v>11.105312</v>
      </c>
      <c r="O18">
        <v>11.188065999999999</v>
      </c>
      <c r="P18">
        <v>11.168716999999999</v>
      </c>
      <c r="Q18">
        <v>10.823117999999999</v>
      </c>
      <c r="R18">
        <v>10.550878000000001</v>
      </c>
      <c r="S18">
        <v>10.355302</v>
      </c>
      <c r="T18">
        <v>10.348148</v>
      </c>
      <c r="U18">
        <v>10.484313999999999</v>
      </c>
      <c r="V18">
        <v>10.62904</v>
      </c>
      <c r="W18">
        <v>10.641940999999999</v>
      </c>
      <c r="X18">
        <v>10.216507</v>
      </c>
      <c r="Y18">
        <v>10.415998</v>
      </c>
      <c r="Z18">
        <v>10.434222999999999</v>
      </c>
      <c r="AA18">
        <v>10.490968000000001</v>
      </c>
      <c r="AB18">
        <v>10.564520999999999</v>
      </c>
      <c r="AC18">
        <v>10.577317000000001</v>
      </c>
      <c r="AD18">
        <v>10.515471</v>
      </c>
      <c r="AE18" s="6" cm="1">
        <f t="array" ref="AE18:AE22">(AD18:AD22-D18:D22)/D18:D22</f>
        <v>-0.14351266579292307</v>
      </c>
    </row>
    <row r="19" spans="1:31" x14ac:dyDescent="0.25">
      <c r="A19" t="s">
        <v>74</v>
      </c>
      <c r="B19" t="s">
        <v>48</v>
      </c>
      <c r="C19" t="s">
        <v>47</v>
      </c>
      <c r="D19">
        <v>9.502148</v>
      </c>
      <c r="E19">
        <v>8.8764559999999992</v>
      </c>
      <c r="F19">
        <v>8.2907869999999999</v>
      </c>
      <c r="G19">
        <v>7.5738940000000001</v>
      </c>
      <c r="H19">
        <v>7.5294629999999998</v>
      </c>
      <c r="I19">
        <v>7.9113239999999996</v>
      </c>
      <c r="J19">
        <v>7.9688369999999997</v>
      </c>
      <c r="K19">
        <v>8.1438299999999995</v>
      </c>
      <c r="L19">
        <v>8.1215899999999994</v>
      </c>
      <c r="M19">
        <v>8.2388139999999996</v>
      </c>
      <c r="N19">
        <v>8.3583999999999996</v>
      </c>
      <c r="O19">
        <v>8.435117</v>
      </c>
      <c r="P19">
        <v>8.4000350000000008</v>
      </c>
      <c r="Q19">
        <v>8.0587859999999996</v>
      </c>
      <c r="R19">
        <v>7.7779559999999996</v>
      </c>
      <c r="S19">
        <v>7.62113</v>
      </c>
      <c r="T19">
        <v>7.6295149999999996</v>
      </c>
      <c r="U19">
        <v>7.7470720000000002</v>
      </c>
      <c r="V19">
        <v>7.9145580000000004</v>
      </c>
      <c r="W19">
        <v>7.9106860000000001</v>
      </c>
      <c r="X19">
        <v>7.5525909999999996</v>
      </c>
      <c r="Y19">
        <v>7.7294099999999997</v>
      </c>
      <c r="Z19">
        <v>7.7440389999999999</v>
      </c>
      <c r="AA19">
        <v>7.7802920000000002</v>
      </c>
      <c r="AB19">
        <v>7.8372549999999999</v>
      </c>
      <c r="AC19">
        <v>7.8177599999999998</v>
      </c>
      <c r="AD19">
        <v>7.763414</v>
      </c>
      <c r="AE19" s="6">
        <v>-0.1829832581012209</v>
      </c>
    </row>
    <row r="20" spans="1:31" x14ac:dyDescent="0.25">
      <c r="A20" t="s">
        <v>74</v>
      </c>
      <c r="B20" t="s">
        <v>49</v>
      </c>
      <c r="C20" t="s">
        <v>47</v>
      </c>
      <c r="D20">
        <v>7.9536670000000003</v>
      </c>
      <c r="E20">
        <v>7.5954129999999997</v>
      </c>
      <c r="F20">
        <v>6.9640110000000002</v>
      </c>
      <c r="G20">
        <v>6.2695369999999997</v>
      </c>
      <c r="H20">
        <v>6.2269670000000001</v>
      </c>
      <c r="I20">
        <v>6.5402089999999999</v>
      </c>
      <c r="J20">
        <v>6.6185280000000004</v>
      </c>
      <c r="K20">
        <v>6.7894410000000001</v>
      </c>
      <c r="L20">
        <v>6.8274470000000003</v>
      </c>
      <c r="M20">
        <v>6.9700059999999997</v>
      </c>
      <c r="N20">
        <v>7.0825760000000004</v>
      </c>
      <c r="O20">
        <v>7.1599380000000004</v>
      </c>
      <c r="P20">
        <v>7.1225059999999996</v>
      </c>
      <c r="Q20">
        <v>6.763827</v>
      </c>
      <c r="R20">
        <v>6.4706970000000004</v>
      </c>
      <c r="S20">
        <v>6.3431670000000002</v>
      </c>
      <c r="T20">
        <v>6.3607149999999999</v>
      </c>
      <c r="U20">
        <v>6.4974080000000001</v>
      </c>
      <c r="V20">
        <v>6.6512089999999997</v>
      </c>
      <c r="W20">
        <v>6.6628569999999998</v>
      </c>
      <c r="X20">
        <v>6.3566750000000001</v>
      </c>
      <c r="Y20">
        <v>6.4996499999999999</v>
      </c>
      <c r="Z20">
        <v>6.5087650000000004</v>
      </c>
      <c r="AA20">
        <v>6.543736</v>
      </c>
      <c r="AB20">
        <v>6.5713650000000001</v>
      </c>
      <c r="AC20">
        <v>6.5597649999999996</v>
      </c>
      <c r="AD20">
        <v>6.5112360000000002</v>
      </c>
      <c r="AE20" s="6">
        <v>-0.18135421057984952</v>
      </c>
    </row>
    <row r="21" spans="1:31" x14ac:dyDescent="0.25">
      <c r="A21" t="s">
        <v>74</v>
      </c>
      <c r="B21" t="s">
        <v>50</v>
      </c>
      <c r="C21" t="s">
        <v>47</v>
      </c>
      <c r="D21">
        <v>10.083728000000001</v>
      </c>
      <c r="E21">
        <v>9.4748429999999999</v>
      </c>
      <c r="F21">
        <v>8.9004139999999996</v>
      </c>
      <c r="G21">
        <v>8.1421270000000003</v>
      </c>
      <c r="H21">
        <v>8.0733130000000006</v>
      </c>
      <c r="I21">
        <v>8.4288930000000004</v>
      </c>
      <c r="J21">
        <v>8.5030710000000003</v>
      </c>
      <c r="K21">
        <v>8.6796150000000001</v>
      </c>
      <c r="L21">
        <v>8.6166119999999999</v>
      </c>
      <c r="M21">
        <v>8.8207409999999999</v>
      </c>
      <c r="N21">
        <v>8.9573309999999999</v>
      </c>
      <c r="O21">
        <v>9.0233849999999993</v>
      </c>
      <c r="P21">
        <v>9.0081640000000007</v>
      </c>
      <c r="Q21">
        <v>8.6632429999999996</v>
      </c>
      <c r="R21">
        <v>8.4146129999999992</v>
      </c>
      <c r="S21">
        <v>8.2536310000000004</v>
      </c>
      <c r="T21">
        <v>8.2654540000000001</v>
      </c>
      <c r="U21">
        <v>8.4229350000000007</v>
      </c>
      <c r="V21">
        <v>8.5968660000000003</v>
      </c>
      <c r="W21">
        <v>8.5997889999999995</v>
      </c>
      <c r="X21">
        <v>8.2352819999999998</v>
      </c>
      <c r="Y21">
        <v>8.3425039999999999</v>
      </c>
      <c r="Z21">
        <v>8.3578050000000008</v>
      </c>
      <c r="AA21">
        <v>8.3969529999999999</v>
      </c>
      <c r="AB21">
        <v>8.4637250000000002</v>
      </c>
      <c r="AC21">
        <v>8.4623340000000002</v>
      </c>
      <c r="AD21">
        <v>8.4071040000000004</v>
      </c>
      <c r="AE21" s="6">
        <v>-0.16627025243045035</v>
      </c>
    </row>
    <row r="22" spans="1:31" x14ac:dyDescent="0.25">
      <c r="A22" t="s">
        <v>74</v>
      </c>
      <c r="B22" t="s">
        <v>51</v>
      </c>
      <c r="C22" t="s">
        <v>47</v>
      </c>
      <c r="D22">
        <v>10.026911999999999</v>
      </c>
      <c r="E22">
        <v>9.5131560000000004</v>
      </c>
      <c r="F22">
        <v>8.9146629999999991</v>
      </c>
      <c r="G22">
        <v>8.1768009999999993</v>
      </c>
      <c r="H22">
        <v>8.1259460000000008</v>
      </c>
      <c r="I22">
        <v>8.4899430000000002</v>
      </c>
      <c r="J22">
        <v>8.5514399999999995</v>
      </c>
      <c r="K22">
        <v>8.7178839999999997</v>
      </c>
      <c r="L22">
        <v>8.7070900000000009</v>
      </c>
      <c r="M22">
        <v>8.8368780000000005</v>
      </c>
      <c r="N22">
        <v>8.9550389999999993</v>
      </c>
      <c r="O22">
        <v>9.0310020000000009</v>
      </c>
      <c r="P22">
        <v>8.9985739999999996</v>
      </c>
      <c r="Q22">
        <v>8.6524900000000002</v>
      </c>
      <c r="R22">
        <v>8.3737130000000004</v>
      </c>
      <c r="S22">
        <v>8.2152329999999996</v>
      </c>
      <c r="T22">
        <v>8.2224000000000004</v>
      </c>
      <c r="U22">
        <v>8.352976</v>
      </c>
      <c r="V22">
        <v>8.5313979999999994</v>
      </c>
      <c r="W22">
        <v>8.5183599999999995</v>
      </c>
      <c r="X22">
        <v>8.1555599999999995</v>
      </c>
      <c r="Y22">
        <v>8.3320509999999999</v>
      </c>
      <c r="Z22">
        <v>8.3481670000000001</v>
      </c>
      <c r="AA22">
        <v>8.3891500000000008</v>
      </c>
      <c r="AB22">
        <v>8.4622980000000005</v>
      </c>
      <c r="AC22">
        <v>8.4368160000000003</v>
      </c>
      <c r="AD22">
        <v>8.3801389999999998</v>
      </c>
      <c r="AE22" s="6">
        <v>-0.16423530993390584</v>
      </c>
    </row>
    <row r="23" spans="1:31" x14ac:dyDescent="0.25">
      <c r="A23" t="s">
        <v>75</v>
      </c>
      <c r="B23" t="s">
        <v>46</v>
      </c>
      <c r="C23" t="s">
        <v>52</v>
      </c>
      <c r="D23">
        <v>12.277438999999999</v>
      </c>
      <c r="E23">
        <v>12.025453000000001</v>
      </c>
      <c r="F23">
        <v>11.602156000000001</v>
      </c>
      <c r="G23">
        <v>10.937333000000001</v>
      </c>
      <c r="H23">
        <v>11.052149</v>
      </c>
      <c r="I23">
        <v>11.691129</v>
      </c>
      <c r="J23">
        <v>11.995868</v>
      </c>
      <c r="K23">
        <v>12.464479000000001</v>
      </c>
      <c r="L23">
        <v>12.717435</v>
      </c>
      <c r="M23">
        <v>13.194991999999999</v>
      </c>
      <c r="N23">
        <v>13.679368999999999</v>
      </c>
      <c r="O23">
        <v>14.113671999999999</v>
      </c>
      <c r="P23">
        <v>14.419225000000001</v>
      </c>
      <c r="Q23">
        <v>14.289747999999999</v>
      </c>
      <c r="R23">
        <v>14.231182</v>
      </c>
      <c r="S23">
        <v>14.257994999999999</v>
      </c>
      <c r="T23">
        <v>14.542493</v>
      </c>
      <c r="U23">
        <v>15.035151000000001</v>
      </c>
      <c r="V23">
        <v>15.552897</v>
      </c>
      <c r="W23">
        <v>15.889609</v>
      </c>
      <c r="X23">
        <v>15.564363</v>
      </c>
      <c r="Y23">
        <v>16.195471000000001</v>
      </c>
      <c r="Z23">
        <v>16.558622</v>
      </c>
      <c r="AA23">
        <v>17.000492000000001</v>
      </c>
      <c r="AB23">
        <v>17.488146</v>
      </c>
      <c r="AC23">
        <v>17.889174000000001</v>
      </c>
      <c r="AD23">
        <v>18.176746000000001</v>
      </c>
      <c r="AE23" s="6" cm="1">
        <f t="array" ref="AE23:AE27">(AD23:AD27-D23:D27)/D23:D27</f>
        <v>0.48049980130220987</v>
      </c>
    </row>
    <row r="24" spans="1:31" x14ac:dyDescent="0.25">
      <c r="A24" t="s">
        <v>75</v>
      </c>
      <c r="B24" t="s">
        <v>48</v>
      </c>
      <c r="C24" t="s">
        <v>52</v>
      </c>
      <c r="D24">
        <v>9.502148</v>
      </c>
      <c r="E24">
        <v>9.0633900000000001</v>
      </c>
      <c r="F24">
        <v>8.6199049999999993</v>
      </c>
      <c r="G24">
        <v>8.0119209999999992</v>
      </c>
      <c r="H24">
        <v>8.1196059999999992</v>
      </c>
      <c r="I24">
        <v>8.6963209999999993</v>
      </c>
      <c r="J24">
        <v>8.9406970000000001</v>
      </c>
      <c r="K24">
        <v>9.3438199999999991</v>
      </c>
      <c r="L24">
        <v>9.5340140000000009</v>
      </c>
      <c r="M24">
        <v>9.9066679999999998</v>
      </c>
      <c r="N24">
        <v>10.295761000000001</v>
      </c>
      <c r="O24">
        <v>10.640845000000001</v>
      </c>
      <c r="P24">
        <v>10.844754</v>
      </c>
      <c r="Q24">
        <v>10.640005</v>
      </c>
      <c r="R24">
        <v>10.491023999999999</v>
      </c>
      <c r="S24">
        <v>10.493371</v>
      </c>
      <c r="T24">
        <v>10.721933</v>
      </c>
      <c r="U24">
        <v>11.109776999999999</v>
      </c>
      <c r="V24">
        <v>11.580944000000001</v>
      </c>
      <c r="W24">
        <v>11.811540000000001</v>
      </c>
      <c r="X24">
        <v>11.506014</v>
      </c>
      <c r="Y24">
        <v>12.018188</v>
      </c>
      <c r="Z24">
        <v>12.289427999999999</v>
      </c>
      <c r="AA24">
        <v>12.607873</v>
      </c>
      <c r="AB24">
        <v>12.973522000000001</v>
      </c>
      <c r="AC24">
        <v>13.221997</v>
      </c>
      <c r="AD24">
        <v>13.419619000000001</v>
      </c>
      <c r="AE24" s="6">
        <v>0.4122721515177411</v>
      </c>
    </row>
    <row r="25" spans="1:31" x14ac:dyDescent="0.25">
      <c r="A25" t="s">
        <v>75</v>
      </c>
      <c r="B25" t="s">
        <v>49</v>
      </c>
      <c r="C25" t="s">
        <v>52</v>
      </c>
      <c r="D25">
        <v>7.9536670000000003</v>
      </c>
      <c r="E25">
        <v>7.7553679999999998</v>
      </c>
      <c r="F25">
        <v>7.2404599999999997</v>
      </c>
      <c r="G25">
        <v>6.6321289999999999</v>
      </c>
      <c r="H25">
        <v>6.7150239999999997</v>
      </c>
      <c r="I25">
        <v>7.1891590000000001</v>
      </c>
      <c r="J25">
        <v>7.4257059999999999</v>
      </c>
      <c r="K25">
        <v>7.7898610000000001</v>
      </c>
      <c r="L25">
        <v>8.0148069999999993</v>
      </c>
      <c r="M25">
        <v>8.3810029999999998</v>
      </c>
      <c r="N25">
        <v>8.7242189999999997</v>
      </c>
      <c r="O25">
        <v>9.032216</v>
      </c>
      <c r="P25">
        <v>9.1954159999999998</v>
      </c>
      <c r="Q25">
        <v>8.9302720000000004</v>
      </c>
      <c r="R25">
        <v>8.7277740000000001</v>
      </c>
      <c r="S25">
        <v>8.7337710000000008</v>
      </c>
      <c r="T25">
        <v>8.9388609999999993</v>
      </c>
      <c r="U25">
        <v>9.3176819999999996</v>
      </c>
      <c r="V25">
        <v>9.7323540000000008</v>
      </c>
      <c r="W25">
        <v>9.9483910000000009</v>
      </c>
      <c r="X25">
        <v>9.6840919999999997</v>
      </c>
      <c r="Y25">
        <v>10.106078999999999</v>
      </c>
      <c r="Z25">
        <v>10.329105999999999</v>
      </c>
      <c r="AA25">
        <v>10.604049</v>
      </c>
      <c r="AB25">
        <v>10.878014</v>
      </c>
      <c r="AC25">
        <v>11.094379999999999</v>
      </c>
      <c r="AD25">
        <v>11.255139</v>
      </c>
      <c r="AE25" s="6">
        <v>0.41508803423628365</v>
      </c>
    </row>
    <row r="26" spans="1:31" x14ac:dyDescent="0.25">
      <c r="A26" t="s">
        <v>75</v>
      </c>
      <c r="B26" t="s">
        <v>50</v>
      </c>
      <c r="C26" t="s">
        <v>52</v>
      </c>
      <c r="D26">
        <v>10.083728000000001</v>
      </c>
      <c r="E26">
        <v>9.6743780000000008</v>
      </c>
      <c r="F26">
        <v>9.2537330000000004</v>
      </c>
      <c r="G26">
        <v>8.6130180000000003</v>
      </c>
      <c r="H26">
        <v>8.7060809999999993</v>
      </c>
      <c r="I26">
        <v>9.2652459999999994</v>
      </c>
      <c r="J26">
        <v>9.5400829999999992</v>
      </c>
      <c r="K26">
        <v>9.9585509999999999</v>
      </c>
      <c r="L26">
        <v>10.115126</v>
      </c>
      <c r="M26">
        <v>10.606399</v>
      </c>
      <c r="N26">
        <v>11.033515</v>
      </c>
      <c r="O26">
        <v>11.382942</v>
      </c>
      <c r="P26">
        <v>11.629871</v>
      </c>
      <c r="Q26">
        <v>11.438067999999999</v>
      </c>
      <c r="R26">
        <v>11.349755999999999</v>
      </c>
      <c r="S26">
        <v>11.364247000000001</v>
      </c>
      <c r="T26">
        <v>11.615634999999999</v>
      </c>
      <c r="U26">
        <v>12.079005</v>
      </c>
      <c r="V26">
        <v>12.579329</v>
      </c>
      <c r="W26">
        <v>12.840446999999999</v>
      </c>
      <c r="X26">
        <v>12.546061</v>
      </c>
      <c r="Y26">
        <v>12.971465999999999</v>
      </c>
      <c r="Z26">
        <v>13.263445000000001</v>
      </c>
      <c r="AA26">
        <v>13.607163999999999</v>
      </c>
      <c r="AB26">
        <v>14.010560999999999</v>
      </c>
      <c r="AC26">
        <v>14.312151</v>
      </c>
      <c r="AD26">
        <v>14.532285</v>
      </c>
      <c r="AE26" s="6">
        <v>0.44116193931450737</v>
      </c>
    </row>
    <row r="27" spans="1:31" x14ac:dyDescent="0.25">
      <c r="A27" t="s">
        <v>75</v>
      </c>
      <c r="B27" t="s">
        <v>51</v>
      </c>
      <c r="C27" t="s">
        <v>52</v>
      </c>
      <c r="D27">
        <v>10.026911999999999</v>
      </c>
      <c r="E27">
        <v>9.7134979999999995</v>
      </c>
      <c r="F27">
        <v>9.2685469999999999</v>
      </c>
      <c r="G27">
        <v>8.6496960000000005</v>
      </c>
      <c r="H27">
        <v>8.7628400000000006</v>
      </c>
      <c r="I27">
        <v>9.3323540000000005</v>
      </c>
      <c r="J27">
        <v>9.5943520000000007</v>
      </c>
      <c r="K27">
        <v>10.002459999999999</v>
      </c>
      <c r="L27">
        <v>10.221337999999999</v>
      </c>
      <c r="M27">
        <v>10.625802999999999</v>
      </c>
      <c r="N27">
        <v>11.030692</v>
      </c>
      <c r="O27">
        <v>11.39255</v>
      </c>
      <c r="P27">
        <v>11.61749</v>
      </c>
      <c r="Q27">
        <v>11.423870000000001</v>
      </c>
      <c r="R27">
        <v>11.294589</v>
      </c>
      <c r="S27">
        <v>11.311377999999999</v>
      </c>
      <c r="T27">
        <v>11.555129000000001</v>
      </c>
      <c r="U27">
        <v>11.978681999999999</v>
      </c>
      <c r="V27">
        <v>12.483533</v>
      </c>
      <c r="W27">
        <v>12.718864999999999</v>
      </c>
      <c r="X27">
        <v>12.424607999999999</v>
      </c>
      <c r="Y27">
        <v>12.955214</v>
      </c>
      <c r="Z27">
        <v>13.248151</v>
      </c>
      <c r="AA27">
        <v>13.594519999999999</v>
      </c>
      <c r="AB27">
        <v>14.008198999999999</v>
      </c>
      <c r="AC27">
        <v>14.268993999999999</v>
      </c>
      <c r="AD27">
        <v>14.485673</v>
      </c>
      <c r="AE27" s="6">
        <v>0.44467937885562386</v>
      </c>
    </row>
    <row r="28" spans="1:31" x14ac:dyDescent="0.25">
      <c r="A28" t="s">
        <v>76</v>
      </c>
      <c r="B28" t="s">
        <v>53</v>
      </c>
      <c r="C28" t="s">
        <v>47</v>
      </c>
      <c r="D28">
        <v>6.4035960000000003</v>
      </c>
      <c r="E28">
        <v>5.873005</v>
      </c>
      <c r="F28">
        <v>5.1984269999999997</v>
      </c>
      <c r="G28">
        <v>4.3908129999999996</v>
      </c>
      <c r="H28">
        <v>4.2978149999999999</v>
      </c>
      <c r="I28">
        <v>4.6208640000000001</v>
      </c>
      <c r="J28">
        <v>4.6498720000000002</v>
      </c>
      <c r="K28">
        <v>4.7894100000000002</v>
      </c>
      <c r="L28">
        <v>4.7606330000000003</v>
      </c>
      <c r="M28">
        <v>4.8739039999999996</v>
      </c>
      <c r="N28">
        <v>4.9833619999999996</v>
      </c>
      <c r="O28">
        <v>5.039415</v>
      </c>
      <c r="P28">
        <v>4.9796490000000002</v>
      </c>
      <c r="Q28">
        <v>4.602557</v>
      </c>
      <c r="R28">
        <v>4.3010999999999999</v>
      </c>
      <c r="S28">
        <v>4.1417999999999999</v>
      </c>
      <c r="T28">
        <v>4.1457750000000004</v>
      </c>
      <c r="U28">
        <v>4.2646810000000004</v>
      </c>
      <c r="V28">
        <v>4.4133560000000003</v>
      </c>
      <c r="W28">
        <v>4.3859089999999998</v>
      </c>
      <c r="X28">
        <v>4.0476890000000001</v>
      </c>
      <c r="Y28">
        <v>4.2292920000000001</v>
      </c>
      <c r="Z28">
        <v>4.2283489999999997</v>
      </c>
      <c r="AA28">
        <v>4.25474</v>
      </c>
      <c r="AB28">
        <v>4.3338159999999997</v>
      </c>
      <c r="AC28">
        <v>4.3181710000000004</v>
      </c>
      <c r="AD28">
        <v>4.255871</v>
      </c>
      <c r="AE28" s="6" cm="1">
        <f t="array" ref="AE28:AE30">(AD28:AD30-D28:D30)/D28:D30</f>
        <v>-0.3353935819811244</v>
      </c>
    </row>
    <row r="29" spans="1:31" x14ac:dyDescent="0.25">
      <c r="A29" t="s">
        <v>76</v>
      </c>
      <c r="B29" t="s">
        <v>54</v>
      </c>
      <c r="C29" t="s">
        <v>47</v>
      </c>
      <c r="D29">
        <v>2.3421289999999999</v>
      </c>
      <c r="E29">
        <v>2.356703</v>
      </c>
      <c r="F29">
        <v>2.4135499999999999</v>
      </c>
      <c r="G29">
        <v>2.4610650000000001</v>
      </c>
      <c r="H29">
        <v>2.481608</v>
      </c>
      <c r="I29">
        <v>2.5004940000000002</v>
      </c>
      <c r="J29">
        <v>2.513776</v>
      </c>
      <c r="K29">
        <v>2.528718</v>
      </c>
      <c r="L29">
        <v>2.5391840000000001</v>
      </c>
      <c r="M29">
        <v>2.5493610000000002</v>
      </c>
      <c r="N29">
        <v>2.5526659999999999</v>
      </c>
      <c r="O29">
        <v>2.5675620000000001</v>
      </c>
      <c r="P29">
        <v>2.5905589999999998</v>
      </c>
      <c r="Q29">
        <v>2.6183169999999998</v>
      </c>
      <c r="R29">
        <v>2.6364420000000002</v>
      </c>
      <c r="S29">
        <v>2.630636</v>
      </c>
      <c r="T29">
        <v>2.626493</v>
      </c>
      <c r="U29">
        <v>2.6297100000000002</v>
      </c>
      <c r="V29">
        <v>2.6445690000000002</v>
      </c>
      <c r="W29">
        <v>2.6513019999999998</v>
      </c>
      <c r="X29">
        <v>2.6325810000000001</v>
      </c>
      <c r="Y29">
        <v>2.6255920000000001</v>
      </c>
      <c r="Z29">
        <v>2.6328969999999998</v>
      </c>
      <c r="AA29">
        <v>2.6385480000000001</v>
      </c>
      <c r="AB29">
        <v>2.628927</v>
      </c>
      <c r="AC29">
        <v>2.6186389999999999</v>
      </c>
      <c r="AD29">
        <v>2.6203889999999999</v>
      </c>
      <c r="AE29" s="6">
        <v>0.11880643636622917</v>
      </c>
    </row>
    <row r="30" spans="1:31" x14ac:dyDescent="0.25">
      <c r="A30" t="s">
        <v>76</v>
      </c>
      <c r="B30" t="s">
        <v>55</v>
      </c>
      <c r="C30" t="s">
        <v>47</v>
      </c>
      <c r="D30">
        <v>1.2811870000000001</v>
      </c>
      <c r="E30">
        <v>1.2834490000000001</v>
      </c>
      <c r="F30">
        <v>1.3026869999999999</v>
      </c>
      <c r="G30">
        <v>1.3249230000000001</v>
      </c>
      <c r="H30">
        <v>1.3465229999999999</v>
      </c>
      <c r="I30">
        <v>1.368584</v>
      </c>
      <c r="J30">
        <v>1.3877919999999999</v>
      </c>
      <c r="K30">
        <v>1.399756</v>
      </c>
      <c r="L30">
        <v>1.4072739999999999</v>
      </c>
      <c r="M30">
        <v>1.413613</v>
      </c>
      <c r="N30">
        <v>1.419011</v>
      </c>
      <c r="O30">
        <v>1.4240250000000001</v>
      </c>
      <c r="P30">
        <v>1.428366</v>
      </c>
      <c r="Q30">
        <v>1.431616</v>
      </c>
      <c r="R30">
        <v>1.4361710000000001</v>
      </c>
      <c r="S30">
        <v>1.4427970000000001</v>
      </c>
      <c r="T30">
        <v>1.450132</v>
      </c>
      <c r="U30">
        <v>1.458585</v>
      </c>
      <c r="V30">
        <v>1.473473</v>
      </c>
      <c r="W30">
        <v>1.48115</v>
      </c>
      <c r="X30">
        <v>1.4752890000000001</v>
      </c>
      <c r="Y30">
        <v>1.477166</v>
      </c>
      <c r="Z30">
        <v>1.4869209999999999</v>
      </c>
      <c r="AA30">
        <v>1.495862</v>
      </c>
      <c r="AB30">
        <v>1.4995560000000001</v>
      </c>
      <c r="AC30">
        <v>1.500006</v>
      </c>
      <c r="AD30">
        <v>1.503879</v>
      </c>
      <c r="AE30" s="6">
        <v>0.17381693694987529</v>
      </c>
    </row>
    <row r="31" spans="1:31" x14ac:dyDescent="0.25">
      <c r="A31" t="s">
        <v>77</v>
      </c>
      <c r="B31" t="s">
        <v>53</v>
      </c>
      <c r="C31" t="s">
        <v>52</v>
      </c>
      <c r="D31">
        <v>6.4035960000000003</v>
      </c>
      <c r="E31">
        <v>5.9966869999999997</v>
      </c>
      <c r="F31">
        <v>5.4047879999999999</v>
      </c>
      <c r="G31">
        <v>4.6447510000000003</v>
      </c>
      <c r="H31">
        <v>4.6346679999999996</v>
      </c>
      <c r="I31">
        <v>5.0793679999999997</v>
      </c>
      <c r="J31">
        <v>5.2169590000000001</v>
      </c>
      <c r="K31">
        <v>5.4951270000000001</v>
      </c>
      <c r="L31">
        <v>5.5885530000000001</v>
      </c>
      <c r="M31">
        <v>5.8605689999999999</v>
      </c>
      <c r="N31">
        <v>6.1384359999999996</v>
      </c>
      <c r="O31">
        <v>6.3571900000000001</v>
      </c>
      <c r="P31">
        <v>6.4289100000000001</v>
      </c>
      <c r="Q31">
        <v>6.0767490000000004</v>
      </c>
      <c r="R31">
        <v>5.8013890000000004</v>
      </c>
      <c r="S31">
        <v>5.7027570000000001</v>
      </c>
      <c r="T31">
        <v>5.8261539999999998</v>
      </c>
      <c r="U31">
        <v>6.1158149999999996</v>
      </c>
      <c r="V31">
        <v>6.4578259999999998</v>
      </c>
      <c r="W31">
        <v>6.5486529999999998</v>
      </c>
      <c r="X31">
        <v>6.1664620000000001</v>
      </c>
      <c r="Y31">
        <v>6.5759780000000001</v>
      </c>
      <c r="Z31">
        <v>6.7101920000000002</v>
      </c>
      <c r="AA31">
        <v>6.8947570000000002</v>
      </c>
      <c r="AB31">
        <v>7.1740500000000003</v>
      </c>
      <c r="AC31">
        <v>7.3032240000000002</v>
      </c>
      <c r="AD31">
        <v>7.356579</v>
      </c>
      <c r="AE31" s="6" cm="1">
        <f t="array" ref="AE31:AE33">(AD31:AD33-D31:D33)/D31:D33</f>
        <v>0.14881997552625112</v>
      </c>
    </row>
    <row r="32" spans="1:31" x14ac:dyDescent="0.25">
      <c r="A32" t="s">
        <v>77</v>
      </c>
      <c r="B32" t="s">
        <v>54</v>
      </c>
      <c r="C32" t="s">
        <v>52</v>
      </c>
      <c r="D32">
        <v>2.3421289999999999</v>
      </c>
      <c r="E32">
        <v>2.4063340000000002</v>
      </c>
      <c r="F32">
        <v>2.50936</v>
      </c>
      <c r="G32">
        <v>2.6033979999999999</v>
      </c>
      <c r="H32">
        <v>2.6761110000000001</v>
      </c>
      <c r="I32">
        <v>2.748605</v>
      </c>
      <c r="J32">
        <v>2.8203490000000002</v>
      </c>
      <c r="K32">
        <v>2.9013230000000001</v>
      </c>
      <c r="L32">
        <v>2.9807730000000001</v>
      </c>
      <c r="M32">
        <v>3.0654499999999998</v>
      </c>
      <c r="N32">
        <v>3.1443379999999999</v>
      </c>
      <c r="O32">
        <v>3.2389619999999999</v>
      </c>
      <c r="P32">
        <v>3.3445070000000001</v>
      </c>
      <c r="Q32">
        <v>3.45696</v>
      </c>
      <c r="R32">
        <v>3.5560719999999999</v>
      </c>
      <c r="S32">
        <v>3.6220669999999999</v>
      </c>
      <c r="T32">
        <v>3.6910720000000001</v>
      </c>
      <c r="U32">
        <v>3.771166</v>
      </c>
      <c r="V32">
        <v>3.8696540000000001</v>
      </c>
      <c r="W32">
        <v>3.9586899999999998</v>
      </c>
      <c r="X32">
        <v>4.0106120000000001</v>
      </c>
      <c r="Y32">
        <v>4.0824410000000002</v>
      </c>
      <c r="Z32">
        <v>4.1782839999999997</v>
      </c>
      <c r="AA32">
        <v>4.2757360000000002</v>
      </c>
      <c r="AB32">
        <v>4.3518359999999996</v>
      </c>
      <c r="AC32">
        <v>4.4288439999999998</v>
      </c>
      <c r="AD32">
        <v>4.5295310000000004</v>
      </c>
      <c r="AE32" s="6">
        <v>0.93393745604960299</v>
      </c>
    </row>
    <row r="33" spans="1:31" x14ac:dyDescent="0.25">
      <c r="A33" t="s">
        <v>77</v>
      </c>
      <c r="B33" t="s">
        <v>55</v>
      </c>
      <c r="C33" t="s">
        <v>52</v>
      </c>
      <c r="D33">
        <v>1.2811870000000001</v>
      </c>
      <c r="E33">
        <v>1.3104769999999999</v>
      </c>
      <c r="F33">
        <v>1.3543989999999999</v>
      </c>
      <c r="G33">
        <v>1.401548</v>
      </c>
      <c r="H33">
        <v>1.452061</v>
      </c>
      <c r="I33">
        <v>1.504381</v>
      </c>
      <c r="J33">
        <v>1.557043</v>
      </c>
      <c r="K33">
        <v>1.606009</v>
      </c>
      <c r="L33">
        <v>1.652013</v>
      </c>
      <c r="M33">
        <v>1.699783</v>
      </c>
      <c r="N33">
        <v>1.7479180000000001</v>
      </c>
      <c r="O33">
        <v>1.7963990000000001</v>
      </c>
      <c r="P33">
        <v>1.8440730000000001</v>
      </c>
      <c r="Q33">
        <v>1.890161</v>
      </c>
      <c r="R33">
        <v>1.9371290000000001</v>
      </c>
      <c r="S33">
        <v>1.986556</v>
      </c>
      <c r="T33">
        <v>2.0379040000000002</v>
      </c>
      <c r="U33">
        <v>2.0916999999999999</v>
      </c>
      <c r="V33">
        <v>2.156053</v>
      </c>
      <c r="W33">
        <v>2.2115230000000001</v>
      </c>
      <c r="X33">
        <v>2.2475329999999998</v>
      </c>
      <c r="Y33">
        <v>2.2967939999999998</v>
      </c>
      <c r="Z33">
        <v>2.359674</v>
      </c>
      <c r="AA33">
        <v>2.424026</v>
      </c>
      <c r="AB33">
        <v>2.482313</v>
      </c>
      <c r="AC33">
        <v>2.5369259999999998</v>
      </c>
      <c r="AD33">
        <v>2.5995620000000002</v>
      </c>
      <c r="AE33" s="6">
        <v>1.0290262077276775</v>
      </c>
    </row>
    <row r="34" spans="1:31" x14ac:dyDescent="0.25">
      <c r="A34" t="s">
        <v>56</v>
      </c>
      <c r="B34" t="s">
        <v>57</v>
      </c>
      <c r="C34" t="s">
        <v>58</v>
      </c>
      <c r="D34">
        <v>37.803116000000003</v>
      </c>
      <c r="E34">
        <v>33.958710000000004</v>
      </c>
      <c r="F34">
        <v>28.131823000000001</v>
      </c>
      <c r="G34">
        <v>26.223139</v>
      </c>
      <c r="H34">
        <v>26.974851999999998</v>
      </c>
      <c r="I34">
        <v>27.860125</v>
      </c>
      <c r="J34">
        <v>27.920206</v>
      </c>
      <c r="K34">
        <v>28.858260999999999</v>
      </c>
      <c r="L34">
        <v>26.789487999999999</v>
      </c>
      <c r="M34">
        <v>27.723386999999999</v>
      </c>
      <c r="N34">
        <v>27.598510999999998</v>
      </c>
      <c r="O34">
        <v>27.147434000000001</v>
      </c>
      <c r="P34">
        <v>21.878558999999999</v>
      </c>
      <c r="Q34">
        <v>15.35191</v>
      </c>
      <c r="R34">
        <v>15.425511999999999</v>
      </c>
      <c r="S34">
        <v>16.183672000000001</v>
      </c>
      <c r="T34">
        <v>17.098799</v>
      </c>
      <c r="U34">
        <v>17.975521000000001</v>
      </c>
      <c r="V34">
        <v>18.311903000000001</v>
      </c>
      <c r="W34">
        <v>19.138359000000001</v>
      </c>
      <c r="X34">
        <v>19.021682999999999</v>
      </c>
      <c r="Y34">
        <v>18.940313</v>
      </c>
      <c r="Z34">
        <v>19.464559999999999</v>
      </c>
      <c r="AA34">
        <v>20.008182999999999</v>
      </c>
      <c r="AB34">
        <v>20.114913999999999</v>
      </c>
      <c r="AC34">
        <v>20.786821</v>
      </c>
      <c r="AD34">
        <v>20.806013</v>
      </c>
      <c r="AE34" s="6" cm="1">
        <f t="array" ref="AE34:AE38">(AD34:AD38-D34:D38)/D34:D38</f>
        <v>-0.44962174546669648</v>
      </c>
    </row>
    <row r="35" spans="1:31" x14ac:dyDescent="0.25">
      <c r="A35" t="s">
        <v>56</v>
      </c>
      <c r="B35" t="s">
        <v>59</v>
      </c>
      <c r="C35" t="s">
        <v>58</v>
      </c>
      <c r="D35">
        <v>138.61151100000001</v>
      </c>
      <c r="E35">
        <v>124.515381</v>
      </c>
      <c r="F35">
        <v>103.15010100000001</v>
      </c>
      <c r="G35">
        <v>96.151595999999998</v>
      </c>
      <c r="H35">
        <v>98.907821999999996</v>
      </c>
      <c r="I35">
        <v>102.15387699999999</v>
      </c>
      <c r="J35">
        <v>102.374161</v>
      </c>
      <c r="K35">
        <v>105.81368999999999</v>
      </c>
      <c r="L35">
        <v>98.228188000000003</v>
      </c>
      <c r="M35">
        <v>101.652519</v>
      </c>
      <c r="N35">
        <v>101.19452699999999</v>
      </c>
      <c r="O35">
        <v>99.540619000000007</v>
      </c>
      <c r="P35">
        <v>80.221503999999996</v>
      </c>
      <c r="Q35">
        <v>56.290367000000003</v>
      </c>
      <c r="R35">
        <v>56.560242000000002</v>
      </c>
      <c r="S35">
        <v>59.340145</v>
      </c>
      <c r="T35">
        <v>62.695602000000001</v>
      </c>
      <c r="U35">
        <v>65.910308999999998</v>
      </c>
      <c r="V35">
        <v>67.143660999999994</v>
      </c>
      <c r="W35">
        <v>70.173950000000005</v>
      </c>
      <c r="X35">
        <v>69.746086000000005</v>
      </c>
      <c r="Y35">
        <v>69.447815000000006</v>
      </c>
      <c r="Z35">
        <v>71.370025999999996</v>
      </c>
      <c r="AA35">
        <v>73.363365000000002</v>
      </c>
      <c r="AB35">
        <v>73.754677000000001</v>
      </c>
      <c r="AC35">
        <v>76.218299999999999</v>
      </c>
      <c r="AD35">
        <v>76.288689000000005</v>
      </c>
      <c r="AE35" s="6">
        <v>-0.4496222683843335</v>
      </c>
    </row>
    <row r="36" spans="1:31" x14ac:dyDescent="0.25">
      <c r="A36" t="s">
        <v>56</v>
      </c>
      <c r="B36" t="s">
        <v>60</v>
      </c>
      <c r="C36" t="s">
        <v>58</v>
      </c>
      <c r="D36">
        <v>1.4796E-2</v>
      </c>
      <c r="E36">
        <v>1.2369E-2</v>
      </c>
      <c r="F36">
        <v>9.5960000000000004E-3</v>
      </c>
      <c r="G36">
        <v>7.6639999999999998E-3</v>
      </c>
      <c r="H36">
        <v>7.3499999999999998E-3</v>
      </c>
      <c r="I36">
        <v>8.0909999999999992E-3</v>
      </c>
      <c r="J36">
        <v>6.6350000000000003E-3</v>
      </c>
      <c r="K36">
        <v>6.7120000000000001E-3</v>
      </c>
      <c r="L36">
        <v>4.6E-5</v>
      </c>
      <c r="M36">
        <v>5.3999999999999998E-5</v>
      </c>
      <c r="N36">
        <v>5.8E-5</v>
      </c>
      <c r="O36">
        <v>6.7000000000000002E-5</v>
      </c>
      <c r="P36">
        <v>8.2000000000000001E-5</v>
      </c>
      <c r="Q36">
        <v>1.4300000000000001E-4</v>
      </c>
      <c r="R36">
        <v>2.0000000000000001E-4</v>
      </c>
      <c r="S36">
        <v>5.44E-4</v>
      </c>
      <c r="T36">
        <v>5.6800000000000004E-4</v>
      </c>
      <c r="U36">
        <v>5.9800000000000001E-4</v>
      </c>
      <c r="V36">
        <v>6.2299999999999996E-4</v>
      </c>
      <c r="W36">
        <v>6.4999999999999997E-4</v>
      </c>
      <c r="X36">
        <v>6.6399999999999999E-4</v>
      </c>
      <c r="Y36">
        <v>6.7699999999999998E-4</v>
      </c>
      <c r="Z36">
        <v>6.9099999999999999E-4</v>
      </c>
      <c r="AA36">
        <v>6.9999999999999999E-4</v>
      </c>
      <c r="AB36">
        <v>7.1100000000000004E-4</v>
      </c>
      <c r="AC36">
        <v>7.1100000000000004E-4</v>
      </c>
      <c r="AD36">
        <v>7.1699999999999997E-4</v>
      </c>
      <c r="AE36" s="6">
        <v>-0.95154095701540953</v>
      </c>
    </row>
    <row r="37" spans="1:31" x14ac:dyDescent="0.25">
      <c r="A37" t="s">
        <v>56</v>
      </c>
      <c r="B37" t="s">
        <v>61</v>
      </c>
      <c r="C37" t="s">
        <v>58</v>
      </c>
      <c r="D37">
        <v>5.1075000000000002E-2</v>
      </c>
      <c r="E37">
        <v>4.6607999999999997E-2</v>
      </c>
      <c r="F37">
        <v>3.6405E-2</v>
      </c>
      <c r="G37">
        <v>3.5407000000000001E-2</v>
      </c>
      <c r="H37">
        <v>3.8365999999999997E-2</v>
      </c>
      <c r="I37">
        <v>3.8210000000000001E-2</v>
      </c>
      <c r="J37">
        <v>4.3929000000000003E-2</v>
      </c>
      <c r="K37">
        <v>4.7322999999999997E-2</v>
      </c>
      <c r="L37">
        <v>4.5074000000000003E-2</v>
      </c>
      <c r="M37">
        <v>4.5553000000000003E-2</v>
      </c>
      <c r="N37">
        <v>4.3810000000000002E-2</v>
      </c>
      <c r="O37">
        <v>4.2132999999999997E-2</v>
      </c>
      <c r="P37">
        <v>3.6086E-2</v>
      </c>
      <c r="Q37">
        <v>2.8912E-2</v>
      </c>
      <c r="R37">
        <v>3.0429999999999999E-2</v>
      </c>
      <c r="S37">
        <v>3.1073E-2</v>
      </c>
      <c r="T37">
        <v>3.2307000000000002E-2</v>
      </c>
      <c r="U37">
        <v>3.1805E-2</v>
      </c>
      <c r="V37">
        <v>3.1482999999999997E-2</v>
      </c>
      <c r="W37">
        <v>3.2132000000000001E-2</v>
      </c>
      <c r="X37">
        <v>3.1793000000000002E-2</v>
      </c>
      <c r="Y37">
        <v>3.1466000000000001E-2</v>
      </c>
      <c r="Z37">
        <v>3.2029000000000002E-2</v>
      </c>
      <c r="AA37">
        <v>3.1297999999999999E-2</v>
      </c>
      <c r="AB37">
        <v>3.0810000000000001E-2</v>
      </c>
      <c r="AC37">
        <v>3.2395E-2</v>
      </c>
      <c r="AD37">
        <v>3.2096E-2</v>
      </c>
      <c r="AE37" s="6">
        <v>-0.3715907978463045</v>
      </c>
    </row>
    <row r="38" spans="1:31" x14ac:dyDescent="0.25">
      <c r="A38" t="s">
        <v>56</v>
      </c>
      <c r="B38" t="s">
        <v>62</v>
      </c>
      <c r="C38" t="s">
        <v>63</v>
      </c>
      <c r="D38">
        <v>0.17543700000000001</v>
      </c>
      <c r="E38">
        <v>0.152749</v>
      </c>
      <c r="F38">
        <v>0.10427400000000001</v>
      </c>
      <c r="G38">
        <v>9.7841999999999998E-2</v>
      </c>
      <c r="H38">
        <v>0.103546</v>
      </c>
      <c r="I38">
        <v>0.11186699999999999</v>
      </c>
      <c r="J38">
        <v>9.7548999999999997E-2</v>
      </c>
      <c r="K38">
        <v>8.5958000000000007E-2</v>
      </c>
      <c r="L38">
        <v>9.9999999999999995E-7</v>
      </c>
      <c r="M38">
        <v>9.9999999999999995E-7</v>
      </c>
      <c r="N38">
        <v>9.9999999999999995E-7</v>
      </c>
      <c r="O38">
        <v>9.9999999999999995E-7</v>
      </c>
      <c r="P38">
        <v>9.9999999999999995E-7</v>
      </c>
      <c r="Q38">
        <v>6.0000000000000002E-6</v>
      </c>
      <c r="R38">
        <v>3.9999999999999998E-6</v>
      </c>
      <c r="S38">
        <v>1.2E-5</v>
      </c>
      <c r="T38">
        <v>1.2999999999999999E-5</v>
      </c>
      <c r="U38">
        <v>1.2999999999999999E-5</v>
      </c>
      <c r="V38">
        <v>1.1E-5</v>
      </c>
      <c r="W38">
        <v>1.1E-5</v>
      </c>
      <c r="X38">
        <v>1.0000000000000001E-5</v>
      </c>
      <c r="Y38">
        <v>1.1E-5</v>
      </c>
      <c r="Z38">
        <v>9.0000000000000002E-6</v>
      </c>
      <c r="AA38">
        <v>6.9999999999999999E-6</v>
      </c>
      <c r="AB38">
        <v>3.9999999999999998E-6</v>
      </c>
      <c r="AC38">
        <v>3.9999999999999998E-6</v>
      </c>
      <c r="AD38">
        <v>3.0000000000000001E-6</v>
      </c>
      <c r="AE38" s="6">
        <v>-0.9999828998443886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81.183371253777949</v>
      </c>
      <c r="E39" s="4" cm="1">
        <f t="array" ref="E39:E42">907185*E34:E37*10^6/(E17*10^9)</f>
        <v>71.190945547977776</v>
      </c>
      <c r="F39" s="4" cm="1">
        <f t="array" ref="F39:F42">907185*F34:F37*10^6/(F17*10^9)</f>
        <v>58.166013201703713</v>
      </c>
      <c r="G39" s="4" cm="1">
        <f t="array" ref="G39:G42">907185*G34:G37*10^6/(G17*10^9)</f>
        <v>53.42641234079548</v>
      </c>
      <c r="H39" s="4" cm="1">
        <f t="array" ref="H39:H42">907185*H34:H37*10^6/(H17*10^9)</f>
        <v>54.375298925543504</v>
      </c>
      <c r="I39" s="4" cm="1">
        <f t="array" ref="I39:I42">907185*I34:I37*10^6/(I17*10^9)</f>
        <v>55.6471799715871</v>
      </c>
      <c r="J39" s="4" cm="1">
        <f t="array" ref="J39:J42">907185*J34:J37*10^6/(J17*10^9)</f>
        <v>55.306698895880658</v>
      </c>
      <c r="K39" s="4" cm="1">
        <f t="array" ref="K39:K42">907185*K34:K37*10^6/(K17*10^9)</f>
        <v>56.323212919749722</v>
      </c>
      <c r="L39" s="4" cm="1">
        <f t="array" ref="L39:L42">907185*L34:L37*10^6/(L17*10^9)</f>
        <v>51.44444272973</v>
      </c>
      <c r="M39" s="4" cm="1">
        <f t="array" ref="M39:M42">907185*M34:M37*10^6/(M17*10^9)</f>
        <v>52.448160850164328</v>
      </c>
      <c r="N39" s="4" cm="1">
        <f t="array" ref="N39:N42">907185*N34:N37*10^6/(N17*10^9)</f>
        <v>51.24888424485485</v>
      </c>
      <c r="O39" s="4" cm="1">
        <f t="array" ref="O39:O42">907185*O34:O37*10^6/(O17*10^9)</f>
        <v>49.575570531672099</v>
      </c>
      <c r="P39" s="4" cm="1">
        <f t="array" ref="P39:P42">907185*P34:P37*10^6/(P17*10^9)</f>
        <v>39.16960538803869</v>
      </c>
      <c r="Q39" s="4" cm="1">
        <f t="array" ref="Q39:Q42">907185*Q34:Q37*10^6/(Q17*10^9)</f>
        <v>26.865267331827649</v>
      </c>
      <c r="R39" s="4" cm="1">
        <f t="array" ref="R39:R42">907185*R34:R37*10^6/(R17*10^9)</f>
        <v>26.476123416310308</v>
      </c>
      <c r="S39" s="4" cm="1">
        <f t="array" ref="S39:S42">907185*S34:S37*10^6/(S17*10^9)</f>
        <v>27.283591115565351</v>
      </c>
      <c r="T39" s="4" cm="1">
        <f t="array" ref="T39:T42">907185*T34:T37*10^6/(T17*10^9)</f>
        <v>28.343543411297222</v>
      </c>
      <c r="U39" s="4" cm="1">
        <f t="array" ref="U39:U42">907185*U34:U37*10^6/(U17*10^9)</f>
        <v>29.398918749539199</v>
      </c>
      <c r="V39" s="4" cm="1">
        <f t="array" ref="V39:V42">907185*V34:V37*10^6/(V17*10^9)</f>
        <v>29.879447970861758</v>
      </c>
      <c r="W39" s="4" cm="1">
        <f t="array" ref="W39:W42">907185*W34:W37*10^6/(W17*10^9)</f>
        <v>30.486395828281431</v>
      </c>
      <c r="X39" s="4" cm="1">
        <f t="array" ref="X39:X42">907185*X34:X37*10^6/(X17*10^9)</f>
        <v>29.85673882052723</v>
      </c>
      <c r="Y39" s="4" cm="1">
        <f t="array" ref="Y39:Y42">907185*Y34:Y37*10^6/(Y17*10^9)</f>
        <v>29.299233672125112</v>
      </c>
      <c r="Z39" s="4" cm="1">
        <f t="array" ref="Z39:Z42">907185*Z34:Z37*10^6/(Z17*10^9)</f>
        <v>29.773135092328982</v>
      </c>
      <c r="AA39" s="4" cm="1">
        <f t="array" ref="AA39:AA42">907185*AA34:AA37*10^6/(AA17*10^9)</f>
        <v>30.217395953511833</v>
      </c>
      <c r="AB39" s="4" cm="1">
        <f t="array" ref="AB39:AB42">907185*AB34:AB37*10^6/(AB17*10^9)</f>
        <v>30.328998848310842</v>
      </c>
      <c r="AC39" s="4" cm="1">
        <f t="array" ref="AC39:AC42">907185*AC34:AC37*10^6/(AC17*10^9)</f>
        <v>30.728631882518339</v>
      </c>
      <c r="AD39" s="4" cm="1">
        <f t="array" ref="AD39:AD42">907185*AD34:AD37*10^6/(AD17*10^9)</f>
        <v>30.39545902325462</v>
      </c>
      <c r="AE39" s="6" cm="1">
        <f t="array" ref="AE39:AE43">(AD39:AD43-D39:D43)/D39:D43</f>
        <v>-0.62559501343891122</v>
      </c>
    </row>
    <row r="40" spans="1:31" x14ac:dyDescent="0.25">
      <c r="A40" t="s">
        <v>64</v>
      </c>
      <c r="B40" t="s">
        <v>66</v>
      </c>
      <c r="C40" t="s">
        <v>70</v>
      </c>
      <c r="D40" s="4">
        <v>297.67254523569238</v>
      </c>
      <c r="E40" s="4">
        <v>261.03369970934421</v>
      </c>
      <c r="F40" s="4">
        <v>213.27555404152343</v>
      </c>
      <c r="G40" s="4">
        <v>195.89702114310501</v>
      </c>
      <c r="H40" s="4">
        <v>199.37615922135362</v>
      </c>
      <c r="I40" s="4">
        <v>204.0398303386784</v>
      </c>
      <c r="J40" s="4">
        <v>202.79137256886315</v>
      </c>
      <c r="K40" s="4">
        <v>206.51857683643485</v>
      </c>
      <c r="L40" s="4">
        <v>188.62974880337958</v>
      </c>
      <c r="M40" s="4">
        <v>192.310112301083</v>
      </c>
      <c r="N40" s="4">
        <v>187.91255080521697</v>
      </c>
      <c r="O40" s="4">
        <v>181.77714247323709</v>
      </c>
      <c r="P40" s="4">
        <v>143.62210305143805</v>
      </c>
      <c r="Q40" s="4">
        <v>98.506033298898274</v>
      </c>
      <c r="R40" s="4">
        <v>97.079172973213318</v>
      </c>
      <c r="S40" s="4">
        <v>100.03985825456419</v>
      </c>
      <c r="T40" s="4">
        <v>103.92633523468011</v>
      </c>
      <c r="U40" s="4">
        <v>107.79614226747708</v>
      </c>
      <c r="V40" s="4">
        <v>109.55800308808315</v>
      </c>
      <c r="W40" s="4">
        <v>111.78339880310688</v>
      </c>
      <c r="X40" s="4">
        <v>109.4745755912361</v>
      </c>
      <c r="Y40" s="4">
        <v>107.43052449574175</v>
      </c>
      <c r="Z40" s="4">
        <v>109.16812019593723</v>
      </c>
      <c r="AA40" s="4">
        <v>110.79715977642809</v>
      </c>
      <c r="AB40" s="4">
        <v>111.20631755077544</v>
      </c>
      <c r="AC40" s="4">
        <v>112.67158568457137</v>
      </c>
      <c r="AD40" s="4">
        <v>111.44997940918886</v>
      </c>
      <c r="AE40" s="6">
        <v>-0.62559536916330472</v>
      </c>
    </row>
    <row r="41" spans="1:31" x14ac:dyDescent="0.25">
      <c r="A41" t="s">
        <v>64</v>
      </c>
      <c r="B41" t="s">
        <v>67</v>
      </c>
      <c r="C41" t="s">
        <v>70</v>
      </c>
      <c r="D41" s="4">
        <v>3.1774871708218404E-2</v>
      </c>
      <c r="E41" s="4">
        <v>2.5930337326798839E-2</v>
      </c>
      <c r="F41" s="4">
        <v>1.9840913355794569E-2</v>
      </c>
      <c r="G41" s="4">
        <v>1.5614455011654271E-2</v>
      </c>
      <c r="H41" s="4">
        <v>1.4815964406505169E-2</v>
      </c>
      <c r="I41" s="4">
        <v>1.6160779362982443E-2</v>
      </c>
      <c r="J41" s="4">
        <v>1.3143167610373941E-2</v>
      </c>
      <c r="K41" s="4">
        <v>1.3099937141651054E-2</v>
      </c>
      <c r="L41" s="4">
        <v>8.833481123519718E-5</v>
      </c>
      <c r="M41" s="4">
        <v>1.0215925946959056E-4</v>
      </c>
      <c r="N41" s="4">
        <v>1.0770274114431686E-4</v>
      </c>
      <c r="O41" s="4">
        <v>1.2235275074697779E-4</v>
      </c>
      <c r="P41" s="4">
        <v>1.4680617868019429E-4</v>
      </c>
      <c r="Q41" s="4">
        <v>2.5024464242243171E-4</v>
      </c>
      <c r="R41" s="4">
        <v>3.4327707782160237E-4</v>
      </c>
      <c r="S41" s="4">
        <v>9.1711408677014393E-4</v>
      </c>
      <c r="T41" s="4">
        <v>9.4153587381294005E-4</v>
      </c>
      <c r="U41" s="4">
        <v>9.7802747482114379E-4</v>
      </c>
      <c r="V41" s="4">
        <v>1.0165462369392669E-3</v>
      </c>
      <c r="W41" s="4">
        <v>1.0354156951692113E-3</v>
      </c>
      <c r="X41" s="4">
        <v>1.0422250532105954E-3</v>
      </c>
      <c r="Y41" s="4">
        <v>1.0472678670108936E-3</v>
      </c>
      <c r="Z41" s="4">
        <v>1.0569587161897999E-3</v>
      </c>
      <c r="AA41" s="4">
        <v>1.0571763146837616E-3</v>
      </c>
      <c r="AB41" s="4">
        <v>1.0720363100309058E-3</v>
      </c>
      <c r="AC41" s="4">
        <v>1.051053322125136E-3</v>
      </c>
      <c r="AD41" s="4">
        <v>1.0474637365493122E-3</v>
      </c>
      <c r="AE41" s="6">
        <v>-0.96703483978887661</v>
      </c>
    </row>
    <row r="42" spans="1:31" x14ac:dyDescent="0.25">
      <c r="A42" t="s">
        <v>64</v>
      </c>
      <c r="B42" t="s">
        <v>68</v>
      </c>
      <c r="C42" t="s">
        <v>70</v>
      </c>
      <c r="D42" s="4">
        <v>0.10968515629205562</v>
      </c>
      <c r="E42" s="4">
        <v>9.7708882054122426E-2</v>
      </c>
      <c r="F42" s="4">
        <v>7.5271826877626236E-2</v>
      </c>
      <c r="G42" s="4">
        <v>7.2137396737688264E-2</v>
      </c>
      <c r="H42" s="4">
        <v>7.7337318424486698E-2</v>
      </c>
      <c r="I42" s="4">
        <v>7.6319784879441271E-2</v>
      </c>
      <c r="J42" s="4">
        <v>8.7018268267689047E-2</v>
      </c>
      <c r="K42" s="4">
        <v>9.2361192692841612E-2</v>
      </c>
      <c r="L42" s="4">
        <v>8.6556593078592994E-2</v>
      </c>
      <c r="M42" s="4">
        <v>8.6178902715152939E-2</v>
      </c>
      <c r="N42" s="4">
        <v>8.1352708440215887E-2</v>
      </c>
      <c r="O42" s="4">
        <v>7.694161861525993E-2</v>
      </c>
      <c r="P42" s="4">
        <v>6.4605460534798681E-2</v>
      </c>
      <c r="Q42" s="4">
        <v>5.0594916795226201E-2</v>
      </c>
      <c r="R42" s="4">
        <v>5.22296073905568E-2</v>
      </c>
      <c r="S42" s="4">
        <v>5.2385084592295371E-2</v>
      </c>
      <c r="T42" s="4">
        <v>5.3553168090272281E-2</v>
      </c>
      <c r="U42" s="4">
        <v>5.2016996382418856E-2</v>
      </c>
      <c r="V42" s="4">
        <v>5.1370666416627513E-2</v>
      </c>
      <c r="W42" s="4">
        <v>5.1184580180272457E-2</v>
      </c>
      <c r="X42" s="4">
        <v>4.9902802886633228E-2</v>
      </c>
      <c r="Y42" s="4">
        <v>4.8675525411173981E-2</v>
      </c>
      <c r="Z42" s="4">
        <v>4.8991795543911872E-2</v>
      </c>
      <c r="AA42" s="4">
        <v>4.72678632813891E-2</v>
      </c>
      <c r="AB42" s="4">
        <v>4.645490676800592E-2</v>
      </c>
      <c r="AC42" s="4">
        <v>4.788870938149617E-2</v>
      </c>
      <c r="AD42" s="4">
        <v>4.6888976413231136E-2</v>
      </c>
      <c r="AE42" s="6">
        <v>-0.57251301818469258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3.7675643200018335E-7</v>
      </c>
      <c r="E43" s="5">
        <f>907185*E38/(E17*10^9)</f>
        <v>3.2022258034854843E-7</v>
      </c>
      <c r="F43" s="5">
        <f>907185*F38/(F17*10^9)</f>
        <v>2.1559935382056304E-7</v>
      </c>
      <c r="G43" s="5">
        <f>907185*G38/(G17*10^9)</f>
        <v>1.9934101086251006E-7</v>
      </c>
      <c r="H43" s="5">
        <f>907185*H38/(H17*10^9)</f>
        <v>2.0872569393686864E-7</v>
      </c>
      <c r="I43" s="5">
        <f>907185*I38/(I17*10^9)</f>
        <v>2.2344060128522517E-7</v>
      </c>
      <c r="J43" s="5">
        <f>907185*J38/(J17*10^9)</f>
        <v>1.9323328669545854E-7</v>
      </c>
      <c r="K43" s="5">
        <f>907185*K38/(K17*10^9)</f>
        <v>1.6776585173153181E-7</v>
      </c>
      <c r="L43" s="5">
        <f>907185*L38/(L17*10^9)</f>
        <v>1.9203219833738514E-12</v>
      </c>
      <c r="M43" s="5">
        <f>907185*M38/(M17*10^9)</f>
        <v>1.8918381383257507E-12</v>
      </c>
      <c r="N43" s="5">
        <f>907185*N38/(N17*10^9)</f>
        <v>1.8569438128330494E-12</v>
      </c>
      <c r="O43" s="5">
        <f>907185*O38/(O17*10^9)</f>
        <v>1.8261604589101163E-12</v>
      </c>
      <c r="P43" s="5">
        <f>907185*P38/(P17*10^9)</f>
        <v>1.7903192521974913E-12</v>
      </c>
      <c r="Q43" s="5">
        <f>907185*Q38/(Q17*10^9)</f>
        <v>1.0499775206535598E-11</v>
      </c>
      <c r="R43" s="5">
        <f>907185*R38/(R17*10^9)</f>
        <v>6.8655415564320469E-12</v>
      </c>
      <c r="S43" s="5">
        <f>907185*S38/(S17*10^9)</f>
        <v>2.0230457796400233E-11</v>
      </c>
      <c r="T43" s="5">
        <f>907185*T38/(T17*10^9)</f>
        <v>2.1549236548535596E-11</v>
      </c>
      <c r="U43" s="5">
        <f>907185*U38/(U17*10^9)</f>
        <v>2.1261466843937908E-11</v>
      </c>
      <c r="V43" s="5">
        <f>907185*V38/(V17*10^9)</f>
        <v>1.794864944836587E-11</v>
      </c>
      <c r="W43" s="5">
        <f>907185*W38/(W17*10^9)</f>
        <v>1.7522419456709728E-11</v>
      </c>
      <c r="X43" s="5">
        <f>907185*X38/(X17*10^9)</f>
        <v>1.569616043991861E-11</v>
      </c>
      <c r="Y43" s="5">
        <f>907185*Y38/(Y17*10^9)</f>
        <v>1.7016169183338006E-11</v>
      </c>
      <c r="Z43" s="5">
        <f>907185*Z38/(Z17*10^9)</f>
        <v>1.3766466636336032E-11</v>
      </c>
      <c r="AA43" s="5">
        <f>907185*AA38/(AA17*10^9)</f>
        <v>1.0571763146837616E-11</v>
      </c>
      <c r="AB43" s="5">
        <f>907185*AB38/(AB17*10^9)</f>
        <v>6.0311466105817486E-12</v>
      </c>
      <c r="AC43" s="5">
        <f>907185*AC38/(AC17*10^9)</f>
        <v>5.9130988586505531E-12</v>
      </c>
      <c r="AD43" s="5">
        <f>907185*AD38/(AD17*10^9)</f>
        <v>4.3826934583653229E-12</v>
      </c>
      <c r="AE43" s="6">
        <v>-0.9999883673028882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37.991688000000003</v>
      </c>
      <c r="E2">
        <v>35.045296</v>
      </c>
      <c r="F2">
        <v>21.014375999999999</v>
      </c>
      <c r="G2">
        <v>18.112652000000001</v>
      </c>
      <c r="H2">
        <v>14.711933</v>
      </c>
      <c r="I2">
        <v>17.804584999999999</v>
      </c>
      <c r="J2">
        <v>13.792980999999999</v>
      </c>
      <c r="K2">
        <v>14.180118999999999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0.154608</v>
      </c>
      <c r="E3">
        <v>0.14214599999999999</v>
      </c>
      <c r="F3">
        <v>8.4736000000000006E-2</v>
      </c>
      <c r="G3">
        <v>7.3067999999999994E-2</v>
      </c>
      <c r="H3">
        <v>5.9410999999999999E-2</v>
      </c>
      <c r="I3">
        <v>7.1831000000000006E-2</v>
      </c>
      <c r="J3">
        <v>5.5605000000000002E-2</v>
      </c>
      <c r="K3">
        <v>5.7292000000000003E-2</v>
      </c>
      <c r="L3">
        <v>3.2699999999999998E-4</v>
      </c>
      <c r="M3">
        <v>3.2699999999999998E-4</v>
      </c>
      <c r="N3">
        <v>2.2039999999999998E-3</v>
      </c>
      <c r="O3">
        <v>2.1919999999999999E-3</v>
      </c>
      <c r="P3">
        <v>2.1710000000000002E-3</v>
      </c>
      <c r="Q3">
        <v>3.7500000000000001E-4</v>
      </c>
      <c r="R3">
        <v>3.1399999999999999E-4</v>
      </c>
      <c r="S3">
        <v>3.1399999999999999E-4</v>
      </c>
      <c r="T3">
        <v>3.1399999999999999E-4</v>
      </c>
      <c r="U3">
        <v>3.1399999999999999E-4</v>
      </c>
      <c r="V3">
        <v>7.8999999999999996E-5</v>
      </c>
      <c r="W3">
        <v>5.5000000000000002E-5</v>
      </c>
      <c r="X3">
        <v>3.1399999999999999E-4</v>
      </c>
      <c r="Y3">
        <v>0</v>
      </c>
      <c r="Z3">
        <v>3.1399999999999999E-4</v>
      </c>
      <c r="AA3">
        <v>0</v>
      </c>
      <c r="AB3">
        <v>0</v>
      </c>
      <c r="AC3">
        <v>0</v>
      </c>
      <c r="AD3">
        <v>0</v>
      </c>
      <c r="AE3" s="6">
        <v>-1</v>
      </c>
    </row>
    <row r="4" spans="1:31" x14ac:dyDescent="0.25">
      <c r="A4" t="s">
        <v>28</v>
      </c>
      <c r="B4" t="s">
        <v>32</v>
      </c>
      <c r="C4" t="s">
        <v>30</v>
      </c>
      <c r="D4">
        <v>57.286850000000001</v>
      </c>
      <c r="E4">
        <v>49.682727999999997</v>
      </c>
      <c r="F4">
        <v>52.584023000000002</v>
      </c>
      <c r="G4">
        <v>55.719093000000001</v>
      </c>
      <c r="H4">
        <v>62.641551999999997</v>
      </c>
      <c r="I4">
        <v>61.486503999999996</v>
      </c>
      <c r="J4">
        <v>66.744118</v>
      </c>
      <c r="K4">
        <v>69.551254</v>
      </c>
      <c r="L4">
        <v>84.551192999999998</v>
      </c>
      <c r="M4">
        <v>82.906418000000002</v>
      </c>
      <c r="N4">
        <v>78.830765</v>
      </c>
      <c r="O4">
        <v>75.513428000000005</v>
      </c>
      <c r="P4">
        <v>80.952629000000002</v>
      </c>
      <c r="Q4">
        <v>80.941513</v>
      </c>
      <c r="R4">
        <v>72.355225000000004</v>
      </c>
      <c r="S4">
        <v>62.395164000000001</v>
      </c>
      <c r="T4">
        <v>67.136657999999997</v>
      </c>
      <c r="U4">
        <v>62.739189000000003</v>
      </c>
      <c r="V4">
        <v>67.604850999999996</v>
      </c>
      <c r="W4">
        <v>71.079871999999995</v>
      </c>
      <c r="X4">
        <v>74.176147</v>
      </c>
      <c r="Y4">
        <v>79.186035000000004</v>
      </c>
      <c r="Z4">
        <v>75.206322</v>
      </c>
      <c r="AA4">
        <v>80.923676</v>
      </c>
      <c r="AB4">
        <v>84.527771000000001</v>
      </c>
      <c r="AC4">
        <v>87.670485999999997</v>
      </c>
      <c r="AD4">
        <v>94.578559999999996</v>
      </c>
      <c r="AE4" s="6">
        <v>0.65096457563995913</v>
      </c>
    </row>
    <row r="5" spans="1:31" x14ac:dyDescent="0.25">
      <c r="A5" t="s">
        <v>28</v>
      </c>
      <c r="B5" t="s">
        <v>33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6" t="e">
        <v>#DIV/0!</v>
      </c>
    </row>
    <row r="6" spans="1:31" x14ac:dyDescent="0.25">
      <c r="A6" t="s">
        <v>28</v>
      </c>
      <c r="B6" t="s">
        <v>34</v>
      </c>
      <c r="C6" t="s">
        <v>30</v>
      </c>
      <c r="D6">
        <v>-3.4797000000000002E-2</v>
      </c>
      <c r="E6">
        <v>-0.135573</v>
      </c>
      <c r="F6">
        <v>-0.160354</v>
      </c>
      <c r="G6">
        <v>-0.14350499999999999</v>
      </c>
      <c r="H6">
        <v>-0.14980099999999999</v>
      </c>
      <c r="I6">
        <v>-0.13835</v>
      </c>
      <c r="J6">
        <v>-0.1447</v>
      </c>
      <c r="K6">
        <v>-0.184198</v>
      </c>
      <c r="L6">
        <v>-0.189252</v>
      </c>
      <c r="M6">
        <v>-0.17355000000000001</v>
      </c>
      <c r="N6">
        <v>-0.14880399999999999</v>
      </c>
      <c r="O6">
        <v>-0.20058699999999999</v>
      </c>
      <c r="P6">
        <v>-0.18382000000000001</v>
      </c>
      <c r="Q6">
        <v>-0.18753500000000001</v>
      </c>
      <c r="R6">
        <v>-0.17519799999999999</v>
      </c>
      <c r="S6">
        <v>-0.19467000000000001</v>
      </c>
      <c r="T6">
        <v>-0.19051499999999999</v>
      </c>
      <c r="U6">
        <v>-0.18967400000000001</v>
      </c>
      <c r="V6">
        <v>-0.23041700000000001</v>
      </c>
      <c r="W6">
        <v>-0.23808299999999999</v>
      </c>
      <c r="X6">
        <v>-0.21266599999999999</v>
      </c>
      <c r="Y6">
        <v>-0.21426600000000001</v>
      </c>
      <c r="Z6">
        <v>-0.28727000000000003</v>
      </c>
      <c r="AA6">
        <v>-0.25318499999999999</v>
      </c>
      <c r="AB6">
        <v>-0.27525100000000002</v>
      </c>
      <c r="AC6">
        <v>-0.277283</v>
      </c>
      <c r="AD6">
        <v>-0.29716999999999999</v>
      </c>
      <c r="AE6" s="6">
        <v>7.5401040319567763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8.0118030000000005</v>
      </c>
      <c r="E8">
        <v>8.6929700000000008</v>
      </c>
      <c r="F8">
        <v>9.0281219999999998</v>
      </c>
      <c r="G8">
        <v>9.357526</v>
      </c>
      <c r="H8">
        <v>9.3613020000000002</v>
      </c>
      <c r="I8">
        <v>9.3625179999999997</v>
      </c>
      <c r="J8">
        <v>9.3624609999999997</v>
      </c>
      <c r="K8">
        <v>9.3718509999999995</v>
      </c>
      <c r="L8">
        <v>9.3756760000000003</v>
      </c>
      <c r="M8">
        <v>9.3570440000000001</v>
      </c>
      <c r="N8">
        <v>9.359826</v>
      </c>
      <c r="O8">
        <v>9.357704</v>
      </c>
      <c r="P8">
        <v>9.3626419999999992</v>
      </c>
      <c r="Q8">
        <v>9.363823</v>
      </c>
      <c r="R8">
        <v>9.3482090000000007</v>
      </c>
      <c r="S8">
        <v>9.2014759999999995</v>
      </c>
      <c r="T8">
        <v>9.2026719999999997</v>
      </c>
      <c r="U8">
        <v>8.0446240000000007</v>
      </c>
      <c r="V8">
        <v>6.782165</v>
      </c>
      <c r="W8">
        <v>7.1252570000000004</v>
      </c>
      <c r="X8">
        <v>7.499269</v>
      </c>
      <c r="Y8">
        <v>7.1755469999999999</v>
      </c>
      <c r="Z8">
        <v>7.9560000000000004</v>
      </c>
      <c r="AA8">
        <v>7.8879590000000004</v>
      </c>
      <c r="AB8">
        <v>7.9215030000000004</v>
      </c>
      <c r="AC8">
        <v>7.9009390000000002</v>
      </c>
      <c r="AD8">
        <v>6.7280680000000004</v>
      </c>
      <c r="AE8" s="6">
        <v>-0.16023047496300147</v>
      </c>
    </row>
    <row r="9" spans="1:31" x14ac:dyDescent="0.25">
      <c r="A9" t="s">
        <v>28</v>
      </c>
      <c r="B9" t="s">
        <v>37</v>
      </c>
      <c r="C9" t="s">
        <v>30</v>
      </c>
      <c r="D9">
        <v>3.9760360000000001</v>
      </c>
      <c r="E9">
        <v>3.9159310000000001</v>
      </c>
      <c r="F9">
        <v>4.2339159999999998</v>
      </c>
      <c r="G9">
        <v>4.385624</v>
      </c>
      <c r="H9">
        <v>4.385624</v>
      </c>
      <c r="I9">
        <v>4.385624</v>
      </c>
      <c r="J9">
        <v>4.4672749999999999</v>
      </c>
      <c r="K9">
        <v>4.5581529999999999</v>
      </c>
      <c r="L9">
        <v>4.8401579999999997</v>
      </c>
      <c r="M9">
        <v>4.9321539999999997</v>
      </c>
      <c r="N9">
        <v>4.9321539999999997</v>
      </c>
      <c r="O9">
        <v>5.0239940000000001</v>
      </c>
      <c r="P9">
        <v>5.1159679999999996</v>
      </c>
      <c r="Q9">
        <v>5.2081790000000003</v>
      </c>
      <c r="R9">
        <v>5.4935980000000004</v>
      </c>
      <c r="S9">
        <v>5.7504799999999996</v>
      </c>
      <c r="T9">
        <v>5.9449379999999996</v>
      </c>
      <c r="U9">
        <v>6.101032</v>
      </c>
      <c r="V9">
        <v>6.101032</v>
      </c>
      <c r="W9">
        <v>6.101032</v>
      </c>
      <c r="X9">
        <v>6.101032</v>
      </c>
      <c r="Y9">
        <v>6.101032</v>
      </c>
      <c r="Z9">
        <v>6.101032</v>
      </c>
      <c r="AA9">
        <v>6.101032</v>
      </c>
      <c r="AB9">
        <v>6.2967529999999998</v>
      </c>
      <c r="AC9">
        <v>6.4931020000000004</v>
      </c>
      <c r="AD9">
        <v>6.6190689999999996</v>
      </c>
      <c r="AE9" s="6">
        <v>0.66474071160321468</v>
      </c>
    </row>
    <row r="10" spans="1:31" x14ac:dyDescent="0.25">
      <c r="A10" t="s">
        <v>28</v>
      </c>
      <c r="B10" t="s">
        <v>38</v>
      </c>
      <c r="C10" t="s">
        <v>30</v>
      </c>
      <c r="D10">
        <v>0.13286899999999999</v>
      </c>
      <c r="E10">
        <v>0.14416200000000001</v>
      </c>
      <c r="F10">
        <v>0.15656500000000001</v>
      </c>
      <c r="G10">
        <v>0.16844000000000001</v>
      </c>
      <c r="H10">
        <v>0.18195700000000001</v>
      </c>
      <c r="I10">
        <v>0.192443</v>
      </c>
      <c r="J10">
        <v>0.20206199999999999</v>
      </c>
      <c r="K10">
        <v>0.212425</v>
      </c>
      <c r="L10">
        <v>0.22333700000000001</v>
      </c>
      <c r="M10">
        <v>0.23469699999999999</v>
      </c>
      <c r="N10">
        <v>0.244059</v>
      </c>
      <c r="O10">
        <v>0.25340400000000002</v>
      </c>
      <c r="P10">
        <v>0.26305099999999998</v>
      </c>
      <c r="Q10">
        <v>0.27337600000000001</v>
      </c>
      <c r="R10">
        <v>0.28406300000000001</v>
      </c>
      <c r="S10">
        <v>0.29159499999999999</v>
      </c>
      <c r="T10">
        <v>0.29944599999999999</v>
      </c>
      <c r="U10">
        <v>0.30749100000000001</v>
      </c>
      <c r="V10">
        <v>0.31593599999999999</v>
      </c>
      <c r="W10">
        <v>0.32458900000000002</v>
      </c>
      <c r="X10">
        <v>0.32906099999999999</v>
      </c>
      <c r="Y10">
        <v>0.333455</v>
      </c>
      <c r="Z10">
        <v>0.33789200000000003</v>
      </c>
      <c r="AA10">
        <v>0.34246799999999999</v>
      </c>
      <c r="AB10">
        <v>0.34702499999999997</v>
      </c>
      <c r="AC10">
        <v>0.34702499999999997</v>
      </c>
      <c r="AD10">
        <v>0.34702499999999997</v>
      </c>
      <c r="AE10" s="6">
        <v>1.6117830344173585</v>
      </c>
    </row>
    <row r="11" spans="1:31" x14ac:dyDescent="0.25">
      <c r="A11" t="s">
        <v>28</v>
      </c>
      <c r="B11" t="s">
        <v>39</v>
      </c>
      <c r="C11" t="s">
        <v>30</v>
      </c>
      <c r="D11">
        <v>4.0017999999999998E-2</v>
      </c>
      <c r="E11">
        <v>4.7722000000000001E-2</v>
      </c>
      <c r="F11">
        <v>4.6491999999999999E-2</v>
      </c>
      <c r="G11">
        <v>4.6491999999999999E-2</v>
      </c>
      <c r="H11">
        <v>4.6491999999999999E-2</v>
      </c>
      <c r="I11">
        <v>4.6491999999999999E-2</v>
      </c>
      <c r="J11">
        <v>4.6491999999999999E-2</v>
      </c>
      <c r="K11">
        <v>4.7814000000000002E-2</v>
      </c>
      <c r="L11">
        <v>4.7814000000000002E-2</v>
      </c>
      <c r="M11">
        <v>4.7814000000000002E-2</v>
      </c>
      <c r="N11">
        <v>4.9012E-2</v>
      </c>
      <c r="O11">
        <v>4.9022000000000003E-2</v>
      </c>
      <c r="P11">
        <v>4.9769000000000001E-2</v>
      </c>
      <c r="Q11">
        <v>4.9769000000000001E-2</v>
      </c>
      <c r="R11">
        <v>4.9769000000000001E-2</v>
      </c>
      <c r="S11">
        <v>4.7722000000000001E-2</v>
      </c>
      <c r="T11">
        <v>4.9676999999999999E-2</v>
      </c>
      <c r="U11">
        <v>4.9676999999999999E-2</v>
      </c>
      <c r="V11">
        <v>4.9676999999999999E-2</v>
      </c>
      <c r="W11">
        <v>4.9676999999999999E-2</v>
      </c>
      <c r="X11">
        <v>4.9676999999999999E-2</v>
      </c>
      <c r="Y11">
        <v>4.9769000000000001E-2</v>
      </c>
      <c r="Z11">
        <v>4.9676999999999999E-2</v>
      </c>
      <c r="AA11">
        <v>4.9676999999999999E-2</v>
      </c>
      <c r="AB11">
        <v>4.9676999999999999E-2</v>
      </c>
      <c r="AC11">
        <v>4.9676999999999999E-2</v>
      </c>
      <c r="AD11">
        <v>4.9676999999999999E-2</v>
      </c>
      <c r="AE11" s="6">
        <v>0.24136638512669303</v>
      </c>
    </row>
    <row r="12" spans="1:31" x14ac:dyDescent="0.25">
      <c r="A12" t="s">
        <v>28</v>
      </c>
      <c r="B12" t="s">
        <v>40</v>
      </c>
      <c r="C12" t="s">
        <v>30</v>
      </c>
      <c r="D12">
        <v>0.16595099999999999</v>
      </c>
      <c r="E12">
        <v>0.163826</v>
      </c>
      <c r="F12">
        <v>0.18274899999999999</v>
      </c>
      <c r="G12">
        <v>0.18285999999999999</v>
      </c>
      <c r="H12">
        <v>0.182756</v>
      </c>
      <c r="I12">
        <v>0.18273600000000001</v>
      </c>
      <c r="J12">
        <v>0.182342</v>
      </c>
      <c r="K12">
        <v>0.18208199999999999</v>
      </c>
      <c r="L12">
        <v>0.18171899999999999</v>
      </c>
      <c r="M12">
        <v>0.18251100000000001</v>
      </c>
      <c r="N12">
        <v>0.18279200000000001</v>
      </c>
      <c r="O12">
        <v>0.18260899999999999</v>
      </c>
      <c r="P12">
        <v>0.18274399999999999</v>
      </c>
      <c r="Q12">
        <v>0.18274399999999999</v>
      </c>
      <c r="R12">
        <v>0.18285100000000001</v>
      </c>
      <c r="S12">
        <v>0.18238199999999999</v>
      </c>
      <c r="T12">
        <v>0.18271000000000001</v>
      </c>
      <c r="U12">
        <v>0.182645</v>
      </c>
      <c r="V12">
        <v>0.18263599999999999</v>
      </c>
      <c r="W12">
        <v>0.18289</v>
      </c>
      <c r="X12">
        <v>0.182895</v>
      </c>
      <c r="Y12">
        <v>0.18282999999999999</v>
      </c>
      <c r="Z12">
        <v>0.18282000000000001</v>
      </c>
      <c r="AA12">
        <v>0.18288499999999999</v>
      </c>
      <c r="AB12">
        <v>0.18288499999999999</v>
      </c>
      <c r="AC12">
        <v>0.182836</v>
      </c>
      <c r="AD12">
        <v>0.182754</v>
      </c>
      <c r="AE12" s="6">
        <v>0.10125277943489351</v>
      </c>
    </row>
    <row r="13" spans="1:31" x14ac:dyDescent="0.25">
      <c r="A13" t="s">
        <v>28</v>
      </c>
      <c r="B13" t="s">
        <v>41</v>
      </c>
      <c r="C13" t="s">
        <v>30</v>
      </c>
      <c r="D13">
        <v>13.973331999999999</v>
      </c>
      <c r="E13">
        <v>16.474755999999999</v>
      </c>
      <c r="F13">
        <v>21.761845000000001</v>
      </c>
      <c r="G13">
        <v>22.234870999999998</v>
      </c>
      <c r="H13">
        <v>22.199987</v>
      </c>
      <c r="I13">
        <v>22.241824999999999</v>
      </c>
      <c r="J13">
        <v>22.177517000000002</v>
      </c>
      <c r="K13">
        <v>22.099730999999998</v>
      </c>
      <c r="L13">
        <v>22.041664000000001</v>
      </c>
      <c r="M13">
        <v>22.200109000000001</v>
      </c>
      <c r="N13">
        <v>22.212057000000001</v>
      </c>
      <c r="O13">
        <v>22.193557999999999</v>
      </c>
      <c r="P13">
        <v>22.160188999999999</v>
      </c>
      <c r="Q13">
        <v>22.152474999999999</v>
      </c>
      <c r="R13">
        <v>22.213443999999999</v>
      </c>
      <c r="S13">
        <v>20.460106</v>
      </c>
      <c r="T13">
        <v>21.288841000000001</v>
      </c>
      <c r="U13">
        <v>17.763415999999999</v>
      </c>
      <c r="V13">
        <v>18.474088999999999</v>
      </c>
      <c r="W13">
        <v>17.484549999999999</v>
      </c>
      <c r="X13">
        <v>18.575047999999999</v>
      </c>
      <c r="Y13">
        <v>18.495667999999998</v>
      </c>
      <c r="Z13">
        <v>17.045532000000001</v>
      </c>
      <c r="AA13">
        <v>17.230530000000002</v>
      </c>
      <c r="AB13">
        <v>17.515122999999999</v>
      </c>
      <c r="AC13">
        <v>16.461421999999999</v>
      </c>
      <c r="AD13">
        <v>18.416188999999999</v>
      </c>
      <c r="AE13" s="6">
        <v>0.31795258281990296</v>
      </c>
    </row>
    <row r="14" spans="1:31" x14ac:dyDescent="0.25">
      <c r="A14" t="s">
        <v>28</v>
      </c>
      <c r="B14" t="s">
        <v>42</v>
      </c>
      <c r="C14" t="s">
        <v>30</v>
      </c>
      <c r="D14">
        <v>13.480618</v>
      </c>
      <c r="E14">
        <v>16.553363999999998</v>
      </c>
      <c r="F14">
        <v>18.530441</v>
      </c>
      <c r="G14">
        <v>20.137974</v>
      </c>
      <c r="H14">
        <v>20.098994999999999</v>
      </c>
      <c r="I14">
        <v>21.968447000000001</v>
      </c>
      <c r="J14">
        <v>28.129189</v>
      </c>
      <c r="K14">
        <v>31.600429999999999</v>
      </c>
      <c r="L14">
        <v>33.588408999999999</v>
      </c>
      <c r="M14">
        <v>34.196235999999999</v>
      </c>
      <c r="N14">
        <v>48.322673999999999</v>
      </c>
      <c r="O14">
        <v>68.998039000000006</v>
      </c>
      <c r="P14">
        <v>85.774033000000003</v>
      </c>
      <c r="Q14">
        <v>90.656563000000006</v>
      </c>
      <c r="R14">
        <v>90.602135000000004</v>
      </c>
      <c r="S14">
        <v>90.754302999999993</v>
      </c>
      <c r="T14">
        <v>92.096915999999993</v>
      </c>
      <c r="U14">
        <v>93.948982000000001</v>
      </c>
      <c r="V14">
        <v>97.513694999999998</v>
      </c>
      <c r="W14">
        <v>103.353767</v>
      </c>
      <c r="X14">
        <v>104.667725</v>
      </c>
      <c r="Y14">
        <v>104.883759</v>
      </c>
      <c r="Z14">
        <v>106.561134</v>
      </c>
      <c r="AA14">
        <v>108.95034800000001</v>
      </c>
      <c r="AB14">
        <v>111.314926</v>
      </c>
      <c r="AC14">
        <v>113.743011</v>
      </c>
      <c r="AD14">
        <v>116.11853000000001</v>
      </c>
      <c r="AE14" s="6">
        <v>7.6137393701089966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9" t="s">
        <v>44</v>
      </c>
      <c r="C16" t="s">
        <v>30</v>
      </c>
      <c r="D16">
        <v>0</v>
      </c>
      <c r="E16">
        <v>0</v>
      </c>
      <c r="F16">
        <v>1.048E-2</v>
      </c>
      <c r="G16">
        <v>2.2623999999999998E-2</v>
      </c>
      <c r="H16">
        <v>3.2653000000000001E-2</v>
      </c>
      <c r="I16">
        <v>6.8967000000000001E-2</v>
      </c>
      <c r="J16">
        <v>0.107858</v>
      </c>
      <c r="K16">
        <v>0.149365</v>
      </c>
      <c r="L16">
        <v>0.253108</v>
      </c>
      <c r="M16">
        <v>0.30747600000000003</v>
      </c>
      <c r="N16">
        <v>0.36740499999999998</v>
      </c>
      <c r="O16">
        <v>0.435946</v>
      </c>
      <c r="P16">
        <v>0.54818100000000003</v>
      </c>
      <c r="Q16">
        <v>0.61619599999999997</v>
      </c>
      <c r="R16">
        <v>0.63928600000000002</v>
      </c>
      <c r="S16">
        <v>0.72086499999999998</v>
      </c>
      <c r="T16">
        <v>0.77856899999999996</v>
      </c>
      <c r="U16">
        <v>0.83905399999999997</v>
      </c>
      <c r="V16">
        <v>0.89817599999999997</v>
      </c>
      <c r="W16">
        <v>0.95350599999999996</v>
      </c>
      <c r="X16">
        <v>1.0067140000000001</v>
      </c>
      <c r="Y16">
        <v>1.063304</v>
      </c>
      <c r="Z16">
        <v>1.117607</v>
      </c>
      <c r="AA16">
        <v>1.172582</v>
      </c>
      <c r="AB16">
        <v>1.2271069999999999</v>
      </c>
      <c r="AC16">
        <v>1.283774</v>
      </c>
      <c r="AD16">
        <v>1.343094</v>
      </c>
      <c r="AE16" s="6" t="e">
        <v>#DIV/0!</v>
      </c>
    </row>
    <row r="17" spans="1:31" x14ac:dyDescent="0.25">
      <c r="A17" t="s">
        <v>28</v>
      </c>
      <c r="B17" s="9" t="s">
        <v>45</v>
      </c>
      <c r="C17" t="s">
        <v>30</v>
      </c>
      <c r="D17">
        <v>135.17898600000001</v>
      </c>
      <c r="E17">
        <v>130.72732500000001</v>
      </c>
      <c r="F17">
        <v>127.473389</v>
      </c>
      <c r="G17">
        <v>130.297729</v>
      </c>
      <c r="H17">
        <v>133.752869</v>
      </c>
      <c r="I17">
        <v>137.67361500000001</v>
      </c>
      <c r="J17">
        <v>145.12321499999999</v>
      </c>
      <c r="K17">
        <v>151.826324</v>
      </c>
      <c r="L17">
        <v>154.914154</v>
      </c>
      <c r="M17">
        <v>154.191238</v>
      </c>
      <c r="N17">
        <v>164.354141</v>
      </c>
      <c r="O17">
        <v>181.80931100000001</v>
      </c>
      <c r="P17">
        <v>204.22756999999999</v>
      </c>
      <c r="Q17">
        <v>209.257462</v>
      </c>
      <c r="R17">
        <v>200.993683</v>
      </c>
      <c r="S17">
        <v>189.60974100000001</v>
      </c>
      <c r="T17">
        <v>196.790222</v>
      </c>
      <c r="U17">
        <v>189.786743</v>
      </c>
      <c r="V17">
        <v>197.69191000000001</v>
      </c>
      <c r="W17">
        <v>206.417114</v>
      </c>
      <c r="X17">
        <v>212.375214</v>
      </c>
      <c r="Y17">
        <v>217.25714099999999</v>
      </c>
      <c r="Z17">
        <v>214.27105700000001</v>
      </c>
      <c r="AA17">
        <v>222.58798200000001</v>
      </c>
      <c r="AB17">
        <v>229.107529</v>
      </c>
      <c r="AC17">
        <v>233.85498000000001</v>
      </c>
      <c r="AD17">
        <v>244.08578499999999</v>
      </c>
      <c r="AE17" s="6">
        <v>0.8056488824379846</v>
      </c>
    </row>
    <row r="18" spans="1:31" x14ac:dyDescent="0.25">
      <c r="A18" t="s">
        <v>74</v>
      </c>
      <c r="B18" t="s">
        <v>46</v>
      </c>
      <c r="C18" t="s">
        <v>47</v>
      </c>
      <c r="D18">
        <v>14.808529</v>
      </c>
      <c r="E18">
        <v>14.605605000000001</v>
      </c>
      <c r="F18">
        <v>14.596958000000001</v>
      </c>
      <c r="G18">
        <v>14.589931999999999</v>
      </c>
      <c r="H18">
        <v>14.592256000000001</v>
      </c>
      <c r="I18">
        <v>14.758221000000001</v>
      </c>
      <c r="J18">
        <v>14.707757000000001</v>
      </c>
      <c r="K18">
        <v>14.524706</v>
      </c>
      <c r="L18">
        <v>14.624333</v>
      </c>
      <c r="M18">
        <v>14.801458999999999</v>
      </c>
      <c r="N18">
        <v>14.677732000000001</v>
      </c>
      <c r="O18">
        <v>14.573021000000001</v>
      </c>
      <c r="P18">
        <v>14.325290000000001</v>
      </c>
      <c r="Q18">
        <v>13.905433</v>
      </c>
      <c r="R18">
        <v>14.07911</v>
      </c>
      <c r="S18">
        <v>14.357670000000001</v>
      </c>
      <c r="T18">
        <v>14.470164</v>
      </c>
      <c r="U18">
        <v>14.52467</v>
      </c>
      <c r="V18">
        <v>14.582813</v>
      </c>
      <c r="W18">
        <v>14.562423000000001</v>
      </c>
      <c r="X18">
        <v>14.472223</v>
      </c>
      <c r="Y18">
        <v>14.542009</v>
      </c>
      <c r="Z18">
        <v>14.851554999999999</v>
      </c>
      <c r="AA18">
        <v>15.161984</v>
      </c>
      <c r="AB18">
        <v>15.308757999999999</v>
      </c>
      <c r="AC18">
        <v>15.330768000000001</v>
      </c>
      <c r="AD18">
        <v>15.331557</v>
      </c>
      <c r="AE18" s="6" cm="1">
        <f t="array" ref="AE18:AE22">(AD18:AD22-D18:D22)/D18:D22</f>
        <v>3.5319375746233811E-2</v>
      </c>
    </row>
    <row r="19" spans="1:31" x14ac:dyDescent="0.25">
      <c r="A19" t="s">
        <v>74</v>
      </c>
      <c r="B19" t="s">
        <v>48</v>
      </c>
      <c r="C19" t="s">
        <v>47</v>
      </c>
      <c r="D19">
        <v>11.217383999999999</v>
      </c>
      <c r="E19">
        <v>10.979231</v>
      </c>
      <c r="F19">
        <v>10.991742</v>
      </c>
      <c r="G19">
        <v>10.968232</v>
      </c>
      <c r="H19">
        <v>10.983886</v>
      </c>
      <c r="I19">
        <v>11.084327999999999</v>
      </c>
      <c r="J19">
        <v>10.967596</v>
      </c>
      <c r="K19">
        <v>10.749898999999999</v>
      </c>
      <c r="L19">
        <v>10.831089</v>
      </c>
      <c r="M19">
        <v>10.898161</v>
      </c>
      <c r="N19">
        <v>10.677034000000001</v>
      </c>
      <c r="O19">
        <v>10.524918</v>
      </c>
      <c r="P19">
        <v>10.083378</v>
      </c>
      <c r="Q19">
        <v>9.7289449999999995</v>
      </c>
      <c r="R19">
        <v>9.9310700000000001</v>
      </c>
      <c r="S19">
        <v>10.134753999999999</v>
      </c>
      <c r="T19">
        <v>10.16841</v>
      </c>
      <c r="U19">
        <v>10.167730000000001</v>
      </c>
      <c r="V19">
        <v>10.162751999999999</v>
      </c>
      <c r="W19">
        <v>10.078503</v>
      </c>
      <c r="X19">
        <v>9.9418740000000003</v>
      </c>
      <c r="Y19">
        <v>9.9904410000000006</v>
      </c>
      <c r="Z19">
        <v>10.241467</v>
      </c>
      <c r="AA19">
        <v>10.454438</v>
      </c>
      <c r="AB19">
        <v>10.502412</v>
      </c>
      <c r="AC19">
        <v>10.450221000000001</v>
      </c>
      <c r="AD19">
        <v>10.383288</v>
      </c>
      <c r="AE19" s="6">
        <v>-7.4357443767637699E-2</v>
      </c>
    </row>
    <row r="20" spans="1:31" x14ac:dyDescent="0.25">
      <c r="A20" t="s">
        <v>74</v>
      </c>
      <c r="B20" t="s">
        <v>49</v>
      </c>
      <c r="C20" t="s">
        <v>47</v>
      </c>
      <c r="D20">
        <v>9.7007169999999991</v>
      </c>
      <c r="E20">
        <v>9.5289560000000009</v>
      </c>
      <c r="F20">
        <v>9.5128550000000001</v>
      </c>
      <c r="G20">
        <v>9.4713700000000003</v>
      </c>
      <c r="H20">
        <v>9.4971650000000007</v>
      </c>
      <c r="I20">
        <v>9.6127819999999993</v>
      </c>
      <c r="J20">
        <v>9.4786950000000001</v>
      </c>
      <c r="K20">
        <v>9.3020680000000002</v>
      </c>
      <c r="L20">
        <v>9.4902259999999998</v>
      </c>
      <c r="M20">
        <v>9.5540190000000003</v>
      </c>
      <c r="N20">
        <v>9.3310370000000002</v>
      </c>
      <c r="O20">
        <v>9.2276509999999998</v>
      </c>
      <c r="P20">
        <v>8.7083169999999992</v>
      </c>
      <c r="Q20">
        <v>8.4719809999999995</v>
      </c>
      <c r="R20">
        <v>8.7273080000000007</v>
      </c>
      <c r="S20">
        <v>8.9156840000000006</v>
      </c>
      <c r="T20">
        <v>8.9481140000000003</v>
      </c>
      <c r="U20">
        <v>8.9692790000000002</v>
      </c>
      <c r="V20">
        <v>8.9652980000000007</v>
      </c>
      <c r="W20">
        <v>8.8740330000000007</v>
      </c>
      <c r="X20">
        <v>8.7435910000000003</v>
      </c>
      <c r="Y20">
        <v>8.8268179999999994</v>
      </c>
      <c r="Z20">
        <v>9.0877859999999995</v>
      </c>
      <c r="AA20">
        <v>9.2839139999999993</v>
      </c>
      <c r="AB20">
        <v>9.3134490000000003</v>
      </c>
      <c r="AC20">
        <v>9.2587390000000003</v>
      </c>
      <c r="AD20">
        <v>9.1946530000000006</v>
      </c>
      <c r="AE20" s="6">
        <v>-5.2167690285161245E-2</v>
      </c>
    </row>
    <row r="21" spans="1:31" x14ac:dyDescent="0.25">
      <c r="A21" t="s">
        <v>74</v>
      </c>
      <c r="B21" t="s">
        <v>50</v>
      </c>
      <c r="C21" t="s">
        <v>47</v>
      </c>
      <c r="D21">
        <v>12.027994</v>
      </c>
      <c r="E21">
        <v>11.911839000000001</v>
      </c>
      <c r="F21">
        <v>11.835659</v>
      </c>
      <c r="G21">
        <v>11.784922999999999</v>
      </c>
      <c r="H21">
        <v>11.744316</v>
      </c>
      <c r="I21">
        <v>11.887527</v>
      </c>
      <c r="J21">
        <v>11.794781</v>
      </c>
      <c r="K21">
        <v>11.555467</v>
      </c>
      <c r="L21">
        <v>11.575680999999999</v>
      </c>
      <c r="M21">
        <v>11.692696</v>
      </c>
      <c r="N21">
        <v>11.516348000000001</v>
      </c>
      <c r="O21">
        <v>11.337344</v>
      </c>
      <c r="P21">
        <v>10.976831000000001</v>
      </c>
      <c r="Q21">
        <v>10.508233000000001</v>
      </c>
      <c r="R21">
        <v>10.675939</v>
      </c>
      <c r="S21">
        <v>10.911019</v>
      </c>
      <c r="T21">
        <v>10.955779</v>
      </c>
      <c r="U21">
        <v>10.924067000000001</v>
      </c>
      <c r="V21">
        <v>10.921200000000001</v>
      </c>
      <c r="W21">
        <v>10.843088</v>
      </c>
      <c r="X21">
        <v>10.698905999999999</v>
      </c>
      <c r="Y21">
        <v>10.705193</v>
      </c>
      <c r="Z21">
        <v>10.943282</v>
      </c>
      <c r="AA21">
        <v>11.176309</v>
      </c>
      <c r="AB21">
        <v>11.249311000000001</v>
      </c>
      <c r="AC21">
        <v>11.201525999999999</v>
      </c>
      <c r="AD21">
        <v>11.133457</v>
      </c>
      <c r="AE21" s="6">
        <v>-7.4371254259022718E-2</v>
      </c>
    </row>
    <row r="22" spans="1:31" x14ac:dyDescent="0.25">
      <c r="A22" t="s">
        <v>74</v>
      </c>
      <c r="B22" t="s">
        <v>51</v>
      </c>
      <c r="C22" t="s">
        <v>47</v>
      </c>
      <c r="D22">
        <v>11.867196</v>
      </c>
      <c r="E22">
        <v>11.606445000000001</v>
      </c>
      <c r="F22">
        <v>11.605036</v>
      </c>
      <c r="G22">
        <v>11.593540000000001</v>
      </c>
      <c r="H22">
        <v>11.628194000000001</v>
      </c>
      <c r="I22">
        <v>11.765383</v>
      </c>
      <c r="J22">
        <v>11.665903999999999</v>
      </c>
      <c r="K22">
        <v>11.471596</v>
      </c>
      <c r="L22">
        <v>11.586576000000001</v>
      </c>
      <c r="M22">
        <v>11.676133</v>
      </c>
      <c r="N22">
        <v>11.470817</v>
      </c>
      <c r="O22">
        <v>11.333168000000001</v>
      </c>
      <c r="P22">
        <v>10.850186000000001</v>
      </c>
      <c r="Q22">
        <v>10.512813</v>
      </c>
      <c r="R22">
        <v>10.767139999999999</v>
      </c>
      <c r="S22">
        <v>11.006195</v>
      </c>
      <c r="T22">
        <v>11.057307</v>
      </c>
      <c r="U22">
        <v>11.076015999999999</v>
      </c>
      <c r="V22">
        <v>11.086501999999999</v>
      </c>
      <c r="W22">
        <v>11.017861</v>
      </c>
      <c r="X22">
        <v>10.899248999999999</v>
      </c>
      <c r="Y22">
        <v>10.964096</v>
      </c>
      <c r="Z22">
        <v>11.234171</v>
      </c>
      <c r="AA22">
        <v>11.466396</v>
      </c>
      <c r="AB22">
        <v>11.533153</v>
      </c>
      <c r="AC22">
        <v>11.497581</v>
      </c>
      <c r="AD22">
        <v>11.447247000000001</v>
      </c>
      <c r="AE22" s="6">
        <v>-3.5387382158346338E-2</v>
      </c>
    </row>
    <row r="23" spans="1:31" x14ac:dyDescent="0.25">
      <c r="A23" t="s">
        <v>75</v>
      </c>
      <c r="B23" t="s">
        <v>46</v>
      </c>
      <c r="C23" t="s">
        <v>52</v>
      </c>
      <c r="D23">
        <v>14.808529</v>
      </c>
      <c r="E23">
        <v>14.913192</v>
      </c>
      <c r="F23">
        <v>15.176411999999999</v>
      </c>
      <c r="G23">
        <v>15.433724</v>
      </c>
      <c r="H23">
        <v>15.735965999999999</v>
      </c>
      <c r="I23">
        <v>16.222598999999999</v>
      </c>
      <c r="J23">
        <v>16.501476</v>
      </c>
      <c r="K23">
        <v>16.664912999999999</v>
      </c>
      <c r="L23">
        <v>17.167648</v>
      </c>
      <c r="M23">
        <v>17.797846</v>
      </c>
      <c r="N23">
        <v>18.079823999999999</v>
      </c>
      <c r="O23">
        <v>18.383772</v>
      </c>
      <c r="P23">
        <v>18.494475999999999</v>
      </c>
      <c r="Q23">
        <v>18.359324000000001</v>
      </c>
      <c r="R23">
        <v>18.990116</v>
      </c>
      <c r="S23">
        <v>19.76877</v>
      </c>
      <c r="T23">
        <v>20.335258</v>
      </c>
      <c r="U23">
        <v>20.829267999999999</v>
      </c>
      <c r="V23">
        <v>21.338242000000001</v>
      </c>
      <c r="W23">
        <v>21.743326</v>
      </c>
      <c r="X23">
        <v>22.047744999999999</v>
      </c>
      <c r="Y23">
        <v>22.610861</v>
      </c>
      <c r="Z23">
        <v>23.568722000000001</v>
      </c>
      <c r="AA23">
        <v>24.56982</v>
      </c>
      <c r="AB23">
        <v>25.341593</v>
      </c>
      <c r="AC23">
        <v>25.928576</v>
      </c>
      <c r="AD23">
        <v>26.501698000000001</v>
      </c>
      <c r="AE23" s="6" cm="1">
        <f t="array" ref="AE23:AE27">(AD23:AD27-D23:D27)/D23:D27</f>
        <v>0.7896239390151446</v>
      </c>
    </row>
    <row r="24" spans="1:31" x14ac:dyDescent="0.25">
      <c r="A24" t="s">
        <v>75</v>
      </c>
      <c r="B24" t="s">
        <v>48</v>
      </c>
      <c r="C24" t="s">
        <v>52</v>
      </c>
      <c r="D24">
        <v>11.217383999999999</v>
      </c>
      <c r="E24">
        <v>11.210448</v>
      </c>
      <c r="F24">
        <v>11.42808</v>
      </c>
      <c r="G24">
        <v>11.602568</v>
      </c>
      <c r="H24">
        <v>11.84478</v>
      </c>
      <c r="I24">
        <v>12.184165999999999</v>
      </c>
      <c r="J24">
        <v>12.305177</v>
      </c>
      <c r="K24">
        <v>12.33389</v>
      </c>
      <c r="L24">
        <v>12.714721000000001</v>
      </c>
      <c r="M24">
        <v>13.104367999999999</v>
      </c>
      <c r="N24">
        <v>13.151821999999999</v>
      </c>
      <c r="O24">
        <v>13.277115</v>
      </c>
      <c r="P24">
        <v>13.018011</v>
      </c>
      <c r="Q24">
        <v>12.845112</v>
      </c>
      <c r="R24">
        <v>13.395177</v>
      </c>
      <c r="S24">
        <v>13.954328</v>
      </c>
      <c r="T24">
        <v>14.289903000000001</v>
      </c>
      <c r="U24">
        <v>14.581151</v>
      </c>
      <c r="V24">
        <v>14.870604999999999</v>
      </c>
      <c r="W24">
        <v>15.048332</v>
      </c>
      <c r="X24">
        <v>15.145972</v>
      </c>
      <c r="Y24">
        <v>15.533785999999999</v>
      </c>
      <c r="Z24">
        <v>16.252728999999999</v>
      </c>
      <c r="AA24">
        <v>16.941298</v>
      </c>
      <c r="AB24">
        <v>17.385334</v>
      </c>
      <c r="AC24">
        <v>17.674220999999999</v>
      </c>
      <c r="AD24">
        <v>17.948260999999999</v>
      </c>
      <c r="AE24" s="6">
        <v>0.60003981320421951</v>
      </c>
    </row>
    <row r="25" spans="1:31" x14ac:dyDescent="0.25">
      <c r="A25" t="s">
        <v>75</v>
      </c>
      <c r="B25" t="s">
        <v>49</v>
      </c>
      <c r="C25" t="s">
        <v>52</v>
      </c>
      <c r="D25">
        <v>9.7007169999999991</v>
      </c>
      <c r="E25">
        <v>9.7296309999999995</v>
      </c>
      <c r="F25">
        <v>9.890485</v>
      </c>
      <c r="G25">
        <v>10.019135</v>
      </c>
      <c r="H25">
        <v>10.241531999999999</v>
      </c>
      <c r="I25">
        <v>10.566606999999999</v>
      </c>
      <c r="J25">
        <v>10.634691999999999</v>
      </c>
      <c r="K25">
        <v>10.672723</v>
      </c>
      <c r="L25">
        <v>11.140669000000001</v>
      </c>
      <c r="M25">
        <v>11.488121</v>
      </c>
      <c r="N25">
        <v>11.493840000000001</v>
      </c>
      <c r="O25">
        <v>11.640620999999999</v>
      </c>
      <c r="P25">
        <v>11.242756999999999</v>
      </c>
      <c r="Q25">
        <v>11.185544999999999</v>
      </c>
      <c r="R25">
        <v>11.771523999999999</v>
      </c>
      <c r="S25">
        <v>12.275815</v>
      </c>
      <c r="T25">
        <v>12.574992999999999</v>
      </c>
      <c r="U25">
        <v>12.862496999999999</v>
      </c>
      <c r="V25">
        <v>13.118435</v>
      </c>
      <c r="W25">
        <v>13.249924</v>
      </c>
      <c r="X25">
        <v>13.320446</v>
      </c>
      <c r="Y25">
        <v>13.72451</v>
      </c>
      <c r="Z25">
        <v>14.421889999999999</v>
      </c>
      <c r="AA25">
        <v>15.044475</v>
      </c>
      <c r="AB25">
        <v>15.417165000000001</v>
      </c>
      <c r="AC25">
        <v>15.659091999999999</v>
      </c>
      <c r="AD25">
        <v>15.893618</v>
      </c>
      <c r="AE25" s="6">
        <v>0.63839621339329877</v>
      </c>
    </row>
    <row r="26" spans="1:31" x14ac:dyDescent="0.25">
      <c r="A26" t="s">
        <v>75</v>
      </c>
      <c r="B26" t="s">
        <v>50</v>
      </c>
      <c r="C26" t="s">
        <v>52</v>
      </c>
      <c r="D26">
        <v>12.027994</v>
      </c>
      <c r="E26">
        <v>12.162696</v>
      </c>
      <c r="F26">
        <v>12.305498</v>
      </c>
      <c r="G26">
        <v>12.466491</v>
      </c>
      <c r="H26">
        <v>12.664809999999999</v>
      </c>
      <c r="I26">
        <v>13.067062999999999</v>
      </c>
      <c r="J26">
        <v>13.233242000000001</v>
      </c>
      <c r="K26">
        <v>13.258158999999999</v>
      </c>
      <c r="L26">
        <v>13.588804</v>
      </c>
      <c r="M26">
        <v>14.059748000000001</v>
      </c>
      <c r="N26">
        <v>14.185677</v>
      </c>
      <c r="O26">
        <v>14.301985999999999</v>
      </c>
      <c r="P26">
        <v>14.171493</v>
      </c>
      <c r="Q26">
        <v>13.874005</v>
      </c>
      <c r="R26">
        <v>14.399865999999999</v>
      </c>
      <c r="S26">
        <v>15.023149</v>
      </c>
      <c r="T26">
        <v>15.396411000000001</v>
      </c>
      <c r="U26">
        <v>15.665784</v>
      </c>
      <c r="V26">
        <v>15.980399999999999</v>
      </c>
      <c r="W26">
        <v>16.189943</v>
      </c>
      <c r="X26">
        <v>16.299274</v>
      </c>
      <c r="Y26">
        <v>16.645128</v>
      </c>
      <c r="Z26">
        <v>17.366475999999999</v>
      </c>
      <c r="AA26">
        <v>18.111077999999999</v>
      </c>
      <c r="AB26">
        <v>18.621725000000001</v>
      </c>
      <c r="AC26">
        <v>18.944883000000001</v>
      </c>
      <c r="AD26">
        <v>19.244982</v>
      </c>
      <c r="AE26" s="6">
        <v>0.60001592950578464</v>
      </c>
    </row>
    <row r="27" spans="1:31" x14ac:dyDescent="0.25">
      <c r="A27" t="s">
        <v>75</v>
      </c>
      <c r="B27" t="s">
        <v>51</v>
      </c>
      <c r="C27" t="s">
        <v>52</v>
      </c>
      <c r="D27">
        <v>11.867196</v>
      </c>
      <c r="E27">
        <v>11.850871</v>
      </c>
      <c r="F27">
        <v>12.065720000000001</v>
      </c>
      <c r="G27">
        <v>12.264039</v>
      </c>
      <c r="H27">
        <v>12.539586999999999</v>
      </c>
      <c r="I27">
        <v>12.932798</v>
      </c>
      <c r="J27">
        <v>13.088647</v>
      </c>
      <c r="K27">
        <v>13.161929000000001</v>
      </c>
      <c r="L27">
        <v>13.601594</v>
      </c>
      <c r="M27">
        <v>14.039833</v>
      </c>
      <c r="N27">
        <v>14.129592000000001</v>
      </c>
      <c r="O27">
        <v>14.296719</v>
      </c>
      <c r="P27">
        <v>14.007989999999999</v>
      </c>
      <c r="Q27">
        <v>13.880051999999999</v>
      </c>
      <c r="R27">
        <v>14.522881</v>
      </c>
      <c r="S27">
        <v>15.154195</v>
      </c>
      <c r="T27">
        <v>15.539091000000001</v>
      </c>
      <c r="U27">
        <v>15.883689</v>
      </c>
      <c r="V27">
        <v>16.222279</v>
      </c>
      <c r="W27">
        <v>16.450901000000002</v>
      </c>
      <c r="X27">
        <v>16.604488</v>
      </c>
      <c r="Y27">
        <v>17.047688000000001</v>
      </c>
      <c r="Z27">
        <v>17.828102000000001</v>
      </c>
      <c r="AA27">
        <v>18.581161000000002</v>
      </c>
      <c r="AB27">
        <v>19.091584999999998</v>
      </c>
      <c r="AC27">
        <v>19.445595000000001</v>
      </c>
      <c r="AD27">
        <v>19.787388</v>
      </c>
      <c r="AE27" s="6">
        <v>0.66740213947759863</v>
      </c>
    </row>
    <row r="28" spans="1:31" x14ac:dyDescent="0.25">
      <c r="A28" t="s">
        <v>76</v>
      </c>
      <c r="B28" t="s">
        <v>53</v>
      </c>
      <c r="C28" t="s">
        <v>47</v>
      </c>
      <c r="D28">
        <v>7.2535850000000002</v>
      </c>
      <c r="E28">
        <v>6.9933800000000002</v>
      </c>
      <c r="F28">
        <v>6.894374</v>
      </c>
      <c r="G28">
        <v>6.8098539999999996</v>
      </c>
      <c r="H28">
        <v>6.7619410000000002</v>
      </c>
      <c r="I28">
        <v>6.8025289999999998</v>
      </c>
      <c r="J28">
        <v>6.6325890000000003</v>
      </c>
      <c r="K28">
        <v>6.3951580000000003</v>
      </c>
      <c r="L28">
        <v>6.4606000000000003</v>
      </c>
      <c r="M28">
        <v>6.5092730000000003</v>
      </c>
      <c r="N28">
        <v>6.2732109999999999</v>
      </c>
      <c r="O28">
        <v>6.0762919999999996</v>
      </c>
      <c r="P28">
        <v>5.5752009999999999</v>
      </c>
      <c r="Q28">
        <v>5.2404799999999998</v>
      </c>
      <c r="R28">
        <v>5.443473</v>
      </c>
      <c r="S28">
        <v>5.6141889999999997</v>
      </c>
      <c r="T28">
        <v>5.6281730000000003</v>
      </c>
      <c r="U28">
        <v>5.6204900000000002</v>
      </c>
      <c r="V28">
        <v>5.5979890000000001</v>
      </c>
      <c r="W28">
        <v>5.4849319999999997</v>
      </c>
      <c r="X28">
        <v>5.3240720000000001</v>
      </c>
      <c r="Y28">
        <v>5.3555599999999997</v>
      </c>
      <c r="Z28">
        <v>5.5842799999999997</v>
      </c>
      <c r="AA28">
        <v>5.7725429999999998</v>
      </c>
      <c r="AB28">
        <v>5.7991820000000001</v>
      </c>
      <c r="AC28">
        <v>5.7224310000000003</v>
      </c>
      <c r="AD28">
        <v>5.6340960000000004</v>
      </c>
      <c r="AE28" s="6" cm="1">
        <f t="array" ref="AE28:AE30">(AD28:AD30-D28:D30)/D28:D30</f>
        <v>-0.2232673912279238</v>
      </c>
    </row>
    <row r="29" spans="1:31" x14ac:dyDescent="0.25">
      <c r="A29" t="s">
        <v>76</v>
      </c>
      <c r="B29" t="s">
        <v>54</v>
      </c>
      <c r="C29" t="s">
        <v>47</v>
      </c>
      <c r="D29">
        <v>1.3177350000000001</v>
      </c>
      <c r="E29">
        <v>1.322614</v>
      </c>
      <c r="F29">
        <v>1.361899</v>
      </c>
      <c r="G29">
        <v>1.386317</v>
      </c>
      <c r="H29">
        <v>1.418261</v>
      </c>
      <c r="I29">
        <v>1.461986</v>
      </c>
      <c r="J29">
        <v>1.4907729999999999</v>
      </c>
      <c r="K29">
        <v>1.5012700000000001</v>
      </c>
      <c r="L29">
        <v>1.5239130000000001</v>
      </c>
      <c r="M29">
        <v>1.5445819999999999</v>
      </c>
      <c r="N29">
        <v>1.557383</v>
      </c>
      <c r="O29">
        <v>1.600724</v>
      </c>
      <c r="P29">
        <v>1.6239170000000001</v>
      </c>
      <c r="Q29">
        <v>1.619286</v>
      </c>
      <c r="R29">
        <v>1.6255250000000001</v>
      </c>
      <c r="S29">
        <v>1.637513</v>
      </c>
      <c r="T29">
        <v>1.6356790000000001</v>
      </c>
      <c r="U29">
        <v>1.6310819999999999</v>
      </c>
      <c r="V29">
        <v>1.6318550000000001</v>
      </c>
      <c r="W29">
        <v>1.6407929999999999</v>
      </c>
      <c r="X29">
        <v>1.6467879999999999</v>
      </c>
      <c r="Y29">
        <v>1.644169</v>
      </c>
      <c r="Z29">
        <v>1.6487609999999999</v>
      </c>
      <c r="AA29">
        <v>1.6564399999999999</v>
      </c>
      <c r="AB29">
        <v>1.662733</v>
      </c>
      <c r="AC29">
        <v>1.6716470000000001</v>
      </c>
      <c r="AD29">
        <v>1.6808989999999999</v>
      </c>
      <c r="AE29" s="6">
        <v>0.27559714206574143</v>
      </c>
    </row>
    <row r="30" spans="1:31" x14ac:dyDescent="0.25">
      <c r="A30" t="s">
        <v>76</v>
      </c>
      <c r="B30" t="s">
        <v>55</v>
      </c>
      <c r="C30" t="s">
        <v>47</v>
      </c>
      <c r="D30">
        <v>3.2958759999999998</v>
      </c>
      <c r="E30">
        <v>3.2904499999999999</v>
      </c>
      <c r="F30">
        <v>3.3487619999999998</v>
      </c>
      <c r="G30">
        <v>3.3973689999999999</v>
      </c>
      <c r="H30">
        <v>3.4479920000000002</v>
      </c>
      <c r="I30">
        <v>3.5008680000000001</v>
      </c>
      <c r="J30">
        <v>3.5425420000000001</v>
      </c>
      <c r="K30">
        <v>3.5751680000000001</v>
      </c>
      <c r="L30">
        <v>3.6020620000000001</v>
      </c>
      <c r="M30">
        <v>3.6222789999999998</v>
      </c>
      <c r="N30">
        <v>3.6402230000000002</v>
      </c>
      <c r="O30">
        <v>3.6561520000000001</v>
      </c>
      <c r="P30">
        <v>3.651068</v>
      </c>
      <c r="Q30">
        <v>3.6530450000000001</v>
      </c>
      <c r="R30">
        <v>3.698143</v>
      </c>
      <c r="S30">
        <v>3.7544930000000001</v>
      </c>
      <c r="T30">
        <v>3.7934549999999998</v>
      </c>
      <c r="U30">
        <v>3.8244449999999999</v>
      </c>
      <c r="V30">
        <v>3.8566590000000001</v>
      </c>
      <c r="W30">
        <v>3.892137</v>
      </c>
      <c r="X30">
        <v>3.9283899999999998</v>
      </c>
      <c r="Y30">
        <v>3.9643660000000001</v>
      </c>
      <c r="Z30">
        <v>4.0011279999999996</v>
      </c>
      <c r="AA30">
        <v>4.0374140000000001</v>
      </c>
      <c r="AB30">
        <v>4.0712380000000001</v>
      </c>
      <c r="AC30">
        <v>4.1035029999999999</v>
      </c>
      <c r="AD30">
        <v>4.1322520000000003</v>
      </c>
      <c r="AE30" s="6">
        <v>0.25376440133063272</v>
      </c>
    </row>
    <row r="31" spans="1:31" x14ac:dyDescent="0.25">
      <c r="A31" t="s">
        <v>77</v>
      </c>
      <c r="B31" t="s">
        <v>53</v>
      </c>
      <c r="C31" t="s">
        <v>52</v>
      </c>
      <c r="D31">
        <v>7.2535850000000002</v>
      </c>
      <c r="E31">
        <v>7.140657</v>
      </c>
      <c r="F31">
        <v>7.1680590000000004</v>
      </c>
      <c r="G31">
        <v>7.2036939999999996</v>
      </c>
      <c r="H31">
        <v>7.2919280000000004</v>
      </c>
      <c r="I31">
        <v>7.4775080000000003</v>
      </c>
      <c r="J31">
        <v>7.4414829999999998</v>
      </c>
      <c r="K31">
        <v>7.3374810000000004</v>
      </c>
      <c r="L31">
        <v>7.5841609999999999</v>
      </c>
      <c r="M31">
        <v>7.827</v>
      </c>
      <c r="N31">
        <v>7.7272530000000001</v>
      </c>
      <c r="O31">
        <v>7.665203</v>
      </c>
      <c r="P31">
        <v>7.1977890000000002</v>
      </c>
      <c r="Q31">
        <v>6.9189990000000003</v>
      </c>
      <c r="R31">
        <v>7.342238</v>
      </c>
      <c r="S31">
        <v>7.7300570000000004</v>
      </c>
      <c r="T31">
        <v>7.909402</v>
      </c>
      <c r="U31">
        <v>8.0601269999999996</v>
      </c>
      <c r="V31">
        <v>8.1912339999999997</v>
      </c>
      <c r="W31">
        <v>8.1896179999999994</v>
      </c>
      <c r="X31">
        <v>8.11097</v>
      </c>
      <c r="Y31">
        <v>8.3271719999999991</v>
      </c>
      <c r="Z31">
        <v>8.8619920000000008</v>
      </c>
      <c r="AA31">
        <v>9.3543389999999995</v>
      </c>
      <c r="AB31">
        <v>9.5997679999999992</v>
      </c>
      <c r="AC31">
        <v>9.6782170000000001</v>
      </c>
      <c r="AD31">
        <v>9.7389399999999995</v>
      </c>
      <c r="AE31" s="6" cm="1">
        <f t="array" ref="AE31:AE33">(AD31:AD33-D31:D33)/D31:D33</f>
        <v>0.34263815754554461</v>
      </c>
    </row>
    <row r="32" spans="1:31" x14ac:dyDescent="0.25">
      <c r="A32" t="s">
        <v>77</v>
      </c>
      <c r="B32" t="s">
        <v>54</v>
      </c>
      <c r="C32" t="s">
        <v>52</v>
      </c>
      <c r="D32">
        <v>1.3177350000000001</v>
      </c>
      <c r="E32">
        <v>1.350468</v>
      </c>
      <c r="F32">
        <v>1.4159630000000001</v>
      </c>
      <c r="G32">
        <v>1.466493</v>
      </c>
      <c r="H32">
        <v>1.5294209999999999</v>
      </c>
      <c r="I32">
        <v>1.607051</v>
      </c>
      <c r="J32">
        <v>1.6725840000000001</v>
      </c>
      <c r="K32">
        <v>1.7224809999999999</v>
      </c>
      <c r="L32">
        <v>1.788937</v>
      </c>
      <c r="M32">
        <v>1.857264</v>
      </c>
      <c r="N32">
        <v>1.918363</v>
      </c>
      <c r="O32">
        <v>2.0193029999999998</v>
      </c>
      <c r="P32">
        <v>2.0965370000000001</v>
      </c>
      <c r="Q32">
        <v>2.1379419999999998</v>
      </c>
      <c r="R32">
        <v>2.1925319999999999</v>
      </c>
      <c r="S32">
        <v>2.2546569999999999</v>
      </c>
      <c r="T32">
        <v>2.298657</v>
      </c>
      <c r="U32">
        <v>2.3390719999999998</v>
      </c>
      <c r="V32">
        <v>2.3878050000000002</v>
      </c>
      <c r="W32">
        <v>2.4498869999999999</v>
      </c>
      <c r="X32">
        <v>2.5088029999999999</v>
      </c>
      <c r="Y32">
        <v>2.5564610000000001</v>
      </c>
      <c r="Z32">
        <v>2.6165069999999999</v>
      </c>
      <c r="AA32">
        <v>2.6842419999999998</v>
      </c>
      <c r="AB32">
        <v>2.7524310000000001</v>
      </c>
      <c r="AC32">
        <v>2.8272179999999998</v>
      </c>
      <c r="AD32">
        <v>2.9055550000000001</v>
      </c>
      <c r="AE32" s="6">
        <v>1.2049615438612467</v>
      </c>
    </row>
    <row r="33" spans="1:31" x14ac:dyDescent="0.25">
      <c r="A33" t="s">
        <v>77</v>
      </c>
      <c r="B33" t="s">
        <v>55</v>
      </c>
      <c r="C33" t="s">
        <v>52</v>
      </c>
      <c r="D33">
        <v>3.2958759999999998</v>
      </c>
      <c r="E33">
        <v>3.3597459999999999</v>
      </c>
      <c r="F33">
        <v>3.4816980000000002</v>
      </c>
      <c r="G33">
        <v>3.593852</v>
      </c>
      <c r="H33">
        <v>3.7182379999999999</v>
      </c>
      <c r="I33">
        <v>3.8482409999999998</v>
      </c>
      <c r="J33">
        <v>3.9745810000000001</v>
      </c>
      <c r="K33">
        <v>4.1019670000000001</v>
      </c>
      <c r="L33">
        <v>4.2284949999999997</v>
      </c>
      <c r="M33">
        <v>4.3555679999999999</v>
      </c>
      <c r="N33">
        <v>4.4839760000000002</v>
      </c>
      <c r="O33">
        <v>4.6122120000000004</v>
      </c>
      <c r="P33">
        <v>4.7136639999999996</v>
      </c>
      <c r="Q33">
        <v>4.8231109999999999</v>
      </c>
      <c r="R33">
        <v>4.988111</v>
      </c>
      <c r="S33">
        <v>5.1694810000000002</v>
      </c>
      <c r="T33">
        <v>5.3310300000000002</v>
      </c>
      <c r="U33">
        <v>5.4844889999999999</v>
      </c>
      <c r="V33">
        <v>5.6432399999999996</v>
      </c>
      <c r="W33">
        <v>5.8113960000000002</v>
      </c>
      <c r="X33">
        <v>5.9847149999999996</v>
      </c>
      <c r="Y33">
        <v>6.164053</v>
      </c>
      <c r="Z33">
        <v>6.3496030000000001</v>
      </c>
      <c r="AA33">
        <v>6.5425829999999996</v>
      </c>
      <c r="AB33">
        <v>6.7393879999999999</v>
      </c>
      <c r="AC33">
        <v>6.9401609999999998</v>
      </c>
      <c r="AD33">
        <v>7.1428950000000002</v>
      </c>
      <c r="AE33" s="6">
        <v>1.1672220071386183</v>
      </c>
    </row>
    <row r="34" spans="1:31" x14ac:dyDescent="0.25">
      <c r="A34" t="s">
        <v>56</v>
      </c>
      <c r="B34" t="s">
        <v>57</v>
      </c>
      <c r="C34" t="s">
        <v>58</v>
      </c>
      <c r="D34">
        <v>19.549028</v>
      </c>
      <c r="E34">
        <v>17.281946000000001</v>
      </c>
      <c r="F34">
        <v>13.385115000000001</v>
      </c>
      <c r="G34">
        <v>12.796286</v>
      </c>
      <c r="H34">
        <v>12.238927</v>
      </c>
      <c r="I34">
        <v>13.144129</v>
      </c>
      <c r="J34">
        <v>12.502074</v>
      </c>
      <c r="K34">
        <v>12.959106999999999</v>
      </c>
      <c r="L34">
        <v>9.8530069999999998</v>
      </c>
      <c r="M34">
        <v>9.6481639999999995</v>
      </c>
      <c r="N34">
        <v>9.1921940000000006</v>
      </c>
      <c r="O34">
        <v>8.7190499999999993</v>
      </c>
      <c r="P34">
        <v>9.5113939999999992</v>
      </c>
      <c r="Q34">
        <v>9.5549529999999994</v>
      </c>
      <c r="R34">
        <v>8.6012889999999995</v>
      </c>
      <c r="S34">
        <v>7.1536799999999996</v>
      </c>
      <c r="T34">
        <v>7.7574050000000003</v>
      </c>
      <c r="U34">
        <v>7.2315269999999998</v>
      </c>
      <c r="V34">
        <v>7.8365229999999997</v>
      </c>
      <c r="W34">
        <v>8.2717329999999993</v>
      </c>
      <c r="X34">
        <v>8.7615850000000002</v>
      </c>
      <c r="Y34">
        <v>9.5159310000000001</v>
      </c>
      <c r="Z34">
        <v>8.9687389999999994</v>
      </c>
      <c r="AA34">
        <v>9.7981339999999992</v>
      </c>
      <c r="AB34">
        <v>10.178663999999999</v>
      </c>
      <c r="AC34">
        <v>10.525504</v>
      </c>
      <c r="AD34">
        <v>11.435403000000001</v>
      </c>
      <c r="AE34" s="6" cm="1">
        <f t="array" ref="AE34:AE38">(AD34:AD38-D34:D38)/D34:D38</f>
        <v>-0.41503981681339858</v>
      </c>
    </row>
    <row r="35" spans="1:31" x14ac:dyDescent="0.25">
      <c r="A35" t="s">
        <v>56</v>
      </c>
      <c r="B35" t="s">
        <v>59</v>
      </c>
      <c r="C35" t="s">
        <v>58</v>
      </c>
      <c r="D35">
        <v>71.679764000000006</v>
      </c>
      <c r="E35">
        <v>63.367153000000002</v>
      </c>
      <c r="F35">
        <v>49.078780999999999</v>
      </c>
      <c r="G35">
        <v>46.919701000000003</v>
      </c>
      <c r="H35">
        <v>44.876052999999999</v>
      </c>
      <c r="I35">
        <v>48.195163999999998</v>
      </c>
      <c r="J35">
        <v>45.840919</v>
      </c>
      <c r="K35">
        <v>47.516765999999997</v>
      </c>
      <c r="L35">
        <v>36.127685999999997</v>
      </c>
      <c r="M35">
        <v>35.376572000000003</v>
      </c>
      <c r="N35">
        <v>33.704704</v>
      </c>
      <c r="O35">
        <v>31.969826000000001</v>
      </c>
      <c r="P35">
        <v>34.875103000000003</v>
      </c>
      <c r="Q35">
        <v>35.034821000000001</v>
      </c>
      <c r="R35">
        <v>31.538070999999999</v>
      </c>
      <c r="S35">
        <v>26.230162</v>
      </c>
      <c r="T35">
        <v>28.443805999999999</v>
      </c>
      <c r="U35">
        <v>26.515599999999999</v>
      </c>
      <c r="V35">
        <v>28.733929</v>
      </c>
      <c r="W35">
        <v>30.329687</v>
      </c>
      <c r="X35">
        <v>32.125801000000003</v>
      </c>
      <c r="Y35">
        <v>34.891742999999998</v>
      </c>
      <c r="Z35">
        <v>32.885365</v>
      </c>
      <c r="AA35">
        <v>35.926506000000003</v>
      </c>
      <c r="AB35">
        <v>37.321781000000001</v>
      </c>
      <c r="AC35">
        <v>38.593533000000001</v>
      </c>
      <c r="AD35">
        <v>41.929805999999999</v>
      </c>
      <c r="AE35" s="6">
        <v>-0.41503984304412617</v>
      </c>
    </row>
    <row r="36" spans="1:31" x14ac:dyDescent="0.25">
      <c r="A36" t="s">
        <v>56</v>
      </c>
      <c r="B36" t="s">
        <v>60</v>
      </c>
      <c r="C36" t="s">
        <v>58</v>
      </c>
      <c r="D36">
        <v>9.6249999999999999E-3</v>
      </c>
      <c r="E36">
        <v>7.5510000000000004E-3</v>
      </c>
      <c r="F36">
        <v>5.5380000000000004E-3</v>
      </c>
      <c r="G36">
        <v>4.4990000000000004E-3</v>
      </c>
      <c r="H36">
        <v>2.967E-3</v>
      </c>
      <c r="I36">
        <v>3.539E-3</v>
      </c>
      <c r="J36">
        <v>2.7539999999999999E-3</v>
      </c>
      <c r="K36">
        <v>3.0040000000000002E-3</v>
      </c>
      <c r="L36">
        <v>1.5E-5</v>
      </c>
      <c r="M36">
        <v>1.5999999999999999E-5</v>
      </c>
      <c r="N36">
        <v>1.7E-5</v>
      </c>
      <c r="O36">
        <v>1.9000000000000001E-5</v>
      </c>
      <c r="P36">
        <v>2.1999999999999999E-5</v>
      </c>
      <c r="Q36">
        <v>3.8000000000000002E-5</v>
      </c>
      <c r="R36">
        <v>5.7000000000000003E-5</v>
      </c>
      <c r="S36">
        <v>1.3999999999999999E-4</v>
      </c>
      <c r="T36">
        <v>1.44E-4</v>
      </c>
      <c r="U36">
        <v>1.4799999999999999E-4</v>
      </c>
      <c r="V36">
        <v>1.5200000000000001E-4</v>
      </c>
      <c r="W36">
        <v>1.56E-4</v>
      </c>
      <c r="X36">
        <v>1.5799999999999999E-4</v>
      </c>
      <c r="Y36">
        <v>1.6000000000000001E-4</v>
      </c>
      <c r="Z36">
        <v>1.6200000000000001E-4</v>
      </c>
      <c r="AA36">
        <v>1.63E-4</v>
      </c>
      <c r="AB36">
        <v>1.65E-4</v>
      </c>
      <c r="AC36">
        <v>1.65E-4</v>
      </c>
      <c r="AD36">
        <v>1.66E-4</v>
      </c>
      <c r="AE36" s="6">
        <v>-0.98275324675324682</v>
      </c>
    </row>
    <row r="37" spans="1:31" x14ac:dyDescent="0.25">
      <c r="A37" t="s">
        <v>56</v>
      </c>
      <c r="B37" t="s">
        <v>61</v>
      </c>
      <c r="C37" t="s">
        <v>58</v>
      </c>
      <c r="D37">
        <v>6.4905000000000004E-2</v>
      </c>
      <c r="E37">
        <v>5.7842999999999999E-2</v>
      </c>
      <c r="F37">
        <v>3.8591E-2</v>
      </c>
      <c r="G37">
        <v>3.4396000000000003E-2</v>
      </c>
      <c r="H37">
        <v>2.6422000000000001E-2</v>
      </c>
      <c r="I37">
        <v>2.9585E-2</v>
      </c>
      <c r="J37">
        <v>3.2389000000000001E-2</v>
      </c>
      <c r="K37">
        <v>3.4887000000000001E-2</v>
      </c>
      <c r="L37">
        <v>1.4047E-2</v>
      </c>
      <c r="M37">
        <v>1.3030999999999999E-2</v>
      </c>
      <c r="N37">
        <v>1.1826E-2</v>
      </c>
      <c r="O37">
        <v>9.1280000000000007E-3</v>
      </c>
      <c r="P37">
        <v>1.1651E-2</v>
      </c>
      <c r="Q37">
        <v>1.1018999999999999E-2</v>
      </c>
      <c r="R37">
        <v>1.0621999999999999E-2</v>
      </c>
      <c r="S37">
        <v>7.3150000000000003E-3</v>
      </c>
      <c r="T37">
        <v>8.3309999999999999E-3</v>
      </c>
      <c r="U37">
        <v>7.626E-3</v>
      </c>
      <c r="V37">
        <v>8.3409999999999995E-3</v>
      </c>
      <c r="W37">
        <v>8.8360000000000001E-3</v>
      </c>
      <c r="X37">
        <v>1.0139E-2</v>
      </c>
      <c r="Y37">
        <v>1.1344999999999999E-2</v>
      </c>
      <c r="Z37">
        <v>1.0527999999999999E-2</v>
      </c>
      <c r="AA37">
        <v>1.2031999999999999E-2</v>
      </c>
      <c r="AB37">
        <v>1.208E-2</v>
      </c>
      <c r="AC37">
        <v>1.2017E-2</v>
      </c>
      <c r="AD37">
        <v>1.4622E-2</v>
      </c>
      <c r="AE37" s="6">
        <v>-0.77471689392188592</v>
      </c>
    </row>
    <row r="38" spans="1:31" x14ac:dyDescent="0.25">
      <c r="A38" t="s">
        <v>56</v>
      </c>
      <c r="B38" t="s">
        <v>62</v>
      </c>
      <c r="C38" t="s">
        <v>63</v>
      </c>
      <c r="D38">
        <v>0.12503900000000001</v>
      </c>
      <c r="E38">
        <v>0.110692</v>
      </c>
      <c r="F38">
        <v>7.7797000000000005E-2</v>
      </c>
      <c r="G38">
        <v>6.5157999999999994E-2</v>
      </c>
      <c r="H38">
        <v>5.2298999999999998E-2</v>
      </c>
      <c r="I38">
        <v>6.3591999999999996E-2</v>
      </c>
      <c r="J38">
        <v>5.5254999999999999E-2</v>
      </c>
      <c r="K38">
        <v>5.6755E-2</v>
      </c>
      <c r="L38">
        <v>0</v>
      </c>
      <c r="M38">
        <v>0</v>
      </c>
      <c r="N38">
        <v>1.9999999999999999E-6</v>
      </c>
      <c r="O38">
        <v>1.9999999999999999E-6</v>
      </c>
      <c r="P38">
        <v>1.9999999999999999E-6</v>
      </c>
      <c r="Q38">
        <v>0</v>
      </c>
      <c r="R38">
        <v>0</v>
      </c>
      <c r="S38">
        <v>9.9999999999999995E-7</v>
      </c>
      <c r="T38">
        <v>9.9999999999999995E-7</v>
      </c>
      <c r="U38">
        <v>9.9999999999999995E-7</v>
      </c>
      <c r="V38">
        <v>0</v>
      </c>
      <c r="W38">
        <v>0</v>
      </c>
      <c r="X38">
        <v>9.9999999999999995E-7</v>
      </c>
      <c r="Y38">
        <v>0</v>
      </c>
      <c r="Z38">
        <v>9.9999999999999995E-7</v>
      </c>
      <c r="AA38">
        <v>0</v>
      </c>
      <c r="AB38">
        <v>0</v>
      </c>
      <c r="AC38">
        <v>0</v>
      </c>
      <c r="AD38">
        <v>0</v>
      </c>
      <c r="AE38" s="6">
        <v>-1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131.19335697768881</v>
      </c>
      <c r="E39" s="4" cm="1">
        <f t="array" ref="E39:E42">907185*E34:E37*10^6/(E17*10^9)</f>
        <v>119.92842492577584</v>
      </c>
      <c r="F39" s="4" cm="1">
        <f t="array" ref="F39:F42">907185*F34:F37*10^6/(F17*10^9)</f>
        <v>95.25733681776515</v>
      </c>
      <c r="G39" s="4" cm="1">
        <f t="array" ref="G39:G42">907185*G34:G37*10^6/(G17*10^9)</f>
        <v>89.092870643278829</v>
      </c>
      <c r="H39" s="4" cm="1">
        <f t="array" ref="H39:H42">907185*H34:H37*10^6/(H17*10^9)</f>
        <v>83.011086592056586</v>
      </c>
      <c r="I39" s="4" cm="1">
        <f t="array" ref="I39:I42">907185*I34:I37*10^6/(I17*10^9)</f>
        <v>86.611778639392867</v>
      </c>
      <c r="J39" s="4" cm="1">
        <f t="array" ref="J39:J42">907185*J34:J37*10^6/(J17*10^9)</f>
        <v>78.152168842800236</v>
      </c>
      <c r="K39" s="4" cm="1">
        <f t="array" ref="K39:K42">907185*K34:K37*10^6/(K17*10^9)</f>
        <v>77.432603082684139</v>
      </c>
      <c r="L39" s="4" cm="1">
        <f t="array" ref="L39:L42">907185*L34:L37*10^6/(L17*10^9)</f>
        <v>57.699699636838865</v>
      </c>
      <c r="M39" s="4" cm="1">
        <f t="array" ref="M39:M42">907185*M34:M37*10^6/(M17*10^9)</f>
        <v>56.765026157582312</v>
      </c>
      <c r="N39" s="4" cm="1">
        <f t="array" ref="N39:N42">907185*N34:N37*10^6/(N17*10^9)</f>
        <v>50.73812234454136</v>
      </c>
      <c r="O39" s="4" cm="1">
        <f t="array" ref="O39:O42">907185*O34:O37*10^6/(O17*10^9)</f>
        <v>43.505975193151684</v>
      </c>
      <c r="P39" s="4" cm="1">
        <f t="array" ref="P39:P42">907185*P34:P37*10^6/(P17*10^9)</f>
        <v>42.249897826674427</v>
      </c>
      <c r="Q39" s="4" cm="1">
        <f t="array" ref="Q39:Q42">907185*Q34:Q37*10^6/(Q17*10^9)</f>
        <v>41.423182497095368</v>
      </c>
      <c r="R39" s="4" cm="1">
        <f t="array" ref="R39:R42">907185*R34:R37*10^6/(R17*10^9)</f>
        <v>38.821918405589891</v>
      </c>
      <c r="S39" s="4" cm="1">
        <f t="array" ref="S39:S42">907185*S34:S37*10^6/(S17*10^9)</f>
        <v>34.226676100992087</v>
      </c>
      <c r="T39" s="4" cm="1">
        <f t="array" ref="T39:T42">907185*T34:T37*10^6/(T17*10^9)</f>
        <v>35.760930514753937</v>
      </c>
      <c r="U39" s="4" cm="1">
        <f t="array" ref="U39:U42">907185*U34:U37*10^6/(U17*10^9)</f>
        <v>34.566865513335671</v>
      </c>
      <c r="V39" s="4" cm="1">
        <f t="array" ref="V39:V42">907185*V34:V37*10^6/(V17*10^9)</f>
        <v>35.960885388557379</v>
      </c>
      <c r="W39" s="4" cm="1">
        <f t="array" ref="W39:W42">907185*W34:W37*10^6/(W17*10^9)</f>
        <v>36.353536565795601</v>
      </c>
      <c r="X39" s="4" cm="1">
        <f t="array" ref="X39:X42">907185*X34:X37*10^6/(X17*10^9)</f>
        <v>37.426111731781468</v>
      </c>
      <c r="Y39" s="4" cm="1">
        <f t="array" ref="Y39:Y42">907185*Y34:Y37*10^6/(Y17*10^9)</f>
        <v>39.734987878879437</v>
      </c>
      <c r="Z39" s="4" cm="1">
        <f t="array" ref="Z39:Z42">907185*Z34:Z37*10^6/(Z17*10^9)</f>
        <v>37.97202293035312</v>
      </c>
      <c r="AA39" s="4" cm="1">
        <f t="array" ref="AA39:AA42">907185*AA34:AA37*10^6/(AA17*10^9)</f>
        <v>39.93351353888459</v>
      </c>
      <c r="AB39" s="4" cm="1">
        <f t="array" ref="AB39:AB42">907185*AB34:AB37*10^6/(AB17*10^9)</f>
        <v>40.303919042485944</v>
      </c>
      <c r="AC39" s="4" cm="1">
        <f t="array" ref="AC39:AC42">907185*AC34:AC37*10^6/(AC17*10^9)</f>
        <v>40.83119951621299</v>
      </c>
      <c r="AD39" s="4" cm="1">
        <f t="array" ref="AD39:AD42">907185*AD34:AD37*10^6/(AD17*10^9)</f>
        <v>42.501557682087068</v>
      </c>
      <c r="AE39" s="6" cm="1">
        <f t="array" ref="AE39:AE43">(AD39:AD43-D39:D43)/D39:D43</f>
        <v>-0.67603879753366602</v>
      </c>
    </row>
    <row r="40" spans="1:31" x14ac:dyDescent="0.25">
      <c r="A40" t="s">
        <v>64</v>
      </c>
      <c r="B40" t="s">
        <v>66</v>
      </c>
      <c r="C40" t="s">
        <v>70</v>
      </c>
      <c r="D40" s="4">
        <v>481.04227312623868</v>
      </c>
      <c r="E40" s="4">
        <v>439.73768065938015</v>
      </c>
      <c r="F40" s="4">
        <v>349.27708669834612</v>
      </c>
      <c r="G40" s="4">
        <v>326.67375923094568</v>
      </c>
      <c r="H40" s="4">
        <v>304.37389825862351</v>
      </c>
      <c r="I40" s="4">
        <v>317.57668201957216</v>
      </c>
      <c r="J40" s="4">
        <v>286.5578336520108</v>
      </c>
      <c r="K40" s="4">
        <v>283.91978563420918</v>
      </c>
      <c r="L40" s="4">
        <v>211.56552824676044</v>
      </c>
      <c r="M40" s="4">
        <v>208.1382566616399</v>
      </c>
      <c r="N40" s="4">
        <v>186.0397414522096</v>
      </c>
      <c r="O40" s="4">
        <v>159.52178928729344</v>
      </c>
      <c r="P40" s="4">
        <v>154.91625501422263</v>
      </c>
      <c r="Q40" s="4">
        <v>151.88497358763246</v>
      </c>
      <c r="R40" s="4">
        <v>142.34708530683025</v>
      </c>
      <c r="S40" s="4">
        <v>125.49782193927473</v>
      </c>
      <c r="T40" s="4">
        <v>131.12335503188771</v>
      </c>
      <c r="U40" s="4">
        <v>126.74517832892047</v>
      </c>
      <c r="V40" s="4">
        <v>131.85663176538179</v>
      </c>
      <c r="W40" s="4">
        <v>133.29629781130939</v>
      </c>
      <c r="X40" s="4">
        <v>137.2290307859796</v>
      </c>
      <c r="Y40" s="4">
        <v>145.69493885337928</v>
      </c>
      <c r="Z40" s="4">
        <v>139.23070276133933</v>
      </c>
      <c r="AA40" s="4">
        <v>146.42294275173401</v>
      </c>
      <c r="AB40" s="4">
        <v>147.78108796452952</v>
      </c>
      <c r="AC40" s="4">
        <v>149.71446934593823</v>
      </c>
      <c r="AD40" s="4">
        <v>155.83902625099614</v>
      </c>
      <c r="AE40" s="6">
        <v>-0.67603881206070282</v>
      </c>
    </row>
    <row r="41" spans="1:31" x14ac:dyDescent="0.25">
      <c r="A41" t="s">
        <v>64</v>
      </c>
      <c r="B41" t="s">
        <v>67</v>
      </c>
      <c r="C41" t="s">
        <v>70</v>
      </c>
      <c r="D41" s="4">
        <v>6.4593291334497802E-2</v>
      </c>
      <c r="E41" s="4">
        <v>5.2400322082625038E-2</v>
      </c>
      <c r="F41" s="4">
        <v>3.9412073134730892E-2</v>
      </c>
      <c r="G41" s="4">
        <v>3.132384076318015E-2</v>
      </c>
      <c r="H41" s="4">
        <v>2.0123814278705302E-2</v>
      </c>
      <c r="I41" s="4">
        <v>2.331984756120481E-2</v>
      </c>
      <c r="J41" s="4">
        <v>1.7215629422212015E-2</v>
      </c>
      <c r="K41" s="4">
        <v>1.7949349415849653E-2</v>
      </c>
      <c r="L41" s="4">
        <v>8.7840746946854194E-5</v>
      </c>
      <c r="M41" s="4">
        <v>9.4136088329480809E-5</v>
      </c>
      <c r="N41" s="4">
        <v>9.383484289574426E-5</v>
      </c>
      <c r="O41" s="4">
        <v>9.4805458010893627E-5</v>
      </c>
      <c r="P41" s="4">
        <v>9.7724660779149457E-5</v>
      </c>
      <c r="Q41" s="4">
        <v>1.647397883474282E-4</v>
      </c>
      <c r="R41" s="4">
        <v>2.5726950334056022E-4</v>
      </c>
      <c r="S41" s="4">
        <v>6.6982792830248101E-4</v>
      </c>
      <c r="T41" s="4">
        <v>6.6382688465080331E-4</v>
      </c>
      <c r="U41" s="4">
        <v>7.0744340662403369E-4</v>
      </c>
      <c r="V41" s="4">
        <v>6.9751018137262171E-4</v>
      </c>
      <c r="W41" s="4">
        <v>6.8560623321184497E-4</v>
      </c>
      <c r="X41" s="4">
        <v>6.7491505859059429E-4</v>
      </c>
      <c r="Y41" s="4">
        <v>6.6810047914604579E-4</v>
      </c>
      <c r="Z41" s="4">
        <v>6.8587877456543296E-4</v>
      </c>
      <c r="AA41" s="4">
        <v>6.6432676944795709E-4</v>
      </c>
      <c r="AB41" s="4">
        <v>6.5334179829594334E-4</v>
      </c>
      <c r="AC41" s="4">
        <v>6.4007841526402388E-4</v>
      </c>
      <c r="AD41" s="4">
        <v>6.1696632599886954E-4</v>
      </c>
      <c r="AE41" s="6">
        <v>-0.99044844575570723</v>
      </c>
    </row>
    <row r="42" spans="1:31" x14ac:dyDescent="0.25">
      <c r="A42" t="s">
        <v>64</v>
      </c>
      <c r="B42" t="s">
        <v>68</v>
      </c>
      <c r="C42" t="s">
        <v>70</v>
      </c>
      <c r="D42" s="4">
        <v>0.43557689081200829</v>
      </c>
      <c r="E42" s="4">
        <v>0.40140270563174141</v>
      </c>
      <c r="F42" s="4">
        <v>0.27463909612538817</v>
      </c>
      <c r="G42" s="4">
        <v>0.23947873458331728</v>
      </c>
      <c r="H42" s="4">
        <v>0.17920843305424725</v>
      </c>
      <c r="I42" s="4">
        <v>0.19494707264714448</v>
      </c>
      <c r="J42" s="4">
        <v>0.2024680542323983</v>
      </c>
      <c r="K42" s="4">
        <v>0.20845504429785183</v>
      </c>
      <c r="L42" s="4">
        <v>8.2259931490830718E-2</v>
      </c>
      <c r="M42" s="4">
        <v>7.666796043884154E-2</v>
      </c>
      <c r="N42" s="4">
        <v>6.5275932475592449E-2</v>
      </c>
      <c r="O42" s="4">
        <v>4.5546537932812478E-2</v>
      </c>
      <c r="P42" s="4">
        <v>5.1754091942630469E-2</v>
      </c>
      <c r="Q42" s="4">
        <v>4.7770203363166078E-2</v>
      </c>
      <c r="R42" s="4">
        <v>4.7942397622516314E-2</v>
      </c>
      <c r="S42" s="4">
        <v>3.4998509253804634E-2</v>
      </c>
      <c r="T42" s="4">
        <v>3.8405151222401693E-2</v>
      </c>
      <c r="U42" s="4">
        <v>3.6452455533208659E-2</v>
      </c>
      <c r="V42" s="4">
        <v>3.8275871202822616E-2</v>
      </c>
      <c r="W42" s="4">
        <v>3.8833440234999121E-2</v>
      </c>
      <c r="X42" s="4">
        <v>4.3309897335759719E-2</v>
      </c>
      <c r="Y42" s="4">
        <v>4.7372499599449301E-2</v>
      </c>
      <c r="Z42" s="4">
        <v>4.4573652707560966E-2</v>
      </c>
      <c r="AA42" s="4">
        <v>4.9037912208575576E-2</v>
      </c>
      <c r="AB42" s="4">
        <v>4.7832538929787859E-2</v>
      </c>
      <c r="AC42" s="4">
        <v>4.6617104946834999E-2</v>
      </c>
      <c r="AD42" s="4">
        <v>5.434506999250284E-2</v>
      </c>
      <c r="AE42" s="6">
        <v>-0.87523426715500907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8.3913564209602818E-7</v>
      </c>
      <c r="E43" s="5">
        <f>907185*E38/(E17*10^9)</f>
        <v>7.6814944404316385E-7</v>
      </c>
      <c r="F43" s="5">
        <f>907185*F38/(F17*10^9)</f>
        <v>5.5365493926736352E-7</v>
      </c>
      <c r="G43" s="5">
        <f>907185*G38/(G17*10^9)</f>
        <v>4.5365610501162299E-7</v>
      </c>
      <c r="H43" s="5">
        <f>907185*H38/(H17*10^9)</f>
        <v>3.547203784839935E-7</v>
      </c>
      <c r="I43" s="5">
        <f>907185*I38/(I17*10^9)</f>
        <v>4.1903242331509924E-7</v>
      </c>
      <c r="J43" s="5">
        <f>907185*J38/(J17*10^9)</f>
        <v>3.4540653730004533E-7</v>
      </c>
      <c r="K43" s="5">
        <f>907185*K38/(K17*10^9)</f>
        <v>3.3911961587767877E-7</v>
      </c>
      <c r="L43" s="5">
        <f>907185*L38/(L17*10^9)</f>
        <v>0</v>
      </c>
      <c r="M43" s="5">
        <f>907185*M38/(M17*10^9)</f>
        <v>0</v>
      </c>
      <c r="N43" s="5">
        <f>907185*N38/(N17*10^9)</f>
        <v>1.1039393281852265E-11</v>
      </c>
      <c r="O43" s="5">
        <f>907185*O38/(O17*10^9)</f>
        <v>9.9795218958835383E-12</v>
      </c>
      <c r="P43" s="5">
        <f>907185*P38/(P17*10^9)</f>
        <v>8.8840600708317671E-12</v>
      </c>
      <c r="Q43" s="5">
        <f>907185*Q38/(Q17*10^9)</f>
        <v>0</v>
      </c>
      <c r="R43" s="5">
        <f>907185*R38/(R17*10^9)</f>
        <v>0</v>
      </c>
      <c r="S43" s="5">
        <f>907185*S38/(S17*10^9)</f>
        <v>4.7844852021605784E-12</v>
      </c>
      <c r="T43" s="5">
        <f>907185*T38/(T17*10^9)</f>
        <v>4.6099089211861342E-12</v>
      </c>
      <c r="U43" s="5">
        <f>907185*U38/(U17*10^9)</f>
        <v>4.7800230177299579E-12</v>
      </c>
      <c r="V43" s="5">
        <f>907185*V38/(V17*10^9)</f>
        <v>0</v>
      </c>
      <c r="W43" s="5">
        <f>907185*W38/(W17*10^9)</f>
        <v>0</v>
      </c>
      <c r="X43" s="5">
        <f>907185*X38/(X17*10^9)</f>
        <v>4.2716142948771782E-12</v>
      </c>
      <c r="Y43" s="5">
        <f>907185*Y38/(Y17*10^9)</f>
        <v>0</v>
      </c>
      <c r="Z43" s="5">
        <f>907185*Z38/(Z17*10^9)</f>
        <v>4.2338195960829177E-12</v>
      </c>
      <c r="AA43" s="5">
        <f>907185*AA38/(AA17*10^9)</f>
        <v>0</v>
      </c>
      <c r="AB43" s="5">
        <f>907185*AB38/(AB17*10^9)</f>
        <v>0</v>
      </c>
      <c r="AC43" s="5">
        <f>907185*AC38/(AC17*10^9)</f>
        <v>0</v>
      </c>
      <c r="AD43" s="5">
        <f>907185*AD38/(AD17*10^9)</f>
        <v>0</v>
      </c>
      <c r="AE43" s="6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t="e" cm="1">
        <f t="array" ref="AE2:AE17">(AD2:AD17-D2:D17)/D2:D17</f>
        <v>#DIV/0!</v>
      </c>
    </row>
    <row r="3" spans="1:31" x14ac:dyDescent="0.25">
      <c r="A3" t="s">
        <v>28</v>
      </c>
      <c r="B3" t="s">
        <v>31</v>
      </c>
      <c r="C3" t="s">
        <v>30</v>
      </c>
      <c r="D3">
        <v>1.0480000000000001E-3</v>
      </c>
      <c r="E3">
        <v>4.2240000000000003E-3</v>
      </c>
      <c r="F3">
        <v>1.122E-3</v>
      </c>
      <c r="G3">
        <v>1.122E-3</v>
      </c>
      <c r="H3">
        <v>1.122E-3</v>
      </c>
      <c r="I3">
        <v>1.122E-3</v>
      </c>
      <c r="J3">
        <v>1.122E-3</v>
      </c>
      <c r="K3">
        <v>1.122E-3</v>
      </c>
      <c r="L3">
        <v>1.122E-3</v>
      </c>
      <c r="M3">
        <v>1.122E-3</v>
      </c>
      <c r="N3">
        <v>1.122E-3</v>
      </c>
      <c r="O3">
        <v>1.122E-3</v>
      </c>
      <c r="P3">
        <v>5.4100000000000003E-4</v>
      </c>
      <c r="Q3">
        <v>5.4100000000000003E-4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6">
        <v>-1</v>
      </c>
    </row>
    <row r="4" spans="1:31" x14ac:dyDescent="0.25">
      <c r="A4" t="s">
        <v>28</v>
      </c>
      <c r="B4" t="s">
        <v>32</v>
      </c>
      <c r="C4" t="s">
        <v>30</v>
      </c>
      <c r="D4">
        <v>58.831893999999998</v>
      </c>
      <c r="E4">
        <v>50.446078999999997</v>
      </c>
      <c r="F4">
        <v>46.034996</v>
      </c>
      <c r="G4">
        <v>41.989021000000001</v>
      </c>
      <c r="H4">
        <v>43.912415000000003</v>
      </c>
      <c r="I4">
        <v>44.570152</v>
      </c>
      <c r="J4">
        <v>51.46011</v>
      </c>
      <c r="K4">
        <v>55.575710000000001</v>
      </c>
      <c r="L4">
        <v>58.996215999999997</v>
      </c>
      <c r="M4">
        <v>62.367477000000001</v>
      </c>
      <c r="N4">
        <v>63.060318000000002</v>
      </c>
      <c r="O4">
        <v>61.870711999999997</v>
      </c>
      <c r="P4">
        <v>54.299602999999998</v>
      </c>
      <c r="Q4">
        <v>50.306885000000001</v>
      </c>
      <c r="R4">
        <v>53.519241000000001</v>
      </c>
      <c r="S4">
        <v>61.253703999999999</v>
      </c>
      <c r="T4">
        <v>57.480690000000003</v>
      </c>
      <c r="U4">
        <v>61.441581999999997</v>
      </c>
      <c r="V4">
        <v>58.943237000000003</v>
      </c>
      <c r="W4">
        <v>55.363495</v>
      </c>
      <c r="X4">
        <v>50.476211999999997</v>
      </c>
      <c r="Y4">
        <v>49.547043000000002</v>
      </c>
      <c r="Z4">
        <v>52.256377999999998</v>
      </c>
      <c r="AA4">
        <v>49.896729000000001</v>
      </c>
      <c r="AB4">
        <v>50.558990000000001</v>
      </c>
      <c r="AC4">
        <v>48.894813999999997</v>
      </c>
      <c r="AD4">
        <v>47.704062999999998</v>
      </c>
      <c r="AE4" s="6">
        <v>-0.18914623078427495</v>
      </c>
    </row>
    <row r="5" spans="1:31" x14ac:dyDescent="0.25">
      <c r="A5" t="s">
        <v>28</v>
      </c>
      <c r="B5" t="s">
        <v>33</v>
      </c>
      <c r="C5" t="s">
        <v>30</v>
      </c>
      <c r="D5">
        <v>17.044563</v>
      </c>
      <c r="E5">
        <v>17.308782999999998</v>
      </c>
      <c r="F5">
        <v>17.269386000000001</v>
      </c>
      <c r="G5">
        <v>17.229987999999999</v>
      </c>
      <c r="H5">
        <v>17.229987999999999</v>
      </c>
      <c r="I5">
        <v>17.229987999999999</v>
      </c>
      <c r="J5">
        <v>8.3055020000000006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6">
        <v>-1</v>
      </c>
    </row>
    <row r="6" spans="1:31" x14ac:dyDescent="0.25">
      <c r="A6" t="s">
        <v>28</v>
      </c>
      <c r="B6" t="s">
        <v>34</v>
      </c>
      <c r="C6" t="s">
        <v>30</v>
      </c>
      <c r="D6">
        <v>-0.30321399999999998</v>
      </c>
      <c r="E6">
        <v>-0.449907</v>
      </c>
      <c r="F6">
        <v>-0.59162999999999999</v>
      </c>
      <c r="G6">
        <v>-0.59063600000000005</v>
      </c>
      <c r="H6">
        <v>-0.62702599999999997</v>
      </c>
      <c r="I6">
        <v>-0.64230100000000001</v>
      </c>
      <c r="J6">
        <v>-0.64225900000000002</v>
      </c>
      <c r="K6">
        <v>-0.64097099999999996</v>
      </c>
      <c r="L6">
        <v>-0.64368899999999996</v>
      </c>
      <c r="M6">
        <v>-0.74315200000000003</v>
      </c>
      <c r="N6">
        <v>-0.756911</v>
      </c>
      <c r="O6">
        <v>-0.75011700000000003</v>
      </c>
      <c r="P6">
        <v>-0.81509500000000001</v>
      </c>
      <c r="Q6">
        <v>-0.82359000000000004</v>
      </c>
      <c r="R6">
        <v>-0.82145800000000002</v>
      </c>
      <c r="S6">
        <v>-0.81014699999999995</v>
      </c>
      <c r="T6">
        <v>-0.812944</v>
      </c>
      <c r="U6">
        <v>-0.83207100000000001</v>
      </c>
      <c r="V6">
        <v>-0.91094900000000001</v>
      </c>
      <c r="W6">
        <v>-1.0802890000000001</v>
      </c>
      <c r="X6">
        <v>-1.563493</v>
      </c>
      <c r="Y6">
        <v>-2.0343819999999999</v>
      </c>
      <c r="Z6">
        <v>-1.9937469999999999</v>
      </c>
      <c r="AA6">
        <v>-2.0305710000000001</v>
      </c>
      <c r="AB6">
        <v>-2.0456180000000002</v>
      </c>
      <c r="AC6">
        <v>-2.1386790000000002</v>
      </c>
      <c r="AD6">
        <v>-2.1940080000000002</v>
      </c>
      <c r="AE6" s="6">
        <v>6.2358400337715283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20.506798</v>
      </c>
      <c r="E8">
        <v>22.277161</v>
      </c>
      <c r="F8">
        <v>23.125979999999998</v>
      </c>
      <c r="G8">
        <v>23.971972999999998</v>
      </c>
      <c r="H8">
        <v>23.963123</v>
      </c>
      <c r="I8">
        <v>23.958083999999999</v>
      </c>
      <c r="J8">
        <v>23.966894</v>
      </c>
      <c r="K8">
        <v>23.969052999999999</v>
      </c>
      <c r="L8">
        <v>23.96332</v>
      </c>
      <c r="M8">
        <v>23.966609999999999</v>
      </c>
      <c r="N8">
        <v>23.953775</v>
      </c>
      <c r="O8">
        <v>23.97401</v>
      </c>
      <c r="P8">
        <v>23.973347</v>
      </c>
      <c r="Q8">
        <v>23.990455999999998</v>
      </c>
      <c r="R8">
        <v>24.095665</v>
      </c>
      <c r="S8">
        <v>24.10689</v>
      </c>
      <c r="T8">
        <v>24.113036999999998</v>
      </c>
      <c r="U8">
        <v>24.141217999999999</v>
      </c>
      <c r="V8">
        <v>24.143141</v>
      </c>
      <c r="W8">
        <v>23.186050000000002</v>
      </c>
      <c r="X8">
        <v>23.034246</v>
      </c>
      <c r="Y8">
        <v>23.068456999999999</v>
      </c>
      <c r="Z8">
        <v>23.235431999999999</v>
      </c>
      <c r="AA8">
        <v>23.204746</v>
      </c>
      <c r="AB8">
        <v>23.085079</v>
      </c>
      <c r="AC8">
        <v>23.020617999999999</v>
      </c>
      <c r="AD8">
        <v>22.977803999999999</v>
      </c>
      <c r="AE8" s="6">
        <v>0.1204969200944974</v>
      </c>
    </row>
    <row r="9" spans="1:31" x14ac:dyDescent="0.25">
      <c r="A9" t="s">
        <v>28</v>
      </c>
      <c r="B9" t="s">
        <v>37</v>
      </c>
      <c r="C9" t="s">
        <v>30</v>
      </c>
      <c r="D9">
        <v>5.7094639999999997</v>
      </c>
      <c r="E9">
        <v>5.6026119999999997</v>
      </c>
      <c r="F9">
        <v>5.9179789999999999</v>
      </c>
      <c r="G9">
        <v>6.2153099999999997</v>
      </c>
      <c r="H9">
        <v>6.6883650000000001</v>
      </c>
      <c r="I9">
        <v>7.1664180000000002</v>
      </c>
      <c r="J9">
        <v>7.8440789999999998</v>
      </c>
      <c r="K9">
        <v>8.6229639999999996</v>
      </c>
      <c r="L9">
        <v>9.4083269999999999</v>
      </c>
      <c r="M9">
        <v>10.102765</v>
      </c>
      <c r="N9">
        <v>10.799844</v>
      </c>
      <c r="O9">
        <v>11.498666</v>
      </c>
      <c r="P9">
        <v>12.194903999999999</v>
      </c>
      <c r="Q9">
        <v>12.880051</v>
      </c>
      <c r="R9">
        <v>13.738453</v>
      </c>
      <c r="S9">
        <v>14.415722000000001</v>
      </c>
      <c r="T9">
        <v>14.951238</v>
      </c>
      <c r="U9">
        <v>15.337126</v>
      </c>
      <c r="V9">
        <v>15.723012000000001</v>
      </c>
      <c r="W9">
        <v>16.108899999999998</v>
      </c>
      <c r="X9">
        <v>16.494786999999999</v>
      </c>
      <c r="Y9">
        <v>16.880673999999999</v>
      </c>
      <c r="Z9">
        <v>17.266562</v>
      </c>
      <c r="AA9">
        <v>17.652445</v>
      </c>
      <c r="AB9">
        <v>17.975328000000001</v>
      </c>
      <c r="AC9">
        <v>18.164335000000001</v>
      </c>
      <c r="AD9">
        <v>18.353338000000001</v>
      </c>
      <c r="AE9" s="6">
        <v>2.2145465844079237</v>
      </c>
    </row>
    <row r="10" spans="1:31" x14ac:dyDescent="0.25">
      <c r="A10" t="s">
        <v>28</v>
      </c>
      <c r="B10" t="s">
        <v>38</v>
      </c>
      <c r="C10" t="s">
        <v>30</v>
      </c>
      <c r="D10">
        <v>0.43151800000000001</v>
      </c>
      <c r="E10">
        <v>0.47065099999999999</v>
      </c>
      <c r="F10">
        <v>0.49550899999999998</v>
      </c>
      <c r="G10">
        <v>0.52024099999999995</v>
      </c>
      <c r="H10">
        <v>0.54839300000000002</v>
      </c>
      <c r="I10">
        <v>0.57023699999999999</v>
      </c>
      <c r="J10">
        <v>0.59027499999999999</v>
      </c>
      <c r="K10">
        <v>0.61186300000000005</v>
      </c>
      <c r="L10">
        <v>0.63459399999999999</v>
      </c>
      <c r="M10">
        <v>0.65825599999999995</v>
      </c>
      <c r="N10">
        <v>0.67775700000000005</v>
      </c>
      <c r="O10">
        <v>0.69722399999999995</v>
      </c>
      <c r="P10">
        <v>0.71776300000000004</v>
      </c>
      <c r="Q10">
        <v>0.73926499999999995</v>
      </c>
      <c r="R10">
        <v>0.76151899999999995</v>
      </c>
      <c r="S10">
        <v>0.77676400000000001</v>
      </c>
      <c r="T10">
        <v>0.79311399999999999</v>
      </c>
      <c r="U10">
        <v>0.81030800000000003</v>
      </c>
      <c r="V10">
        <v>0.82789500000000005</v>
      </c>
      <c r="W10">
        <v>0.84591400000000005</v>
      </c>
      <c r="X10">
        <v>0.85522799999999999</v>
      </c>
      <c r="Y10">
        <v>0.86437799999999998</v>
      </c>
      <c r="Z10">
        <v>0.87361699999999998</v>
      </c>
      <c r="AA10">
        <v>0.88314599999999999</v>
      </c>
      <c r="AB10">
        <v>0.89263700000000001</v>
      </c>
      <c r="AC10">
        <v>0.89263700000000001</v>
      </c>
      <c r="AD10">
        <v>0.89263499999999996</v>
      </c>
      <c r="AE10" s="6">
        <v>1.0685927354131228</v>
      </c>
    </row>
    <row r="11" spans="1:31" x14ac:dyDescent="0.25">
      <c r="A11" t="s">
        <v>28</v>
      </c>
      <c r="B11" t="s">
        <v>39</v>
      </c>
      <c r="C11" t="s">
        <v>30</v>
      </c>
      <c r="D11">
        <v>1.8346210000000001</v>
      </c>
      <c r="E11">
        <v>1.877864</v>
      </c>
      <c r="F11">
        <v>1.82694</v>
      </c>
      <c r="G11">
        <v>1.82694</v>
      </c>
      <c r="H11">
        <v>1.8269409999999999</v>
      </c>
      <c r="I11">
        <v>1.8269409999999999</v>
      </c>
      <c r="J11">
        <v>1.827841</v>
      </c>
      <c r="K11">
        <v>1.827008</v>
      </c>
      <c r="L11">
        <v>1.848795</v>
      </c>
      <c r="M11">
        <v>1.8504590000000001</v>
      </c>
      <c r="N11">
        <v>1.8736630000000001</v>
      </c>
      <c r="O11">
        <v>1.8737649999999999</v>
      </c>
      <c r="P11">
        <v>1.9607760000000001</v>
      </c>
      <c r="Q11">
        <v>1.9607760000000001</v>
      </c>
      <c r="R11">
        <v>1.8882460000000001</v>
      </c>
      <c r="S11">
        <v>1.8341149999999999</v>
      </c>
      <c r="T11">
        <v>1.842257</v>
      </c>
      <c r="U11">
        <v>1.8800140000000001</v>
      </c>
      <c r="V11">
        <v>1.871872</v>
      </c>
      <c r="W11">
        <v>1.871038</v>
      </c>
      <c r="X11">
        <v>1.8334060000000001</v>
      </c>
      <c r="Y11">
        <v>1.84893</v>
      </c>
      <c r="Z11">
        <v>1.8407210000000001</v>
      </c>
      <c r="AA11">
        <v>1.8334060000000001</v>
      </c>
      <c r="AB11">
        <v>1.8360650000000001</v>
      </c>
      <c r="AC11">
        <v>1.8360650000000001</v>
      </c>
      <c r="AD11">
        <v>1.84893</v>
      </c>
      <c r="AE11" s="6">
        <v>7.7994310541522772E-3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13.301681</v>
      </c>
      <c r="E13">
        <v>15.243326</v>
      </c>
      <c r="F13">
        <v>18.874561</v>
      </c>
      <c r="G13">
        <v>19.571525999999999</v>
      </c>
      <c r="H13">
        <v>19.603241000000001</v>
      </c>
      <c r="I13">
        <v>19.703419</v>
      </c>
      <c r="J13">
        <v>19.645323000000001</v>
      </c>
      <c r="K13">
        <v>19.551234999999998</v>
      </c>
      <c r="L13">
        <v>19.606928</v>
      </c>
      <c r="M13">
        <v>19.557938</v>
      </c>
      <c r="N13">
        <v>19.612891999999999</v>
      </c>
      <c r="O13">
        <v>19.486013</v>
      </c>
      <c r="P13">
        <v>23.19577</v>
      </c>
      <c r="Q13">
        <v>24.539401999999999</v>
      </c>
      <c r="R13">
        <v>24.803605999999998</v>
      </c>
      <c r="S13">
        <v>24.720738999999998</v>
      </c>
      <c r="T13">
        <v>24.704145</v>
      </c>
      <c r="U13">
        <v>24.626871000000001</v>
      </c>
      <c r="V13">
        <v>31.647863000000001</v>
      </c>
      <c r="W13">
        <v>43.422469999999997</v>
      </c>
      <c r="X13">
        <v>53.13147</v>
      </c>
      <c r="Y13">
        <v>57.442070000000001</v>
      </c>
      <c r="Z13">
        <v>57.878124</v>
      </c>
      <c r="AA13">
        <v>58.360371000000001</v>
      </c>
      <c r="AB13">
        <v>62.587257000000001</v>
      </c>
      <c r="AC13">
        <v>66.999602999999993</v>
      </c>
      <c r="AD13">
        <v>68.086098000000007</v>
      </c>
      <c r="AE13" s="6">
        <v>4.1186085427849308</v>
      </c>
    </row>
    <row r="14" spans="1:31" x14ac:dyDescent="0.25">
      <c r="A14" t="s">
        <v>28</v>
      </c>
      <c r="B14" t="s">
        <v>42</v>
      </c>
      <c r="C14" t="s">
        <v>30</v>
      </c>
      <c r="D14">
        <v>4.1461290000000002</v>
      </c>
      <c r="E14">
        <v>4.2004440000000001</v>
      </c>
      <c r="F14">
        <v>4.622528</v>
      </c>
      <c r="G14">
        <v>4.7770089999999996</v>
      </c>
      <c r="H14">
        <v>4.7760720000000001</v>
      </c>
      <c r="I14">
        <v>4.7744980000000004</v>
      </c>
      <c r="J14">
        <v>4.7739500000000001</v>
      </c>
      <c r="K14">
        <v>4.7748179999999998</v>
      </c>
      <c r="L14">
        <v>4.7732099999999997</v>
      </c>
      <c r="M14">
        <v>4.7729629999999998</v>
      </c>
      <c r="N14">
        <v>4.7715399999999999</v>
      </c>
      <c r="O14">
        <v>4.7841449999999996</v>
      </c>
      <c r="P14">
        <v>4.7888809999999999</v>
      </c>
      <c r="Q14">
        <v>4.7893210000000002</v>
      </c>
      <c r="R14">
        <v>8.7156210000000005</v>
      </c>
      <c r="S14">
        <v>9.7032769999999999</v>
      </c>
      <c r="T14">
        <v>9.7071360000000002</v>
      </c>
      <c r="U14">
        <v>9.7140430000000002</v>
      </c>
      <c r="V14">
        <v>9.713984</v>
      </c>
      <c r="W14">
        <v>9.4934460000000005</v>
      </c>
      <c r="X14">
        <v>9.2219800000000003</v>
      </c>
      <c r="Y14">
        <v>9.2253889999999998</v>
      </c>
      <c r="Z14">
        <v>9.4820010000000003</v>
      </c>
      <c r="AA14">
        <v>9.4718590000000003</v>
      </c>
      <c r="AB14">
        <v>9.2623909999999992</v>
      </c>
      <c r="AC14">
        <v>9.1736930000000001</v>
      </c>
      <c r="AD14">
        <v>9.1801650000000006</v>
      </c>
      <c r="AE14" s="6">
        <v>1.21415324993506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9" t="s">
        <v>44</v>
      </c>
      <c r="C16" t="s">
        <v>30</v>
      </c>
      <c r="D16">
        <v>0</v>
      </c>
      <c r="E16">
        <v>0</v>
      </c>
      <c r="F16">
        <v>3.7729999999999999E-3</v>
      </c>
      <c r="G16">
        <v>1.0349000000000001E-2</v>
      </c>
      <c r="H16">
        <v>2.3453000000000002E-2</v>
      </c>
      <c r="I16">
        <v>3.5763999999999997E-2</v>
      </c>
      <c r="J16">
        <v>4.9422000000000001E-2</v>
      </c>
      <c r="K16">
        <v>6.3149999999999998E-2</v>
      </c>
      <c r="L16">
        <v>0.11648699999999999</v>
      </c>
      <c r="M16">
        <v>0.174843</v>
      </c>
      <c r="N16">
        <v>0.235959</v>
      </c>
      <c r="O16">
        <v>0.302421</v>
      </c>
      <c r="P16">
        <v>0.33619399999999999</v>
      </c>
      <c r="Q16">
        <v>0.35527300000000001</v>
      </c>
      <c r="R16">
        <v>0.36257499999999998</v>
      </c>
      <c r="S16">
        <v>0.40666600000000003</v>
      </c>
      <c r="T16">
        <v>0.42604900000000001</v>
      </c>
      <c r="U16">
        <v>0.44500099999999998</v>
      </c>
      <c r="V16">
        <v>0.463397</v>
      </c>
      <c r="W16">
        <v>0.48031200000000002</v>
      </c>
      <c r="X16">
        <v>0.49638100000000002</v>
      </c>
      <c r="Y16">
        <v>0.51305599999999996</v>
      </c>
      <c r="Z16">
        <v>0.52939800000000004</v>
      </c>
      <c r="AA16">
        <v>0.545821</v>
      </c>
      <c r="AB16">
        <v>0.59499500000000005</v>
      </c>
      <c r="AC16">
        <v>0.61053199999999996</v>
      </c>
      <c r="AD16">
        <v>0.66023299999999996</v>
      </c>
      <c r="AE16" s="6" t="e">
        <v>#DIV/0!</v>
      </c>
    </row>
    <row r="17" spans="1:31" x14ac:dyDescent="0.25">
      <c r="A17" t="s">
        <v>28</v>
      </c>
      <c r="B17" s="9" t="s">
        <v>45</v>
      </c>
      <c r="C17" t="s">
        <v>30</v>
      </c>
      <c r="D17">
        <v>121.504501</v>
      </c>
      <c r="E17">
        <v>116.981239</v>
      </c>
      <c r="F17">
        <v>117.581146</v>
      </c>
      <c r="G17">
        <v>115.522842</v>
      </c>
      <c r="H17">
        <v>117.946083</v>
      </c>
      <c r="I17">
        <v>119.194328</v>
      </c>
      <c r="J17">
        <v>117.822266</v>
      </c>
      <c r="K17">
        <v>114.355949</v>
      </c>
      <c r="L17">
        <v>118.705307</v>
      </c>
      <c r="M17">
        <v>122.70927399999999</v>
      </c>
      <c r="N17">
        <v>124.22996500000001</v>
      </c>
      <c r="O17">
        <v>123.737968</v>
      </c>
      <c r="P17">
        <v>120.65269499999999</v>
      </c>
      <c r="Q17">
        <v>118.738373</v>
      </c>
      <c r="R17">
        <v>127.063469</v>
      </c>
      <c r="S17">
        <v>136.40772999999999</v>
      </c>
      <c r="T17">
        <v>133.20474200000001</v>
      </c>
      <c r="U17">
        <v>137.564087</v>
      </c>
      <c r="V17">
        <v>142.42344700000001</v>
      </c>
      <c r="W17">
        <v>149.69132999999999</v>
      </c>
      <c r="X17">
        <v>153.98022499999999</v>
      </c>
      <c r="Y17">
        <v>157.35560599999999</v>
      </c>
      <c r="Z17">
        <v>161.368484</v>
      </c>
      <c r="AA17">
        <v>159.81796299999999</v>
      </c>
      <c r="AB17">
        <v>164.747131</v>
      </c>
      <c r="AC17">
        <v>167.45361299999999</v>
      </c>
      <c r="AD17">
        <v>167.50926200000001</v>
      </c>
      <c r="AE17" s="6">
        <v>0.37862598192967356</v>
      </c>
    </row>
    <row r="18" spans="1:31" x14ac:dyDescent="0.25">
      <c r="A18" t="s">
        <v>74</v>
      </c>
      <c r="B18" t="s">
        <v>46</v>
      </c>
      <c r="C18" t="s">
        <v>47</v>
      </c>
      <c r="D18">
        <v>25.143871000000001</v>
      </c>
      <c r="E18">
        <v>24.641254</v>
      </c>
      <c r="F18">
        <v>21.632398999999999</v>
      </c>
      <c r="G18">
        <v>19.795067</v>
      </c>
      <c r="H18">
        <v>19.426715999999999</v>
      </c>
      <c r="I18">
        <v>19.884903000000001</v>
      </c>
      <c r="J18">
        <v>20.228335999999999</v>
      </c>
      <c r="K18">
        <v>20.775803</v>
      </c>
      <c r="L18">
        <v>21.037330999999998</v>
      </c>
      <c r="M18">
        <v>21.25845</v>
      </c>
      <c r="N18">
        <v>21.369195999999999</v>
      </c>
      <c r="O18">
        <v>21.290049</v>
      </c>
      <c r="P18">
        <v>22.056968999999999</v>
      </c>
      <c r="Q18">
        <v>22.609772</v>
      </c>
      <c r="R18">
        <v>22.415621000000002</v>
      </c>
      <c r="S18">
        <v>21.679818999999998</v>
      </c>
      <c r="T18">
        <v>21.633102000000001</v>
      </c>
      <c r="U18">
        <v>21.738554000000001</v>
      </c>
      <c r="V18">
        <v>21.679770000000001</v>
      </c>
      <c r="W18">
        <v>21.724487</v>
      </c>
      <c r="X18">
        <v>21.901133999999999</v>
      </c>
      <c r="Y18">
        <v>22.043530000000001</v>
      </c>
      <c r="Z18">
        <v>22.113623</v>
      </c>
      <c r="AA18">
        <v>22.453317999999999</v>
      </c>
      <c r="AB18">
        <v>22.451014000000001</v>
      </c>
      <c r="AC18">
        <v>22.795265000000001</v>
      </c>
      <c r="AD18">
        <v>22.939935999999999</v>
      </c>
      <c r="AE18" s="6" cm="1">
        <f t="array" ref="AE18:AE22">(AD18:AD22-D18:D22)/D18:D22</f>
        <v>-8.7652971175361236E-2</v>
      </c>
    </row>
    <row r="19" spans="1:31" x14ac:dyDescent="0.25">
      <c r="A19" t="s">
        <v>74</v>
      </c>
      <c r="B19" t="s">
        <v>48</v>
      </c>
      <c r="C19" t="s">
        <v>47</v>
      </c>
      <c r="D19">
        <v>22.242101999999999</v>
      </c>
      <c r="E19">
        <v>21.266808999999999</v>
      </c>
      <c r="F19">
        <v>18.030391999999999</v>
      </c>
      <c r="G19">
        <v>16.155716000000002</v>
      </c>
      <c r="H19">
        <v>15.771476</v>
      </c>
      <c r="I19">
        <v>16.128691</v>
      </c>
      <c r="J19">
        <v>16.393818</v>
      </c>
      <c r="K19">
        <v>16.840976999999999</v>
      </c>
      <c r="L19">
        <v>16.966742</v>
      </c>
      <c r="M19">
        <v>17.041439</v>
      </c>
      <c r="N19">
        <v>17.028776000000001</v>
      </c>
      <c r="O19">
        <v>16.860887999999999</v>
      </c>
      <c r="P19">
        <v>17.476565999999998</v>
      </c>
      <c r="Q19">
        <v>17.895527000000001</v>
      </c>
      <c r="R19">
        <v>17.601330000000001</v>
      </c>
      <c r="S19">
        <v>16.820398000000001</v>
      </c>
      <c r="T19">
        <v>16.681995000000001</v>
      </c>
      <c r="U19">
        <v>16.667048999999999</v>
      </c>
      <c r="V19">
        <v>16.496528999999999</v>
      </c>
      <c r="W19">
        <v>16.441379999999999</v>
      </c>
      <c r="X19">
        <v>16.504051</v>
      </c>
      <c r="Y19">
        <v>16.563725999999999</v>
      </c>
      <c r="Z19">
        <v>16.500945999999999</v>
      </c>
      <c r="AA19">
        <v>16.718095999999999</v>
      </c>
      <c r="AB19">
        <v>16.623362</v>
      </c>
      <c r="AC19">
        <v>16.832317</v>
      </c>
      <c r="AD19">
        <v>16.850166000000002</v>
      </c>
      <c r="AE19" s="6">
        <v>-0.24242025326563099</v>
      </c>
    </row>
    <row r="20" spans="1:31" x14ac:dyDescent="0.25">
      <c r="A20" t="s">
        <v>74</v>
      </c>
      <c r="B20" t="s">
        <v>49</v>
      </c>
      <c r="C20" t="s">
        <v>47</v>
      </c>
      <c r="D20">
        <v>19.229756999999999</v>
      </c>
      <c r="E20">
        <v>18.26013</v>
      </c>
      <c r="F20">
        <v>14.962032000000001</v>
      </c>
      <c r="G20">
        <v>13.211349999999999</v>
      </c>
      <c r="H20">
        <v>12.878981</v>
      </c>
      <c r="I20">
        <v>13.185649</v>
      </c>
      <c r="J20">
        <v>13.464178</v>
      </c>
      <c r="K20">
        <v>13.890461</v>
      </c>
      <c r="L20">
        <v>14.043823</v>
      </c>
      <c r="M20">
        <v>14.143895000000001</v>
      </c>
      <c r="N20">
        <v>14.165981</v>
      </c>
      <c r="O20">
        <v>14.055234</v>
      </c>
      <c r="P20">
        <v>14.634577999999999</v>
      </c>
      <c r="Q20">
        <v>15.07996</v>
      </c>
      <c r="R20">
        <v>14.742241</v>
      </c>
      <c r="S20">
        <v>13.969837999999999</v>
      </c>
      <c r="T20">
        <v>13.844229</v>
      </c>
      <c r="U20">
        <v>13.8405</v>
      </c>
      <c r="V20">
        <v>13.713137</v>
      </c>
      <c r="W20">
        <v>13.680909</v>
      </c>
      <c r="X20">
        <v>13.755025</v>
      </c>
      <c r="Y20">
        <v>13.807332000000001</v>
      </c>
      <c r="Z20">
        <v>13.744522</v>
      </c>
      <c r="AA20">
        <v>13.906810999999999</v>
      </c>
      <c r="AB20">
        <v>13.840158000000001</v>
      </c>
      <c r="AC20">
        <v>14.020794</v>
      </c>
      <c r="AD20">
        <v>14.04055</v>
      </c>
      <c r="AE20" s="6">
        <v>-0.26985296798082264</v>
      </c>
    </row>
    <row r="21" spans="1:31" x14ac:dyDescent="0.25">
      <c r="A21" t="s">
        <v>74</v>
      </c>
      <c r="B21" t="s">
        <v>50</v>
      </c>
      <c r="C21" t="s">
        <v>47</v>
      </c>
      <c r="D21">
        <v>22.351949999999999</v>
      </c>
      <c r="E21">
        <v>21.423414000000001</v>
      </c>
      <c r="F21">
        <v>18.25234</v>
      </c>
      <c r="G21">
        <v>16.255175000000001</v>
      </c>
      <c r="H21">
        <v>15.885514000000001</v>
      </c>
      <c r="I21">
        <v>16.276530999999999</v>
      </c>
      <c r="J21">
        <v>16.531027000000002</v>
      </c>
      <c r="K21">
        <v>16.979724999999998</v>
      </c>
      <c r="L21">
        <v>17.088277999999999</v>
      </c>
      <c r="M21">
        <v>17.192288999999999</v>
      </c>
      <c r="N21">
        <v>17.138401000000002</v>
      </c>
      <c r="O21">
        <v>17.008172999999999</v>
      </c>
      <c r="P21">
        <v>17.574268</v>
      </c>
      <c r="Q21">
        <v>18.045691999999999</v>
      </c>
      <c r="R21">
        <v>17.727867</v>
      </c>
      <c r="S21">
        <v>16.98451</v>
      </c>
      <c r="T21">
        <v>16.847538</v>
      </c>
      <c r="U21">
        <v>16.849969999999999</v>
      </c>
      <c r="V21">
        <v>16.714967999999999</v>
      </c>
      <c r="W21">
        <v>16.682839999999999</v>
      </c>
      <c r="X21">
        <v>16.760812999999999</v>
      </c>
      <c r="Y21">
        <v>16.812479</v>
      </c>
      <c r="Z21">
        <v>16.768055</v>
      </c>
      <c r="AA21">
        <v>16.954008000000002</v>
      </c>
      <c r="AB21">
        <v>16.881091999999999</v>
      </c>
      <c r="AC21">
        <v>17.073129999999999</v>
      </c>
      <c r="AD21">
        <v>17.099701</v>
      </c>
      <c r="AE21" s="6">
        <v>-0.23497945369419668</v>
      </c>
    </row>
    <row r="22" spans="1:31" x14ac:dyDescent="0.25">
      <c r="A22" t="s">
        <v>74</v>
      </c>
      <c r="B22" t="s">
        <v>51</v>
      </c>
      <c r="C22" t="s">
        <v>47</v>
      </c>
      <c r="D22">
        <v>22.422985000000001</v>
      </c>
      <c r="E22">
        <v>21.518585000000002</v>
      </c>
      <c r="F22">
        <v>18.356217999999998</v>
      </c>
      <c r="G22">
        <v>16.547574999999998</v>
      </c>
      <c r="H22">
        <v>16.205915000000001</v>
      </c>
      <c r="I22">
        <v>16.587627000000001</v>
      </c>
      <c r="J22">
        <v>16.873166999999999</v>
      </c>
      <c r="K22">
        <v>17.334264999999998</v>
      </c>
      <c r="L22">
        <v>17.487075999999998</v>
      </c>
      <c r="M22">
        <v>17.590916</v>
      </c>
      <c r="N22">
        <v>17.601922999999999</v>
      </c>
      <c r="O22">
        <v>17.445792999999998</v>
      </c>
      <c r="P22">
        <v>17.994385000000001</v>
      </c>
      <c r="Q22">
        <v>18.438586999999998</v>
      </c>
      <c r="R22">
        <v>18.204494</v>
      </c>
      <c r="S22">
        <v>17.456457</v>
      </c>
      <c r="T22">
        <v>17.334928999999999</v>
      </c>
      <c r="U22">
        <v>17.342745000000001</v>
      </c>
      <c r="V22">
        <v>17.204329999999999</v>
      </c>
      <c r="W22">
        <v>17.175898</v>
      </c>
      <c r="X22">
        <v>17.268495999999999</v>
      </c>
      <c r="Y22">
        <v>17.338149999999999</v>
      </c>
      <c r="Z22">
        <v>17.303175</v>
      </c>
      <c r="AA22">
        <v>17.526786999999999</v>
      </c>
      <c r="AB22">
        <v>17.453261999999999</v>
      </c>
      <c r="AC22">
        <v>17.679234999999998</v>
      </c>
      <c r="AD22">
        <v>17.718330000000002</v>
      </c>
      <c r="AE22" s="6">
        <v>-0.2098139476077783</v>
      </c>
    </row>
    <row r="23" spans="1:31" x14ac:dyDescent="0.25">
      <c r="A23" t="s">
        <v>75</v>
      </c>
      <c r="B23" t="s">
        <v>46</v>
      </c>
      <c r="C23" t="s">
        <v>52</v>
      </c>
      <c r="D23">
        <v>25.143871000000001</v>
      </c>
      <c r="E23">
        <v>25.160187000000001</v>
      </c>
      <c r="F23">
        <v>22.491137999999999</v>
      </c>
      <c r="G23">
        <v>20.939892</v>
      </c>
      <c r="H23">
        <v>20.949341</v>
      </c>
      <c r="I23">
        <v>21.857975</v>
      </c>
      <c r="J23">
        <v>22.695332000000001</v>
      </c>
      <c r="K23">
        <v>23.837105000000001</v>
      </c>
      <c r="L23">
        <v>24.695929</v>
      </c>
      <c r="M23">
        <v>25.561979000000001</v>
      </c>
      <c r="N23">
        <v>26.322279000000002</v>
      </c>
      <c r="O23">
        <v>26.85726</v>
      </c>
      <c r="P23">
        <v>28.476357</v>
      </c>
      <c r="Q23">
        <v>29.851649999999999</v>
      </c>
      <c r="R23">
        <v>30.234528000000001</v>
      </c>
      <c r="S23">
        <v>29.850479</v>
      </c>
      <c r="T23">
        <v>30.401501</v>
      </c>
      <c r="U23">
        <v>31.174423000000001</v>
      </c>
      <c r="V23">
        <v>31.722833999999999</v>
      </c>
      <c r="W23">
        <v>32.437092</v>
      </c>
      <c r="X23">
        <v>33.365336999999997</v>
      </c>
      <c r="Y23">
        <v>34.274707999999997</v>
      </c>
      <c r="Z23">
        <v>35.093285000000002</v>
      </c>
      <c r="AA23">
        <v>36.385342000000001</v>
      </c>
      <c r="AB23">
        <v>37.164639000000001</v>
      </c>
      <c r="AC23">
        <v>38.553111999999999</v>
      </c>
      <c r="AD23">
        <v>39.653328000000002</v>
      </c>
      <c r="AE23" s="6" cm="1">
        <f t="array" ref="AE23:AE27">(AD23:AD27-D23:D27)/D23:D27</f>
        <v>0.57705740695217533</v>
      </c>
    </row>
    <row r="24" spans="1:31" x14ac:dyDescent="0.25">
      <c r="A24" t="s">
        <v>75</v>
      </c>
      <c r="B24" t="s">
        <v>48</v>
      </c>
      <c r="C24" t="s">
        <v>52</v>
      </c>
      <c r="D24">
        <v>22.242101999999999</v>
      </c>
      <c r="E24">
        <v>21.714677999999999</v>
      </c>
      <c r="F24">
        <v>18.746141000000001</v>
      </c>
      <c r="G24">
        <v>17.090063000000001</v>
      </c>
      <c r="H24">
        <v>17.00761</v>
      </c>
      <c r="I24">
        <v>17.729053</v>
      </c>
      <c r="J24">
        <v>18.393166000000001</v>
      </c>
      <c r="K24">
        <v>19.322485</v>
      </c>
      <c r="L24">
        <v>19.917422999999999</v>
      </c>
      <c r="M24">
        <v>20.491282999999999</v>
      </c>
      <c r="N24">
        <v>20.975809000000002</v>
      </c>
      <c r="O24">
        <v>21.269898999999999</v>
      </c>
      <c r="P24">
        <v>22.562891</v>
      </c>
      <c r="Q24">
        <v>23.627438999999999</v>
      </c>
      <c r="R24">
        <v>23.740938</v>
      </c>
      <c r="S24">
        <v>23.159647</v>
      </c>
      <c r="T24">
        <v>23.443594000000001</v>
      </c>
      <c r="U24">
        <v>23.901572999999999</v>
      </c>
      <c r="V24">
        <v>24.138477000000002</v>
      </c>
      <c r="W24">
        <v>24.548819999999999</v>
      </c>
      <c r="X24">
        <v>25.143136999999999</v>
      </c>
      <c r="Y24">
        <v>25.754356000000001</v>
      </c>
      <c r="Z24">
        <v>26.186229999999998</v>
      </c>
      <c r="AA24">
        <v>27.091481999999999</v>
      </c>
      <c r="AB24">
        <v>27.517744</v>
      </c>
      <c r="AC24">
        <v>28.468112999999999</v>
      </c>
      <c r="AD24">
        <v>29.126723999999999</v>
      </c>
      <c r="AE24" s="6">
        <v>0.30953108658525175</v>
      </c>
    </row>
    <row r="25" spans="1:31" x14ac:dyDescent="0.25">
      <c r="A25" t="s">
        <v>75</v>
      </c>
      <c r="B25" t="s">
        <v>49</v>
      </c>
      <c r="C25" t="s">
        <v>52</v>
      </c>
      <c r="D25">
        <v>19.229756999999999</v>
      </c>
      <c r="E25">
        <v>18.644677999999999</v>
      </c>
      <c r="F25">
        <v>15.555978</v>
      </c>
      <c r="G25">
        <v>13.975414000000001</v>
      </c>
      <c r="H25">
        <v>13.888408</v>
      </c>
      <c r="I25">
        <v>14.49399</v>
      </c>
      <c r="J25">
        <v>15.106235</v>
      </c>
      <c r="K25">
        <v>15.937213</v>
      </c>
      <c r="L25">
        <v>16.486180999999998</v>
      </c>
      <c r="M25">
        <v>17.007164</v>
      </c>
      <c r="N25">
        <v>17.449459000000001</v>
      </c>
      <c r="O25">
        <v>17.730587</v>
      </c>
      <c r="P25">
        <v>18.893778000000001</v>
      </c>
      <c r="Q25">
        <v>19.910049000000001</v>
      </c>
      <c r="R25">
        <v>19.884557999999998</v>
      </c>
      <c r="S25">
        <v>19.234772</v>
      </c>
      <c r="T25">
        <v>19.455615999999999</v>
      </c>
      <c r="U25">
        <v>19.848127000000002</v>
      </c>
      <c r="V25">
        <v>20.065691000000001</v>
      </c>
      <c r="W25">
        <v>20.427128</v>
      </c>
      <c r="X25">
        <v>20.955126</v>
      </c>
      <c r="Y25">
        <v>21.468536</v>
      </c>
      <c r="Z25">
        <v>21.811913000000001</v>
      </c>
      <c r="AA25">
        <v>22.535826</v>
      </c>
      <c r="AB25">
        <v>22.910522</v>
      </c>
      <c r="AC25">
        <v>23.713047</v>
      </c>
      <c r="AD25">
        <v>24.270099999999999</v>
      </c>
      <c r="AE25" s="6">
        <v>0.26211163250788871</v>
      </c>
    </row>
    <row r="26" spans="1:31" x14ac:dyDescent="0.25">
      <c r="A26" t="s">
        <v>75</v>
      </c>
      <c r="B26" t="s">
        <v>50</v>
      </c>
      <c r="C26" t="s">
        <v>52</v>
      </c>
      <c r="D26">
        <v>22.351949999999999</v>
      </c>
      <c r="E26">
        <v>21.874580000000002</v>
      </c>
      <c r="F26">
        <v>18.976901999999999</v>
      </c>
      <c r="G26">
        <v>17.195274000000001</v>
      </c>
      <c r="H26">
        <v>17.130586999999998</v>
      </c>
      <c r="I26">
        <v>17.891563000000001</v>
      </c>
      <c r="J26">
        <v>18.547108000000001</v>
      </c>
      <c r="K26">
        <v>19.481677999999999</v>
      </c>
      <c r="L26">
        <v>20.060096999999999</v>
      </c>
      <c r="M26">
        <v>20.672671999999999</v>
      </c>
      <c r="N26">
        <v>21.110844</v>
      </c>
      <c r="O26">
        <v>21.4557</v>
      </c>
      <c r="P26">
        <v>22.689028</v>
      </c>
      <c r="Q26">
        <v>23.825703000000001</v>
      </c>
      <c r="R26">
        <v>23.911615000000001</v>
      </c>
      <c r="S26">
        <v>23.385611000000001</v>
      </c>
      <c r="T26">
        <v>23.676237</v>
      </c>
      <c r="U26">
        <v>24.163893000000002</v>
      </c>
      <c r="V26">
        <v>24.458109</v>
      </c>
      <c r="W26">
        <v>24.909348000000001</v>
      </c>
      <c r="X26">
        <v>25.534302</v>
      </c>
      <c r="Y26">
        <v>26.141134000000001</v>
      </c>
      <c r="Z26">
        <v>26.610116999999999</v>
      </c>
      <c r="AA26">
        <v>27.473773999999999</v>
      </c>
      <c r="AB26">
        <v>27.944379999999999</v>
      </c>
      <c r="AC26">
        <v>28.875392999999999</v>
      </c>
      <c r="AD26">
        <v>29.558062</v>
      </c>
      <c r="AE26" s="6">
        <v>0.32239299032075508</v>
      </c>
    </row>
    <row r="27" spans="1:31" x14ac:dyDescent="0.25">
      <c r="A27" t="s">
        <v>75</v>
      </c>
      <c r="B27" t="s">
        <v>51</v>
      </c>
      <c r="C27" t="s">
        <v>52</v>
      </c>
      <c r="D27">
        <v>22.422985000000001</v>
      </c>
      <c r="E27">
        <v>21.971755999999999</v>
      </c>
      <c r="F27">
        <v>19.084902</v>
      </c>
      <c r="G27">
        <v>17.504584999999999</v>
      </c>
      <c r="H27">
        <v>17.476101</v>
      </c>
      <c r="I27">
        <v>18.233528</v>
      </c>
      <c r="J27">
        <v>18.930975</v>
      </c>
      <c r="K27">
        <v>19.888458</v>
      </c>
      <c r="L27">
        <v>20.52825</v>
      </c>
      <c r="M27">
        <v>21.151994999999999</v>
      </c>
      <c r="N27">
        <v>21.681802999999999</v>
      </c>
      <c r="O27">
        <v>22.007755</v>
      </c>
      <c r="P27">
        <v>23.231411000000001</v>
      </c>
      <c r="Q27">
        <v>24.344439999999999</v>
      </c>
      <c r="R27">
        <v>24.554494999999999</v>
      </c>
      <c r="S27">
        <v>24.035423000000002</v>
      </c>
      <c r="T27">
        <v>24.361176</v>
      </c>
      <c r="U27">
        <v>24.870562</v>
      </c>
      <c r="V27">
        <v>25.174166</v>
      </c>
      <c r="W27">
        <v>25.645536</v>
      </c>
      <c r="X27">
        <v>26.307734</v>
      </c>
      <c r="Y27">
        <v>26.958480999999999</v>
      </c>
      <c r="Z27">
        <v>27.459330000000001</v>
      </c>
      <c r="AA27">
        <v>28.401956999999999</v>
      </c>
      <c r="AB27">
        <v>28.891532999999999</v>
      </c>
      <c r="AC27">
        <v>29.900486000000001</v>
      </c>
      <c r="AD27">
        <v>30.627407000000002</v>
      </c>
      <c r="AE27" s="6">
        <v>0.36589339019760309</v>
      </c>
    </row>
    <row r="28" spans="1:31" x14ac:dyDescent="0.25">
      <c r="A28" t="s">
        <v>76</v>
      </c>
      <c r="B28" t="s">
        <v>53</v>
      </c>
      <c r="C28" t="s">
        <v>47</v>
      </c>
      <c r="D28">
        <v>14.146235000000001</v>
      </c>
      <c r="E28">
        <v>13.081198000000001</v>
      </c>
      <c r="F28">
        <v>9.7166680000000003</v>
      </c>
      <c r="G28">
        <v>7.7655380000000003</v>
      </c>
      <c r="H28">
        <v>7.2954639999999999</v>
      </c>
      <c r="I28">
        <v>7.5480090000000004</v>
      </c>
      <c r="J28">
        <v>7.720472</v>
      </c>
      <c r="K28">
        <v>8.0713799999999996</v>
      </c>
      <c r="L28">
        <v>8.1362109999999994</v>
      </c>
      <c r="M28">
        <v>8.1749740000000006</v>
      </c>
      <c r="N28">
        <v>8.1326339999999995</v>
      </c>
      <c r="O28">
        <v>7.9252830000000003</v>
      </c>
      <c r="P28">
        <v>8.4741560000000007</v>
      </c>
      <c r="Q28">
        <v>8.6534259999999996</v>
      </c>
      <c r="R28">
        <v>8.2950929999999996</v>
      </c>
      <c r="S28">
        <v>7.4848290000000004</v>
      </c>
      <c r="T28">
        <v>7.34415</v>
      </c>
      <c r="U28">
        <v>7.3195769999999998</v>
      </c>
      <c r="V28">
        <v>7.1316860000000002</v>
      </c>
      <c r="W28">
        <v>7.0235130000000003</v>
      </c>
      <c r="X28">
        <v>7.0376609999999999</v>
      </c>
      <c r="Y28">
        <v>7.0386480000000002</v>
      </c>
      <c r="Z28">
        <v>6.9474119999999999</v>
      </c>
      <c r="AA28">
        <v>7.129715</v>
      </c>
      <c r="AB28">
        <v>7.0155859999999999</v>
      </c>
      <c r="AC28">
        <v>7.1889500000000002</v>
      </c>
      <c r="AD28">
        <v>7.1801050000000002</v>
      </c>
      <c r="AE28" s="6" cm="1">
        <f t="array" ref="AE28:AE30">(AD28:AD30-D28:D30)/D28:D30</f>
        <v>-0.49243703359939944</v>
      </c>
    </row>
    <row r="29" spans="1:31" x14ac:dyDescent="0.25">
      <c r="A29" t="s">
        <v>76</v>
      </c>
      <c r="B29" t="s">
        <v>54</v>
      </c>
      <c r="C29" t="s">
        <v>47</v>
      </c>
      <c r="D29">
        <v>1.960636</v>
      </c>
      <c r="E29">
        <v>2.0201889999999998</v>
      </c>
      <c r="F29">
        <v>2.0871140000000001</v>
      </c>
      <c r="G29">
        <v>2.1308129999999998</v>
      </c>
      <c r="H29">
        <v>2.1674329999999999</v>
      </c>
      <c r="I29">
        <v>2.207532</v>
      </c>
      <c r="J29">
        <v>2.2409490000000001</v>
      </c>
      <c r="K29">
        <v>2.275204</v>
      </c>
      <c r="L29">
        <v>2.3004389999999999</v>
      </c>
      <c r="M29">
        <v>2.3123010000000002</v>
      </c>
      <c r="N29">
        <v>2.3219270000000001</v>
      </c>
      <c r="O29">
        <v>2.3331789999999999</v>
      </c>
      <c r="P29">
        <v>2.334158</v>
      </c>
      <c r="Q29">
        <v>2.5306999999999999</v>
      </c>
      <c r="R29">
        <v>2.5967190000000002</v>
      </c>
      <c r="S29">
        <v>2.622725</v>
      </c>
      <c r="T29">
        <v>2.629006</v>
      </c>
      <c r="U29">
        <v>2.646728</v>
      </c>
      <c r="V29">
        <v>2.6769910000000001</v>
      </c>
      <c r="W29">
        <v>2.7287840000000001</v>
      </c>
      <c r="X29">
        <v>2.7808410000000001</v>
      </c>
      <c r="Y29">
        <v>2.8220770000000002</v>
      </c>
      <c r="Z29">
        <v>2.844913</v>
      </c>
      <c r="AA29">
        <v>2.854187</v>
      </c>
      <c r="AB29">
        <v>2.8654199999999999</v>
      </c>
      <c r="AC29">
        <v>2.885459</v>
      </c>
      <c r="AD29">
        <v>2.906266</v>
      </c>
      <c r="AE29" s="6">
        <v>0.48230778176061234</v>
      </c>
    </row>
    <row r="30" spans="1:31" x14ac:dyDescent="0.25">
      <c r="A30" t="s">
        <v>76</v>
      </c>
      <c r="B30" t="s">
        <v>55</v>
      </c>
      <c r="C30" t="s">
        <v>47</v>
      </c>
      <c r="D30">
        <v>6.3161149999999999</v>
      </c>
      <c r="E30">
        <v>6.4171990000000001</v>
      </c>
      <c r="F30">
        <v>6.5524360000000001</v>
      </c>
      <c r="G30">
        <v>6.6512250000000002</v>
      </c>
      <c r="H30">
        <v>6.7430199999999996</v>
      </c>
      <c r="I30">
        <v>6.8320869999999996</v>
      </c>
      <c r="J30">
        <v>6.9117470000000001</v>
      </c>
      <c r="K30">
        <v>6.9876829999999996</v>
      </c>
      <c r="L30">
        <v>7.0504239999999996</v>
      </c>
      <c r="M30">
        <v>7.1036400000000004</v>
      </c>
      <c r="N30">
        <v>7.1473620000000002</v>
      </c>
      <c r="O30">
        <v>7.1873329999999997</v>
      </c>
      <c r="P30">
        <v>7.1860679999999997</v>
      </c>
      <c r="Q30">
        <v>7.2544620000000002</v>
      </c>
      <c r="R30">
        <v>7.3126829999999998</v>
      </c>
      <c r="S30">
        <v>7.348903</v>
      </c>
      <c r="T30">
        <v>7.3617720000000002</v>
      </c>
      <c r="U30">
        <v>7.3764409999999998</v>
      </c>
      <c r="V30">
        <v>7.3956530000000003</v>
      </c>
      <c r="W30">
        <v>7.4236019999999998</v>
      </c>
      <c r="X30">
        <v>7.4499940000000002</v>
      </c>
      <c r="Y30">
        <v>7.4774250000000002</v>
      </c>
      <c r="Z30">
        <v>7.5108490000000003</v>
      </c>
      <c r="AA30">
        <v>7.5428839999999999</v>
      </c>
      <c r="AB30">
        <v>7.5722550000000002</v>
      </c>
      <c r="AC30">
        <v>7.6048260000000001</v>
      </c>
      <c r="AD30">
        <v>7.6319590000000002</v>
      </c>
      <c r="AE30" s="6">
        <v>0.20833122892790903</v>
      </c>
    </row>
    <row r="31" spans="1:31" x14ac:dyDescent="0.25">
      <c r="A31" t="s">
        <v>77</v>
      </c>
      <c r="B31" t="s">
        <v>53</v>
      </c>
      <c r="C31" t="s">
        <v>52</v>
      </c>
      <c r="D31">
        <v>14.146235000000001</v>
      </c>
      <c r="E31">
        <v>13.356681</v>
      </c>
      <c r="F31">
        <v>10.102389000000001</v>
      </c>
      <c r="G31">
        <v>8.2146489999999996</v>
      </c>
      <c r="H31">
        <v>7.867267</v>
      </c>
      <c r="I31">
        <v>8.2969570000000008</v>
      </c>
      <c r="J31">
        <v>8.6620410000000003</v>
      </c>
      <c r="K31">
        <v>9.2606940000000009</v>
      </c>
      <c r="L31">
        <v>9.5511780000000002</v>
      </c>
      <c r="M31">
        <v>9.8299050000000001</v>
      </c>
      <c r="N31">
        <v>10.017664999999999</v>
      </c>
      <c r="O31">
        <v>9.9976929999999999</v>
      </c>
      <c r="P31">
        <v>10.940448</v>
      </c>
      <c r="Q31">
        <v>11.425107000000001</v>
      </c>
      <c r="R31">
        <v>11.188546000000001</v>
      </c>
      <c r="S31">
        <v>10.305702</v>
      </c>
      <c r="T31">
        <v>10.320905</v>
      </c>
      <c r="U31">
        <v>10.496722999999999</v>
      </c>
      <c r="V31">
        <v>10.435409999999999</v>
      </c>
      <c r="W31">
        <v>10.486891</v>
      </c>
      <c r="X31">
        <v>10.721541999999999</v>
      </c>
      <c r="Y31">
        <v>10.944146</v>
      </c>
      <c r="Z31">
        <v>11.025218000000001</v>
      </c>
      <c r="AA31">
        <v>11.553621</v>
      </c>
      <c r="AB31">
        <v>11.613360999999999</v>
      </c>
      <c r="AC31">
        <v>12.158505999999999</v>
      </c>
      <c r="AD31">
        <v>12.411327</v>
      </c>
      <c r="AE31" s="6" cm="1">
        <f t="array" ref="AE31:AE33">(AD31:AD33-D31:D33)/D31:D33</f>
        <v>-0.12264097125489579</v>
      </c>
    </row>
    <row r="32" spans="1:31" x14ac:dyDescent="0.25">
      <c r="A32" t="s">
        <v>77</v>
      </c>
      <c r="B32" t="s">
        <v>54</v>
      </c>
      <c r="C32" t="s">
        <v>52</v>
      </c>
      <c r="D32">
        <v>1.960636</v>
      </c>
      <c r="E32">
        <v>2.0627330000000001</v>
      </c>
      <c r="F32">
        <v>2.1699660000000001</v>
      </c>
      <c r="G32">
        <v>2.2540460000000002</v>
      </c>
      <c r="H32">
        <v>2.3373119999999998</v>
      </c>
      <c r="I32">
        <v>2.426574</v>
      </c>
      <c r="J32">
        <v>2.514249</v>
      </c>
      <c r="K32">
        <v>2.6104539999999998</v>
      </c>
      <c r="L32">
        <v>2.7005080000000001</v>
      </c>
      <c r="M32">
        <v>2.7804000000000002</v>
      </c>
      <c r="N32">
        <v>2.8601169999999998</v>
      </c>
      <c r="O32">
        <v>2.9432900000000002</v>
      </c>
      <c r="P32">
        <v>3.0134840000000001</v>
      </c>
      <c r="Q32">
        <v>3.3412790000000001</v>
      </c>
      <c r="R32">
        <v>3.502494</v>
      </c>
      <c r="S32">
        <v>3.611173</v>
      </c>
      <c r="T32">
        <v>3.6946029999999999</v>
      </c>
      <c r="U32">
        <v>3.7955700000000001</v>
      </c>
      <c r="V32">
        <v>3.9170970000000001</v>
      </c>
      <c r="W32">
        <v>4.0743799999999997</v>
      </c>
      <c r="X32">
        <v>4.2364790000000001</v>
      </c>
      <c r="Y32">
        <v>4.3879489999999999</v>
      </c>
      <c r="Z32">
        <v>4.5147440000000003</v>
      </c>
      <c r="AA32">
        <v>4.6251769999999999</v>
      </c>
      <c r="AB32">
        <v>4.7433180000000004</v>
      </c>
      <c r="AC32">
        <v>4.8801100000000002</v>
      </c>
      <c r="AD32">
        <v>5.0236900000000002</v>
      </c>
      <c r="AE32" s="6">
        <v>1.5622757105347449</v>
      </c>
    </row>
    <row r="33" spans="1:31" x14ac:dyDescent="0.25">
      <c r="A33" t="s">
        <v>77</v>
      </c>
      <c r="B33" t="s">
        <v>55</v>
      </c>
      <c r="C33" t="s">
        <v>52</v>
      </c>
      <c r="D33">
        <v>6.3161149999999999</v>
      </c>
      <c r="E33">
        <v>6.5523410000000002</v>
      </c>
      <c r="F33">
        <v>6.8125479999999996</v>
      </c>
      <c r="G33">
        <v>7.0358910000000003</v>
      </c>
      <c r="H33">
        <v>7.2715230000000002</v>
      </c>
      <c r="I33">
        <v>7.5099970000000003</v>
      </c>
      <c r="J33">
        <v>7.7546850000000003</v>
      </c>
      <c r="K33">
        <v>8.0173140000000007</v>
      </c>
      <c r="L33">
        <v>8.2765620000000002</v>
      </c>
      <c r="M33">
        <v>8.5416910000000001</v>
      </c>
      <c r="N33">
        <v>8.8040210000000005</v>
      </c>
      <c r="O33">
        <v>9.0667729999999995</v>
      </c>
      <c r="P33">
        <v>9.2774780000000003</v>
      </c>
      <c r="Q33">
        <v>9.5780560000000001</v>
      </c>
      <c r="R33">
        <v>9.8634570000000004</v>
      </c>
      <c r="S33">
        <v>10.118547</v>
      </c>
      <c r="T33">
        <v>10.34567</v>
      </c>
      <c r="U33">
        <v>10.57827</v>
      </c>
      <c r="V33">
        <v>10.821659</v>
      </c>
      <c r="W33">
        <v>11.084268</v>
      </c>
      <c r="X33">
        <v>11.349710999999999</v>
      </c>
      <c r="Y33">
        <v>11.626386</v>
      </c>
      <c r="Z33">
        <v>11.919366</v>
      </c>
      <c r="AA33">
        <v>12.223155999999999</v>
      </c>
      <c r="AB33">
        <v>12.534851</v>
      </c>
      <c r="AC33">
        <v>12.861869</v>
      </c>
      <c r="AD33">
        <v>13.192389</v>
      </c>
      <c r="AE33" s="6">
        <v>1.088687270576929</v>
      </c>
    </row>
    <row r="34" spans="1:31" x14ac:dyDescent="0.25">
      <c r="A34" t="s">
        <v>56</v>
      </c>
      <c r="B34" t="s">
        <v>57</v>
      </c>
      <c r="C34" t="s">
        <v>58</v>
      </c>
      <c r="D34">
        <v>7.161359</v>
      </c>
      <c r="E34">
        <v>6.0896840000000001</v>
      </c>
      <c r="F34">
        <v>5.5982380000000003</v>
      </c>
      <c r="G34">
        <v>5.1327230000000004</v>
      </c>
      <c r="H34">
        <v>4.7964630000000001</v>
      </c>
      <c r="I34">
        <v>4.8812139999999999</v>
      </c>
      <c r="J34">
        <v>5.7191929999999997</v>
      </c>
      <c r="K34">
        <v>5.8690410000000002</v>
      </c>
      <c r="L34">
        <v>5.827998</v>
      </c>
      <c r="M34">
        <v>6.0085579999999998</v>
      </c>
      <c r="N34">
        <v>5.9857019999999999</v>
      </c>
      <c r="O34">
        <v>5.8458889999999997</v>
      </c>
      <c r="P34">
        <v>4.1553259999999996</v>
      </c>
      <c r="Q34">
        <v>2.984998</v>
      </c>
      <c r="R34">
        <v>2.9812370000000001</v>
      </c>
      <c r="S34">
        <v>3.7716080000000001</v>
      </c>
      <c r="T34">
        <v>3.5106389999999998</v>
      </c>
      <c r="U34">
        <v>3.9916360000000002</v>
      </c>
      <c r="V34">
        <v>3.7587899999999999</v>
      </c>
      <c r="W34">
        <v>3.5789110000000002</v>
      </c>
      <c r="X34">
        <v>3.0839819999999998</v>
      </c>
      <c r="Y34">
        <v>2.873713</v>
      </c>
      <c r="Z34">
        <v>3.0699320000000001</v>
      </c>
      <c r="AA34">
        <v>2.8287059999999999</v>
      </c>
      <c r="AB34">
        <v>3.2582849999999999</v>
      </c>
      <c r="AC34">
        <v>3.8398059999999998</v>
      </c>
      <c r="AD34">
        <v>3.451406</v>
      </c>
      <c r="AE34" s="6" cm="1">
        <f t="array" ref="AE34:AE38">(AD34:AD38-D34:D38)/D34:D38</f>
        <v>-0.51805153183913832</v>
      </c>
    </row>
    <row r="35" spans="1:31" x14ac:dyDescent="0.25">
      <c r="A35" t="s">
        <v>56</v>
      </c>
      <c r="B35" t="s">
        <v>59</v>
      </c>
      <c r="C35" t="s">
        <v>58</v>
      </c>
      <c r="D35">
        <v>26.258305</v>
      </c>
      <c r="E35">
        <v>22.328835000000002</v>
      </c>
      <c r="F35">
        <v>20.526876000000001</v>
      </c>
      <c r="G35">
        <v>18.819984000000002</v>
      </c>
      <c r="H35">
        <v>17.587033999999999</v>
      </c>
      <c r="I35">
        <v>17.897779</v>
      </c>
      <c r="J35">
        <v>20.970381</v>
      </c>
      <c r="K35">
        <v>21.519818999999998</v>
      </c>
      <c r="L35">
        <v>21.369330999999999</v>
      </c>
      <c r="M35">
        <v>22.031365999999998</v>
      </c>
      <c r="N35">
        <v>21.947578</v>
      </c>
      <c r="O35">
        <v>21.434925</v>
      </c>
      <c r="P35">
        <v>15.236205999999999</v>
      </c>
      <c r="Q35">
        <v>10.944989</v>
      </c>
      <c r="R35">
        <v>10.931206</v>
      </c>
      <c r="S35">
        <v>13.829231</v>
      </c>
      <c r="T35">
        <v>12.872351999999999</v>
      </c>
      <c r="U35">
        <v>14.636003000000001</v>
      </c>
      <c r="V35">
        <v>13.782228</v>
      </c>
      <c r="W35">
        <v>13.122680000000001</v>
      </c>
      <c r="X35">
        <v>11.307937000000001</v>
      </c>
      <c r="Y35">
        <v>10.536943000000001</v>
      </c>
      <c r="Z35">
        <v>11.256417000000001</v>
      </c>
      <c r="AA35">
        <v>10.371923000000001</v>
      </c>
      <c r="AB35">
        <v>11.947046</v>
      </c>
      <c r="AC35">
        <v>14.079286</v>
      </c>
      <c r="AD35">
        <v>12.655151</v>
      </c>
      <c r="AE35" s="6">
        <v>-0.51805148885276486</v>
      </c>
    </row>
    <row r="36" spans="1:31" x14ac:dyDescent="0.25">
      <c r="A36" t="s">
        <v>56</v>
      </c>
      <c r="B36" t="s">
        <v>60</v>
      </c>
      <c r="C36" t="s">
        <v>58</v>
      </c>
      <c r="D36">
        <v>2.04E-4</v>
      </c>
      <c r="E36">
        <v>1.8900000000000001E-4</v>
      </c>
      <c r="F36">
        <v>2.0799999999999999E-4</v>
      </c>
      <c r="G36">
        <v>2.04E-4</v>
      </c>
      <c r="H36">
        <v>1.9900000000000001E-4</v>
      </c>
      <c r="I36">
        <v>2.05E-4</v>
      </c>
      <c r="J36">
        <v>1.92E-4</v>
      </c>
      <c r="K36">
        <v>2.12E-4</v>
      </c>
      <c r="L36">
        <v>4.5000000000000003E-5</v>
      </c>
      <c r="M36">
        <v>5.0000000000000002E-5</v>
      </c>
      <c r="N36">
        <v>5.1E-5</v>
      </c>
      <c r="O36">
        <v>5.5999999999999999E-5</v>
      </c>
      <c r="P36">
        <v>6.6000000000000005E-5</v>
      </c>
      <c r="Q36">
        <v>1.12E-4</v>
      </c>
      <c r="R36">
        <v>1.66E-4</v>
      </c>
      <c r="S36">
        <v>4.0200000000000001E-4</v>
      </c>
      <c r="T36">
        <v>4.0999999999999999E-4</v>
      </c>
      <c r="U36">
        <v>4.1800000000000002E-4</v>
      </c>
      <c r="V36">
        <v>4.26E-4</v>
      </c>
      <c r="W36">
        <v>4.35E-4</v>
      </c>
      <c r="X36">
        <v>4.3899999999999999E-4</v>
      </c>
      <c r="Y36">
        <v>4.44E-4</v>
      </c>
      <c r="Z36">
        <v>4.4799999999999999E-4</v>
      </c>
      <c r="AA36">
        <v>4.4999999999999999E-4</v>
      </c>
      <c r="AB36">
        <v>4.5199999999999998E-4</v>
      </c>
      <c r="AC36">
        <v>4.5199999999999998E-4</v>
      </c>
      <c r="AD36">
        <v>4.5600000000000003E-4</v>
      </c>
      <c r="AE36" s="6">
        <v>1.2352941176470591</v>
      </c>
    </row>
    <row r="37" spans="1:31" x14ac:dyDescent="0.25">
      <c r="A37" t="s">
        <v>56</v>
      </c>
      <c r="B37" t="s">
        <v>61</v>
      </c>
      <c r="C37" t="s">
        <v>58</v>
      </c>
      <c r="D37">
        <v>1.0364E-2</v>
      </c>
      <c r="E37">
        <v>9.1489999999999991E-3</v>
      </c>
      <c r="F37">
        <v>8.2939999999999993E-3</v>
      </c>
      <c r="G37">
        <v>8.0370000000000007E-3</v>
      </c>
      <c r="H37">
        <v>7.8930000000000007E-3</v>
      </c>
      <c r="I37">
        <v>7.6119999999999998E-3</v>
      </c>
      <c r="J37">
        <v>1.0512000000000001E-2</v>
      </c>
      <c r="K37">
        <v>1.1328E-2</v>
      </c>
      <c r="L37">
        <v>1.1077999999999999E-2</v>
      </c>
      <c r="M37">
        <v>1.1205E-2</v>
      </c>
      <c r="N37">
        <v>1.1027E-2</v>
      </c>
      <c r="O37">
        <v>1.0387E-2</v>
      </c>
      <c r="P37">
        <v>9.4079999999999997E-3</v>
      </c>
      <c r="Q37">
        <v>8.6650000000000008E-3</v>
      </c>
      <c r="R37">
        <v>9.2809999999999993E-3</v>
      </c>
      <c r="S37">
        <v>9.8980000000000005E-3</v>
      </c>
      <c r="T37">
        <v>9.613E-3</v>
      </c>
      <c r="U37">
        <v>9.8829999999999994E-3</v>
      </c>
      <c r="V37">
        <v>9.6089999999999995E-3</v>
      </c>
      <c r="W37">
        <v>9.1699999999999993E-3</v>
      </c>
      <c r="X37">
        <v>8.6899999999999998E-3</v>
      </c>
      <c r="Y37">
        <v>8.4159999999999999E-3</v>
      </c>
      <c r="Z37">
        <v>8.7779999999999993E-3</v>
      </c>
      <c r="AA37">
        <v>8.4270000000000005E-3</v>
      </c>
      <c r="AB37">
        <v>8.6669999999999994E-3</v>
      </c>
      <c r="AC37">
        <v>8.489E-3</v>
      </c>
      <c r="AD37">
        <v>8.3409999999999995E-3</v>
      </c>
      <c r="AE37" s="6">
        <v>-0.19519490544191437</v>
      </c>
    </row>
    <row r="38" spans="1:31" x14ac:dyDescent="0.25">
      <c r="A38" t="s">
        <v>56</v>
      </c>
      <c r="B38" t="s">
        <v>62</v>
      </c>
      <c r="C38" t="s">
        <v>63</v>
      </c>
      <c r="D38">
        <v>9.9999999999999995E-7</v>
      </c>
      <c r="E38">
        <v>3.9999999999999998E-6</v>
      </c>
      <c r="F38">
        <v>9.9999999999999995E-7</v>
      </c>
      <c r="G38">
        <v>9.9999999999999995E-7</v>
      </c>
      <c r="H38">
        <v>9.9999999999999995E-7</v>
      </c>
      <c r="I38">
        <v>9.9999999999999995E-7</v>
      </c>
      <c r="J38">
        <v>9.9999999999999995E-7</v>
      </c>
      <c r="K38">
        <v>9.9999999999999995E-7</v>
      </c>
      <c r="L38">
        <v>9.9999999999999995E-7</v>
      </c>
      <c r="M38">
        <v>9.9999999999999995E-7</v>
      </c>
      <c r="N38">
        <v>9.9999999999999995E-7</v>
      </c>
      <c r="O38">
        <v>9.9999999999999995E-7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6">
        <v>-1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53.468615655769</v>
      </c>
      <c r="E39" s="4" cm="1">
        <f t="array" ref="E39:E42">907185*E34:E37*10^6/(E17*10^9)</f>
        <v>47.225264724200777</v>
      </c>
      <c r="F39" s="4" cm="1">
        <f t="array" ref="F39:F42">907185*F34:F37*10^6/(F17*10^9)</f>
        <v>43.192618143303349</v>
      </c>
      <c r="G39" s="4" cm="1">
        <f t="array" ref="G39:G42">907185*G34:G37*10^6/(G17*10^9)</f>
        <v>40.306568243490752</v>
      </c>
      <c r="H39" s="4" cm="1">
        <f t="array" ref="H39:H42">907185*H34:H37*10^6/(H17*10^9)</f>
        <v>36.892105070203989</v>
      </c>
      <c r="I39" s="4" cm="1">
        <f t="array" ref="I39:I42">907185*I34:I37*10^6/(I17*10^9)</f>
        <v>37.150795653548215</v>
      </c>
      <c r="J39" s="4" cm="1">
        <f t="array" ref="J39:J42">907185*J34:J37*10^6/(J17*10^9)</f>
        <v>44.035531464867603</v>
      </c>
      <c r="K39" s="4" cm="1">
        <f t="array" ref="K39:K42">907185*K34:K37*10^6/(K17*10^9)</f>
        <v>46.559064098930264</v>
      </c>
      <c r="L39" s="4" cm="1">
        <f t="array" ref="L39:L42">907185*L34:L37*10^6/(L17*10^9)</f>
        <v>44.539477629504802</v>
      </c>
      <c r="M39" s="4" cm="1">
        <f t="array" ref="M39:M42">907185*M34:M37*10^6/(M17*10^9)</f>
        <v>44.421040982036942</v>
      </c>
      <c r="N39" s="4" cm="1">
        <f t="array" ref="N39:N42">907185*N34:N37*10^6/(N17*10^9)</f>
        <v>43.710380735195407</v>
      </c>
      <c r="O39" s="4" cm="1">
        <f t="array" ref="O39:O42">907185*O34:O37*10^6/(O17*10^9)</f>
        <v>42.859139342461162</v>
      </c>
      <c r="P39" s="4" cm="1">
        <f t="array" ref="P39:P42">907185*P34:P37*10^6/(P17*10^9)</f>
        <v>31.243806176977643</v>
      </c>
      <c r="Q39" s="4" cm="1">
        <f t="array" ref="Q39:Q42">907185*Q34:Q37*10^6/(Q17*10^9)</f>
        <v>22.805983796240834</v>
      </c>
      <c r="R39" s="4" cm="1">
        <f t="array" ref="R39:R42">907185*R34:R37*10^6/(R17*10^9)</f>
        <v>21.284902018887902</v>
      </c>
      <c r="S39" s="4" cm="1">
        <f t="array" ref="S39:S42">907185*S34:S37*10^6/(S17*10^9)</f>
        <v>25.083228080109539</v>
      </c>
      <c r="T39" s="4" cm="1">
        <f t="array" ref="T39:T42">907185*T34:T37*10^6/(T17*10^9)</f>
        <v>23.909051535229874</v>
      </c>
      <c r="U39" s="4" cm="1">
        <f t="array" ref="U39:U42">907185*U34:U37*10^6/(U17*10^9)</f>
        <v>26.323384130481674</v>
      </c>
      <c r="V39" s="4" cm="1">
        <f t="array" ref="V39:V42">907185*V34:V37*10^6/(V17*10^9)</f>
        <v>23.942110502001821</v>
      </c>
      <c r="W39" s="4" cm="1">
        <f t="array" ref="W39:W42">907185*W34:W37*10^6/(W17*10^9)</f>
        <v>21.689528548747614</v>
      </c>
      <c r="X39" s="4" cm="1">
        <f t="array" ref="X39:X42">907185*X34:X37*10^6/(X17*10^9)</f>
        <v>18.169490339879683</v>
      </c>
      <c r="Y39" s="4" cm="1">
        <f t="array" ref="Y39:Y42">907185*Y34:Y37*10^6/(Y17*10^9)</f>
        <v>16.567502068563098</v>
      </c>
      <c r="Z39" s="4" cm="1">
        <f t="array" ref="Z39:Z42">907185*Z34:Z37*10^6/(Z17*10^9)</f>
        <v>17.258613283000166</v>
      </c>
      <c r="AA39" s="4" cm="1">
        <f t="array" ref="AA39:AA42">907185*AA34:AA37*10^6/(AA17*10^9)</f>
        <v>16.05676611339365</v>
      </c>
      <c r="AB39" s="4" cm="1">
        <f t="array" ref="AB39:AB42">907185*AB34:AB37*10^6/(AB17*10^9)</f>
        <v>17.941843720028121</v>
      </c>
      <c r="AC39" s="4" cm="1">
        <f t="array" ref="AC39:AC42">907185*AC34:AC37*10^6/(AC17*10^9)</f>
        <v>20.80226484041285</v>
      </c>
      <c r="AD39" s="4" cm="1">
        <f t="array" ref="AD39:AD42">907185*AD34:AD37*10^6/(AD17*10^9)</f>
        <v>18.691884345535474</v>
      </c>
      <c r="AE39" s="6" cm="1">
        <f t="array" ref="AE39:AE43">(AD39:AD43-D39:D43)/D39:D43</f>
        <v>-0.6504139088643357</v>
      </c>
    </row>
    <row r="40" spans="1:31" x14ac:dyDescent="0.25">
      <c r="A40" t="s">
        <v>64</v>
      </c>
      <c r="B40" t="s">
        <v>66</v>
      </c>
      <c r="C40" t="s">
        <v>70</v>
      </c>
      <c r="D40" s="4">
        <v>196.05150612013131</v>
      </c>
      <c r="E40" s="4">
        <v>173.1592548739803</v>
      </c>
      <c r="F40" s="4">
        <v>158.372958910096</v>
      </c>
      <c r="G40" s="4">
        <v>147.79074760851191</v>
      </c>
      <c r="H40" s="4">
        <v>135.27107499865002</v>
      </c>
      <c r="I40" s="4">
        <v>136.2195409341542</v>
      </c>
      <c r="J40" s="4">
        <v>161.46366670188638</v>
      </c>
      <c r="K40" s="4">
        <v>170.71658422873125</v>
      </c>
      <c r="L40" s="4">
        <v>163.31145618649552</v>
      </c>
      <c r="M40" s="4">
        <v>162.87705169464206</v>
      </c>
      <c r="N40" s="4">
        <v>160.27142523891075</v>
      </c>
      <c r="O40" s="4">
        <v>157.15016781368996</v>
      </c>
      <c r="P40" s="4">
        <v>114.56070285135362</v>
      </c>
      <c r="Q40" s="4">
        <v>83.621912572147167</v>
      </c>
      <c r="R40" s="4">
        <v>78.044666914532286</v>
      </c>
      <c r="S40" s="4">
        <v>91.971847377967521</v>
      </c>
      <c r="T40" s="4">
        <v>87.666583589944551</v>
      </c>
      <c r="U40" s="4">
        <v>96.519103721852929</v>
      </c>
      <c r="V40" s="4">
        <v>87.787725768075248</v>
      </c>
      <c r="W40" s="4">
        <v>79.528309727757787</v>
      </c>
      <c r="X40" s="4">
        <v>66.621482254263498</v>
      </c>
      <c r="Y40" s="4">
        <v>60.747480680510371</v>
      </c>
      <c r="Z40" s="4">
        <v>63.281580163726396</v>
      </c>
      <c r="AA40" s="4">
        <v>58.874814758807808</v>
      </c>
      <c r="AB40" s="4">
        <v>65.786765813299652</v>
      </c>
      <c r="AC40" s="4">
        <v>76.274956634766667</v>
      </c>
      <c r="AD40" s="4">
        <v>68.536885798798394</v>
      </c>
      <c r="AE40" s="6">
        <v>-0.65041387768374426</v>
      </c>
    </row>
    <row r="41" spans="1:31" x14ac:dyDescent="0.25">
      <c r="A41" t="s">
        <v>64</v>
      </c>
      <c r="B41" t="s">
        <v>67</v>
      </c>
      <c r="C41" t="s">
        <v>70</v>
      </c>
      <c r="D41" s="4">
        <v>1.5231183904866206E-3</v>
      </c>
      <c r="E41" s="4">
        <v>1.4656877159593086E-3</v>
      </c>
      <c r="F41" s="4">
        <v>1.6048021848672916E-3</v>
      </c>
      <c r="G41" s="4">
        <v>1.6019839608862809E-3</v>
      </c>
      <c r="H41" s="4">
        <v>1.5306130598673633E-3</v>
      </c>
      <c r="I41" s="4">
        <v>1.5602497880603848E-3</v>
      </c>
      <c r="J41" s="4">
        <v>1.4783243092608659E-3</v>
      </c>
      <c r="K41" s="4">
        <v>1.6817946218084378E-3</v>
      </c>
      <c r="L41" s="4">
        <v>3.4390480115602587E-4</v>
      </c>
      <c r="M41" s="4">
        <v>3.6964810011018401E-4</v>
      </c>
      <c r="N41" s="4">
        <v>3.7242572675602056E-4</v>
      </c>
      <c r="O41" s="4">
        <v>4.1056403964868731E-4</v>
      </c>
      <c r="P41" s="4">
        <v>4.9625257023889937E-4</v>
      </c>
      <c r="Q41" s="4">
        <v>8.5570247791756421E-4</v>
      </c>
      <c r="R41" s="4">
        <v>1.1851770708385112E-3</v>
      </c>
      <c r="S41" s="4">
        <v>2.6735168894020892E-3</v>
      </c>
      <c r="T41" s="4">
        <v>2.7922868541722032E-3</v>
      </c>
      <c r="U41" s="4">
        <v>2.7565576035844296E-3</v>
      </c>
      <c r="V41" s="4">
        <v>2.7134633948299259E-3</v>
      </c>
      <c r="W41" s="4">
        <v>2.6362613987062577E-3</v>
      </c>
      <c r="X41" s="4">
        <v>2.5863984482422985E-3</v>
      </c>
      <c r="Y41" s="4">
        <v>2.5597444554978231E-3</v>
      </c>
      <c r="Z41" s="4">
        <v>2.5185765517881423E-3</v>
      </c>
      <c r="AA41" s="4">
        <v>2.5543639922378436E-3</v>
      </c>
      <c r="AB41" s="4">
        <v>2.4889515071433929E-3</v>
      </c>
      <c r="AC41" s="4">
        <v>2.4487236354822635E-3</v>
      </c>
      <c r="AD41" s="4">
        <v>2.4695730556081137E-3</v>
      </c>
      <c r="AE41" s="6">
        <v>0.62139271052929146</v>
      </c>
    </row>
    <row r="42" spans="1:31" x14ac:dyDescent="0.25">
      <c r="A42" t="s">
        <v>64</v>
      </c>
      <c r="B42" t="s">
        <v>68</v>
      </c>
      <c r="C42" t="s">
        <v>70</v>
      </c>
      <c r="D42" s="4">
        <v>7.7380387250016364E-2</v>
      </c>
      <c r="E42" s="4">
        <v>7.0950142398474678E-2</v>
      </c>
      <c r="F42" s="4">
        <v>6.3991487121583243E-2</v>
      </c>
      <c r="G42" s="4">
        <v>6.3113456341387458E-2</v>
      </c>
      <c r="H42" s="4">
        <v>6.0709190359462803E-2</v>
      </c>
      <c r="I42" s="4">
        <v>5.793473847178366E-2</v>
      </c>
      <c r="J42" s="4">
        <v>8.0938255932032424E-2</v>
      </c>
      <c r="K42" s="4">
        <v>8.9864950357764067E-2</v>
      </c>
      <c r="L42" s="4">
        <v>8.4661719715698983E-2</v>
      </c>
      <c r="M42" s="4">
        <v>8.2838139234692243E-2</v>
      </c>
      <c r="N42" s="4">
        <v>8.0524284096836055E-2</v>
      </c>
      <c r="O42" s="4">
        <v>7.6152297854123488E-2</v>
      </c>
      <c r="P42" s="4">
        <v>7.0738548194054007E-2</v>
      </c>
      <c r="Q42" s="4">
        <v>6.6202339028175849E-2</v>
      </c>
      <c r="R42" s="4">
        <v>6.6262821653326642E-2</v>
      </c>
      <c r="S42" s="4">
        <v>6.5827040227119119E-2</v>
      </c>
      <c r="T42" s="4">
        <v>6.5468911046725337E-2</v>
      </c>
      <c r="U42" s="4">
        <v>6.5174781809150525E-2</v>
      </c>
      <c r="V42" s="4">
        <v>6.1205797560846834E-2</v>
      </c>
      <c r="W42" s="4">
        <v>5.5573602358934215E-2</v>
      </c>
      <c r="X42" s="4">
        <v>5.1197727825115204E-2</v>
      </c>
      <c r="Y42" s="4">
        <v>4.8519840850156939E-2</v>
      </c>
      <c r="Z42" s="4">
        <v>4.9348359311598908E-2</v>
      </c>
      <c r="AA42" s="4">
        <v>4.7834723027974022E-2</v>
      </c>
      <c r="AB42" s="4">
        <v>4.7725094496486251E-2</v>
      </c>
      <c r="AC42" s="4">
        <v>4.5989413587630382E-2</v>
      </c>
      <c r="AD42" s="4">
        <v>4.5172607142165068E-2</v>
      </c>
      <c r="AE42" s="6">
        <v>-0.41622665965456879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7.4662666200324544E-12</v>
      </c>
      <c r="E43" s="5">
        <f>907185*E38/(E17*10^9)</f>
        <v>3.1019845840408647E-11</v>
      </c>
      <c r="F43" s="5">
        <f>907185*F38/(F17*10^9)</f>
        <v>7.715395119554286E-12</v>
      </c>
      <c r="G43" s="5">
        <f>907185*G38/(G17*10^9)</f>
        <v>7.8528625533641213E-12</v>
      </c>
      <c r="H43" s="5">
        <f>907185*H38/(H17*10^9)</f>
        <v>7.6915229139063472E-12</v>
      </c>
      <c r="I43" s="5">
        <f>907185*I38/(I17*10^9)</f>
        <v>7.6109745759043165E-12</v>
      </c>
      <c r="J43" s="5">
        <f>907185*J38/(J17*10^9)</f>
        <v>7.6996057774003418E-12</v>
      </c>
      <c r="K43" s="5">
        <f>907185*K38/(K17*10^9)</f>
        <v>7.9329934990964034E-12</v>
      </c>
      <c r="L43" s="5">
        <f>907185*L38/(L17*10^9)</f>
        <v>7.6423289145783515E-12</v>
      </c>
      <c r="M43" s="5">
        <f>907185*M38/(M17*10^9)</f>
        <v>7.392962002203679E-12</v>
      </c>
      <c r="N43" s="5">
        <f>907185*N38/(N17*10^9)</f>
        <v>7.302465230510206E-12</v>
      </c>
      <c r="O43" s="5">
        <f>907185*O38/(O17*10^9)</f>
        <v>7.3315007080122726E-12</v>
      </c>
      <c r="P43" s="5">
        <f>907185*P38/(P17*10^9)</f>
        <v>0</v>
      </c>
      <c r="Q43" s="5">
        <f>907185*Q38/(Q17*10^9)</f>
        <v>0</v>
      </c>
      <c r="R43" s="5">
        <f>907185*R38/(R17*10^9)</f>
        <v>0</v>
      </c>
      <c r="S43" s="5">
        <f>907185*S38/(S17*10^9)</f>
        <v>0</v>
      </c>
      <c r="T43" s="5">
        <f>907185*T38/(T17*10^9)</f>
        <v>0</v>
      </c>
      <c r="U43" s="5">
        <f>907185*U38/(U17*10^9)</f>
        <v>0</v>
      </c>
      <c r="V43" s="5">
        <f>907185*V38/(V17*10^9)</f>
        <v>0</v>
      </c>
      <c r="W43" s="5">
        <f>907185*W38/(W17*10^9)</f>
        <v>0</v>
      </c>
      <c r="X43" s="5">
        <f>907185*X38/(X17*10^9)</f>
        <v>0</v>
      </c>
      <c r="Y43" s="5">
        <f>907185*Y38/(Y17*10^9)</f>
        <v>0</v>
      </c>
      <c r="Z43" s="5">
        <f>907185*Z38/(Z17*10^9)</f>
        <v>0</v>
      </c>
      <c r="AA43" s="5">
        <f>907185*AA38/(AA17*10^9)</f>
        <v>0</v>
      </c>
      <c r="AB43" s="5">
        <f>907185*AB38/(AB17*10^9)</f>
        <v>0</v>
      </c>
      <c r="AC43" s="5">
        <f>907185*AC38/(AC17*10^9)</f>
        <v>0</v>
      </c>
      <c r="AD43" s="5">
        <f>907185*AD38/(AD17*10^9)</f>
        <v>0</v>
      </c>
      <c r="AE43" s="6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4" width="12" bestFit="1" customWidth="1"/>
    <col min="5" max="6" width="11.42578125" bestFit="1" customWidth="1"/>
    <col min="7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1.9515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1.1096E-2</v>
      </c>
      <c r="E3">
        <v>3.2590000000000002E-3</v>
      </c>
      <c r="F3">
        <v>2.4859999999999999E-3</v>
      </c>
      <c r="G3">
        <v>2.4859999999999999E-3</v>
      </c>
      <c r="H3">
        <v>2.4859999999999999E-3</v>
      </c>
      <c r="I3">
        <v>2.4859999999999999E-3</v>
      </c>
      <c r="J3">
        <v>2.4859999999999999E-3</v>
      </c>
      <c r="K3">
        <v>2.4859999999999999E-3</v>
      </c>
      <c r="L3">
        <v>2.4859999999999999E-3</v>
      </c>
      <c r="M3">
        <v>2.4859999999999999E-3</v>
      </c>
      <c r="N3">
        <v>2.4859999999999999E-3</v>
      </c>
      <c r="O3">
        <v>2.4859999999999999E-3</v>
      </c>
      <c r="P3">
        <v>2.4859999999999999E-3</v>
      </c>
      <c r="Q3">
        <v>2.4859999999999999E-3</v>
      </c>
      <c r="R3">
        <v>1.5839999999999999E-3</v>
      </c>
      <c r="S3">
        <v>1.5839999999999999E-3</v>
      </c>
      <c r="T3">
        <v>1.5839999999999999E-3</v>
      </c>
      <c r="U3">
        <v>1.5839999999999999E-3</v>
      </c>
      <c r="V3">
        <v>1.5839999999999999E-3</v>
      </c>
      <c r="W3">
        <v>1.5839999999999999E-3</v>
      </c>
      <c r="X3">
        <v>1.5839999999999999E-3</v>
      </c>
      <c r="Y3">
        <v>1.5839999999999999E-3</v>
      </c>
      <c r="Z3">
        <v>1.5839999999999999E-3</v>
      </c>
      <c r="AA3">
        <v>1.5839999999999999E-3</v>
      </c>
      <c r="AB3">
        <v>1.5839999999999999E-3</v>
      </c>
      <c r="AC3">
        <v>1.5839999999999999E-3</v>
      </c>
      <c r="AD3">
        <v>1.5839999999999999E-3</v>
      </c>
      <c r="AE3" s="6">
        <v>-0.85724585436193224</v>
      </c>
    </row>
    <row r="4" spans="1:31" x14ac:dyDescent="0.25">
      <c r="A4" t="s">
        <v>28</v>
      </c>
      <c r="B4" t="s">
        <v>32</v>
      </c>
      <c r="C4" t="s">
        <v>30</v>
      </c>
      <c r="D4">
        <v>53.632182999999998</v>
      </c>
      <c r="E4">
        <v>42.767929000000002</v>
      </c>
      <c r="F4">
        <v>33.083323999999998</v>
      </c>
      <c r="G4">
        <v>33.518954999999998</v>
      </c>
      <c r="H4">
        <v>32.447226999999998</v>
      </c>
      <c r="I4">
        <v>32.775837000000003</v>
      </c>
      <c r="J4">
        <v>34.367958000000002</v>
      </c>
      <c r="K4">
        <v>35.296753000000002</v>
      </c>
      <c r="L4">
        <v>34.285702000000001</v>
      </c>
      <c r="M4">
        <v>37.422362999999997</v>
      </c>
      <c r="N4">
        <v>36.692577</v>
      </c>
      <c r="O4">
        <v>37.660172000000003</v>
      </c>
      <c r="P4">
        <v>27.529827000000001</v>
      </c>
      <c r="Q4">
        <v>35.437325000000001</v>
      </c>
      <c r="R4">
        <v>38.269665000000003</v>
      </c>
      <c r="S4">
        <v>38.623446999999999</v>
      </c>
      <c r="T4">
        <v>38.844833000000001</v>
      </c>
      <c r="U4">
        <v>37.227069999999998</v>
      </c>
      <c r="V4">
        <v>37.916676000000002</v>
      </c>
      <c r="W4">
        <v>37.169635999999997</v>
      </c>
      <c r="X4">
        <v>41.228512000000002</v>
      </c>
      <c r="Y4">
        <v>40.105136999999999</v>
      </c>
      <c r="Z4">
        <v>39.735270999999997</v>
      </c>
      <c r="AA4">
        <v>39.913283999999997</v>
      </c>
      <c r="AB4">
        <v>34.868374000000003</v>
      </c>
      <c r="AC4">
        <v>34.609439999999999</v>
      </c>
      <c r="AD4">
        <v>33.705337999999998</v>
      </c>
      <c r="AE4" s="6">
        <v>-0.37154640899103436</v>
      </c>
    </row>
    <row r="5" spans="1:31" x14ac:dyDescent="0.25">
      <c r="A5" t="s">
        <v>28</v>
      </c>
      <c r="B5" t="s">
        <v>33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6" t="e">
        <v>#DIV/0!</v>
      </c>
    </row>
    <row r="6" spans="1:31" x14ac:dyDescent="0.25">
      <c r="A6" t="s">
        <v>28</v>
      </c>
      <c r="B6" t="s">
        <v>34</v>
      </c>
      <c r="C6" t="s">
        <v>30</v>
      </c>
      <c r="D6">
        <v>-1.048594</v>
      </c>
      <c r="E6">
        <v>-1.659761</v>
      </c>
      <c r="F6">
        <v>-1.8391439999999999</v>
      </c>
      <c r="G6">
        <v>-1.878627</v>
      </c>
      <c r="H6">
        <v>-1.8306249999999999</v>
      </c>
      <c r="I6">
        <v>-1.8669150000000001</v>
      </c>
      <c r="J6">
        <v>-1.868414</v>
      </c>
      <c r="K6">
        <v>-1.878136</v>
      </c>
      <c r="L6">
        <v>-1.8445720000000001</v>
      </c>
      <c r="M6">
        <v>-1.86511</v>
      </c>
      <c r="N6">
        <v>-1.8059320000000001</v>
      </c>
      <c r="O6">
        <v>-1.8684689999999999</v>
      </c>
      <c r="P6">
        <v>-1.8530230000000001</v>
      </c>
      <c r="Q6">
        <v>-1.867405</v>
      </c>
      <c r="R6">
        <v>-1.766219</v>
      </c>
      <c r="S6">
        <v>-1.819204</v>
      </c>
      <c r="T6">
        <v>-1.8515010000000001</v>
      </c>
      <c r="U6">
        <v>-1.917713</v>
      </c>
      <c r="V6">
        <v>-1.995261</v>
      </c>
      <c r="W6">
        <v>-2.0069509999999999</v>
      </c>
      <c r="X6">
        <v>-1.9385669999999999</v>
      </c>
      <c r="Y6">
        <v>-2.1080410000000001</v>
      </c>
      <c r="Z6">
        <v>-2.2152129999999999</v>
      </c>
      <c r="AA6">
        <v>-2.441268</v>
      </c>
      <c r="AB6">
        <v>-2.5472809999999999</v>
      </c>
      <c r="AC6">
        <v>-2.619469</v>
      </c>
      <c r="AD6">
        <v>-2.6679940000000002</v>
      </c>
      <c r="AE6" s="6">
        <v>1.544353677400405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5.0546800000000003</v>
      </c>
      <c r="E8">
        <v>5.4941079999999998</v>
      </c>
      <c r="F8">
        <v>5.7073029999999996</v>
      </c>
      <c r="G8">
        <v>5.9128410000000002</v>
      </c>
      <c r="H8">
        <v>5.9245080000000003</v>
      </c>
      <c r="I8">
        <v>5.9149839999999996</v>
      </c>
      <c r="J8">
        <v>5.9199409999999997</v>
      </c>
      <c r="K8">
        <v>5.9179219999999999</v>
      </c>
      <c r="L8">
        <v>5.9186030000000001</v>
      </c>
      <c r="M8">
        <v>5.9128400000000001</v>
      </c>
      <c r="N8">
        <v>5.9144769999999998</v>
      </c>
      <c r="O8">
        <v>5.9051340000000003</v>
      </c>
      <c r="P8">
        <v>5.9007420000000002</v>
      </c>
      <c r="Q8">
        <v>5.9067970000000001</v>
      </c>
      <c r="R8">
        <v>5.9219499999999998</v>
      </c>
      <c r="S8">
        <v>5.9155550000000003</v>
      </c>
      <c r="T8">
        <v>5.9140230000000003</v>
      </c>
      <c r="U8">
        <v>5.6856220000000004</v>
      </c>
      <c r="V8">
        <v>5.6239840000000001</v>
      </c>
      <c r="W8">
        <v>5.5957330000000001</v>
      </c>
      <c r="X8">
        <v>5.5746950000000002</v>
      </c>
      <c r="Y8">
        <v>5.5935629999999996</v>
      </c>
      <c r="Z8">
        <v>5.5877290000000004</v>
      </c>
      <c r="AA8">
        <v>5.5850479999999996</v>
      </c>
      <c r="AB8">
        <v>5.5821889999999996</v>
      </c>
      <c r="AC8">
        <v>5.5817160000000001</v>
      </c>
      <c r="AD8">
        <v>5.583189</v>
      </c>
      <c r="AE8" s="6">
        <v>0.10455834988565045</v>
      </c>
    </row>
    <row r="9" spans="1:31" x14ac:dyDescent="0.25">
      <c r="A9" t="s">
        <v>28</v>
      </c>
      <c r="B9" t="s">
        <v>37</v>
      </c>
      <c r="C9" t="s">
        <v>30</v>
      </c>
      <c r="D9">
        <v>1.8249109999999999</v>
      </c>
      <c r="E9">
        <v>1.754116</v>
      </c>
      <c r="F9">
        <v>1.968119</v>
      </c>
      <c r="G9">
        <v>2.0552489999999999</v>
      </c>
      <c r="H9">
        <v>2.4161060000000001</v>
      </c>
      <c r="I9">
        <v>2.7912819999999998</v>
      </c>
      <c r="J9">
        <v>3.1750389999999999</v>
      </c>
      <c r="K9">
        <v>3.5620059999999998</v>
      </c>
      <c r="L9">
        <v>3.9542959999999998</v>
      </c>
      <c r="M9">
        <v>4.3505330000000004</v>
      </c>
      <c r="N9">
        <v>4.749784</v>
      </c>
      <c r="O9">
        <v>5.1513809999999998</v>
      </c>
      <c r="P9">
        <v>5.5548460000000004</v>
      </c>
      <c r="Q9">
        <v>5.9598240000000002</v>
      </c>
      <c r="R9">
        <v>6.3578989999999997</v>
      </c>
      <c r="S9">
        <v>6.5613900000000003</v>
      </c>
      <c r="T9">
        <v>6.7649689999999998</v>
      </c>
      <c r="U9">
        <v>6.9687429999999999</v>
      </c>
      <c r="V9">
        <v>7.1727239999999997</v>
      </c>
      <c r="W9">
        <v>7.3768960000000003</v>
      </c>
      <c r="X9">
        <v>7.5812460000000002</v>
      </c>
      <c r="Y9">
        <v>7.7857589999999997</v>
      </c>
      <c r="Z9">
        <v>7.9863379999999999</v>
      </c>
      <c r="AA9">
        <v>8.1832189999999994</v>
      </c>
      <c r="AB9">
        <v>8.3328480000000003</v>
      </c>
      <c r="AC9">
        <v>8.3328480000000003</v>
      </c>
      <c r="AD9">
        <v>8.3328480000000003</v>
      </c>
      <c r="AE9" s="6">
        <v>3.5661667884077635</v>
      </c>
    </row>
    <row r="10" spans="1:31" x14ac:dyDescent="0.25">
      <c r="A10" t="s">
        <v>28</v>
      </c>
      <c r="B10" t="s">
        <v>38</v>
      </c>
      <c r="C10" t="s">
        <v>30</v>
      </c>
      <c r="D10">
        <v>0.73892100000000005</v>
      </c>
      <c r="E10">
        <v>0.61929900000000004</v>
      </c>
      <c r="F10">
        <v>0.72179899999999997</v>
      </c>
      <c r="G10">
        <v>0.763351</v>
      </c>
      <c r="H10">
        <v>0.81064700000000001</v>
      </c>
      <c r="I10">
        <v>0.84733999999999998</v>
      </c>
      <c r="J10">
        <v>0.880996</v>
      </c>
      <c r="K10">
        <v>0.91725900000000005</v>
      </c>
      <c r="L10">
        <v>0.95543999999999996</v>
      </c>
      <c r="M10">
        <v>0.99518899999999999</v>
      </c>
      <c r="N10">
        <v>1.0279450000000001</v>
      </c>
      <c r="O10">
        <v>1.060646</v>
      </c>
      <c r="P10">
        <v>1.0944</v>
      </c>
      <c r="Q10">
        <v>1.130528</v>
      </c>
      <c r="R10">
        <v>1.1679200000000001</v>
      </c>
      <c r="S10">
        <v>1.194277</v>
      </c>
      <c r="T10">
        <v>1.221749</v>
      </c>
      <c r="U10">
        <v>1.2498959999999999</v>
      </c>
      <c r="V10">
        <v>1.279447</v>
      </c>
      <c r="W10">
        <v>1.309723</v>
      </c>
      <c r="X10">
        <v>1.325372</v>
      </c>
      <c r="Y10">
        <v>1.3407469999999999</v>
      </c>
      <c r="Z10">
        <v>1.356271</v>
      </c>
      <c r="AA10">
        <v>1.372282</v>
      </c>
      <c r="AB10">
        <v>1.3882289999999999</v>
      </c>
      <c r="AC10">
        <v>1.3882289999999999</v>
      </c>
      <c r="AD10">
        <v>1.3882270000000001</v>
      </c>
      <c r="AE10" s="6">
        <v>0.87872181193930066</v>
      </c>
    </row>
    <row r="11" spans="1:31" x14ac:dyDescent="0.25">
      <c r="A11" t="s">
        <v>28</v>
      </c>
      <c r="B11" t="s">
        <v>39</v>
      </c>
      <c r="C11" t="s">
        <v>30</v>
      </c>
      <c r="D11">
        <v>0.15282499999999999</v>
      </c>
      <c r="E11">
        <v>0.171706</v>
      </c>
      <c r="F11">
        <v>0.171706</v>
      </c>
      <c r="G11">
        <v>0.171706</v>
      </c>
      <c r="H11">
        <v>0.171706</v>
      </c>
      <c r="I11">
        <v>0.171706</v>
      </c>
      <c r="J11">
        <v>0.171706</v>
      </c>
      <c r="K11">
        <v>0.171706</v>
      </c>
      <c r="L11">
        <v>0.171706</v>
      </c>
      <c r="M11">
        <v>0.171706</v>
      </c>
      <c r="N11">
        <v>0.171706</v>
      </c>
      <c r="O11">
        <v>0.171706</v>
      </c>
      <c r="P11">
        <v>0.17316699999999999</v>
      </c>
      <c r="Q11">
        <v>0.17316699999999999</v>
      </c>
      <c r="R11">
        <v>0.171706</v>
      </c>
      <c r="S11">
        <v>0.171518</v>
      </c>
      <c r="T11">
        <v>0.171518</v>
      </c>
      <c r="U11">
        <v>0.171518</v>
      </c>
      <c r="V11">
        <v>0.171518</v>
      </c>
      <c r="W11">
        <v>0.171518</v>
      </c>
      <c r="X11">
        <v>0.171518</v>
      </c>
      <c r="Y11">
        <v>0.171518</v>
      </c>
      <c r="Z11">
        <v>0.171518</v>
      </c>
      <c r="AA11">
        <v>0.171518</v>
      </c>
      <c r="AB11">
        <v>0.171518</v>
      </c>
      <c r="AC11">
        <v>0.171518</v>
      </c>
      <c r="AD11">
        <v>0.171518</v>
      </c>
      <c r="AE11" s="6">
        <v>0.12231637493865544</v>
      </c>
    </row>
    <row r="12" spans="1:31" x14ac:dyDescent="0.25">
      <c r="A12" t="s">
        <v>28</v>
      </c>
      <c r="B12" t="s">
        <v>40</v>
      </c>
      <c r="C12" t="s">
        <v>30</v>
      </c>
      <c r="D12">
        <v>1.852276</v>
      </c>
      <c r="E12">
        <v>1.7174450000000001</v>
      </c>
      <c r="F12">
        <v>1.9151320000000001</v>
      </c>
      <c r="G12">
        <v>1.9164840000000001</v>
      </c>
      <c r="H12">
        <v>1.907322</v>
      </c>
      <c r="I12">
        <v>1.914971</v>
      </c>
      <c r="J12">
        <v>1.9106879999999999</v>
      </c>
      <c r="K12">
        <v>1.913894</v>
      </c>
      <c r="L12">
        <v>1.912709</v>
      </c>
      <c r="M12">
        <v>1.918482</v>
      </c>
      <c r="N12">
        <v>1.911564</v>
      </c>
      <c r="O12">
        <v>1.9158299999999999</v>
      </c>
      <c r="P12">
        <v>1.9194869999999999</v>
      </c>
      <c r="Q12">
        <v>1.9156390000000001</v>
      </c>
      <c r="R12">
        <v>1.9081680000000001</v>
      </c>
      <c r="S12">
        <v>1.9130210000000001</v>
      </c>
      <c r="T12">
        <v>1.915778</v>
      </c>
      <c r="U12">
        <v>1.3284860000000001</v>
      </c>
      <c r="V12">
        <v>1.316133</v>
      </c>
      <c r="W12">
        <v>1.310786</v>
      </c>
      <c r="X12">
        <v>1.301561</v>
      </c>
      <c r="Y12">
        <v>0.96206400000000003</v>
      </c>
      <c r="Z12">
        <v>0.96157899999999996</v>
      </c>
      <c r="AA12">
        <v>1.304303</v>
      </c>
      <c r="AB12">
        <v>1.8316790000000001</v>
      </c>
      <c r="AC12">
        <v>1.8518840000000001</v>
      </c>
      <c r="AD12">
        <v>1.841375</v>
      </c>
      <c r="AE12" s="6">
        <v>-5.8851920556116091E-3</v>
      </c>
    </row>
    <row r="13" spans="1:31" x14ac:dyDescent="0.25">
      <c r="A13" t="s">
        <v>28</v>
      </c>
      <c r="B13" t="s">
        <v>41</v>
      </c>
      <c r="C13" t="s">
        <v>30</v>
      </c>
      <c r="D13">
        <v>34.503822</v>
      </c>
      <c r="E13">
        <v>38.463501000000001</v>
      </c>
      <c r="F13">
        <v>46.907966999999999</v>
      </c>
      <c r="G13">
        <v>48.516646999999999</v>
      </c>
      <c r="H13">
        <v>48.301048000000002</v>
      </c>
      <c r="I13">
        <v>48.462466999999997</v>
      </c>
      <c r="J13">
        <v>48.412182000000001</v>
      </c>
      <c r="K13">
        <v>48.462378999999999</v>
      </c>
      <c r="L13">
        <v>48.404221</v>
      </c>
      <c r="M13">
        <v>48.522682000000003</v>
      </c>
      <c r="N13">
        <v>48.400664999999996</v>
      </c>
      <c r="O13">
        <v>48.546374999999998</v>
      </c>
      <c r="P13">
        <v>48.595855999999998</v>
      </c>
      <c r="Q13">
        <v>49.493819999999999</v>
      </c>
      <c r="R13">
        <v>49.491816999999998</v>
      </c>
      <c r="S13">
        <v>49.610317000000002</v>
      </c>
      <c r="T13">
        <v>49.663364000000001</v>
      </c>
      <c r="U13">
        <v>72.195167999999995</v>
      </c>
      <c r="V13">
        <v>80.341362000000004</v>
      </c>
      <c r="W13">
        <v>78.616493000000006</v>
      </c>
      <c r="X13">
        <v>79.830582000000007</v>
      </c>
      <c r="Y13">
        <v>81.221024</v>
      </c>
      <c r="Z13">
        <v>80.497558999999995</v>
      </c>
      <c r="AA13">
        <v>83.257614000000004</v>
      </c>
      <c r="AB13">
        <v>83.762794</v>
      </c>
      <c r="AC13">
        <v>84.136566000000002</v>
      </c>
      <c r="AD13">
        <v>84.293105999999995</v>
      </c>
      <c r="AE13" s="6">
        <v>1.4430077920063462</v>
      </c>
    </row>
    <row r="14" spans="1:31" x14ac:dyDescent="0.25">
      <c r="A14" t="s">
        <v>28</v>
      </c>
      <c r="B14" t="s">
        <v>42</v>
      </c>
      <c r="C14" t="s">
        <v>30</v>
      </c>
      <c r="D14">
        <v>11.128294</v>
      </c>
      <c r="E14">
        <v>10.861675999999999</v>
      </c>
      <c r="F14">
        <v>11.257451</v>
      </c>
      <c r="G14">
        <v>11.631055999999999</v>
      </c>
      <c r="H14">
        <v>11.634957999999999</v>
      </c>
      <c r="I14">
        <v>11.631033</v>
      </c>
      <c r="J14">
        <v>11.63147</v>
      </c>
      <c r="K14">
        <v>11.629438</v>
      </c>
      <c r="L14">
        <v>11.564886</v>
      </c>
      <c r="M14">
        <v>11.356361</v>
      </c>
      <c r="N14">
        <v>11.360588</v>
      </c>
      <c r="O14">
        <v>11.315384999999999</v>
      </c>
      <c r="P14">
        <v>11.314754000000001</v>
      </c>
      <c r="Q14">
        <v>11.317387</v>
      </c>
      <c r="R14">
        <v>11.320669000000001</v>
      </c>
      <c r="S14">
        <v>11.318991</v>
      </c>
      <c r="T14">
        <v>11.317418</v>
      </c>
      <c r="U14">
        <v>10.637718</v>
      </c>
      <c r="V14">
        <v>10.462564</v>
      </c>
      <c r="W14">
        <v>10.356125</v>
      </c>
      <c r="X14">
        <v>10.293397000000001</v>
      </c>
      <c r="Y14">
        <v>10.346114</v>
      </c>
      <c r="Z14">
        <v>10.347777000000001</v>
      </c>
      <c r="AA14">
        <v>10.328137999999999</v>
      </c>
      <c r="AB14">
        <v>10.292111999999999</v>
      </c>
      <c r="AC14">
        <v>10.282914</v>
      </c>
      <c r="AD14">
        <v>10.355271</v>
      </c>
      <c r="AE14" s="6">
        <v>-6.946464570400461E-2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9" t="s">
        <v>44</v>
      </c>
      <c r="C16" t="s">
        <v>30</v>
      </c>
      <c r="D16">
        <v>0</v>
      </c>
      <c r="E16">
        <v>0</v>
      </c>
      <c r="F16">
        <v>4.3350000000000003E-3</v>
      </c>
      <c r="G16">
        <v>1.2826000000000001E-2</v>
      </c>
      <c r="H16">
        <v>3.0994000000000001E-2</v>
      </c>
      <c r="I16">
        <v>4.8717000000000003E-2</v>
      </c>
      <c r="J16">
        <v>6.5664E-2</v>
      </c>
      <c r="K16">
        <v>8.2905999999999994E-2</v>
      </c>
      <c r="L16">
        <v>0.14676400000000001</v>
      </c>
      <c r="M16">
        <v>0.21687600000000001</v>
      </c>
      <c r="N16">
        <v>0.289163</v>
      </c>
      <c r="O16">
        <v>0.36468600000000001</v>
      </c>
      <c r="P16">
        <v>0.39562999999999998</v>
      </c>
      <c r="Q16">
        <v>0.417682</v>
      </c>
      <c r="R16">
        <v>0.46756399999999998</v>
      </c>
      <c r="S16">
        <v>0.53323799999999999</v>
      </c>
      <c r="T16">
        <v>0.55681199999999997</v>
      </c>
      <c r="U16">
        <v>0.62832900000000003</v>
      </c>
      <c r="V16">
        <v>0.65088800000000002</v>
      </c>
      <c r="W16">
        <v>0.71724299999999996</v>
      </c>
      <c r="X16">
        <v>0.78157799999999999</v>
      </c>
      <c r="Y16">
        <v>0.821658</v>
      </c>
      <c r="Z16">
        <v>0.88549100000000003</v>
      </c>
      <c r="AA16">
        <v>0.90600099999999995</v>
      </c>
      <c r="AB16">
        <v>0.96721199999999996</v>
      </c>
      <c r="AC16">
        <v>1.0276270000000001</v>
      </c>
      <c r="AD16">
        <v>1.0888230000000001</v>
      </c>
      <c r="AE16" s="6" t="e">
        <v>#DIV/0!</v>
      </c>
    </row>
    <row r="17" spans="1:31" x14ac:dyDescent="0.25">
      <c r="A17" t="s">
        <v>28</v>
      </c>
      <c r="B17" s="9" t="s">
        <v>45</v>
      </c>
      <c r="C17" t="s">
        <v>30</v>
      </c>
      <c r="D17">
        <v>109.80191000000001</v>
      </c>
      <c r="E17">
        <v>100.193275</v>
      </c>
      <c r="F17">
        <v>99.900467000000006</v>
      </c>
      <c r="G17">
        <v>102.62297100000001</v>
      </c>
      <c r="H17">
        <v>101.81637600000001</v>
      </c>
      <c r="I17">
        <v>102.693901</v>
      </c>
      <c r="J17">
        <v>104.66971599999999</v>
      </c>
      <c r="K17">
        <v>106.078613</v>
      </c>
      <c r="L17">
        <v>105.47223700000001</v>
      </c>
      <c r="M17">
        <v>109.00440999999999</v>
      </c>
      <c r="N17">
        <v>108.715019</v>
      </c>
      <c r="O17">
        <v>110.225334</v>
      </c>
      <c r="P17">
        <v>100.628174</v>
      </c>
      <c r="Q17">
        <v>109.887253</v>
      </c>
      <c r="R17">
        <v>113.312729</v>
      </c>
      <c r="S17">
        <v>114.02413199999999</v>
      </c>
      <c r="T17">
        <v>114.520538</v>
      </c>
      <c r="U17">
        <v>134.17640700000001</v>
      </c>
      <c r="V17">
        <v>142.94162</v>
      </c>
      <c r="W17">
        <v>140.61878999999999</v>
      </c>
      <c r="X17">
        <v>146.15147400000001</v>
      </c>
      <c r="Y17">
        <v>146.241119</v>
      </c>
      <c r="Z17">
        <v>145.31590299999999</v>
      </c>
      <c r="AA17">
        <v>148.581726</v>
      </c>
      <c r="AB17">
        <v>144.65124499999999</v>
      </c>
      <c r="AC17">
        <v>144.76486199999999</v>
      </c>
      <c r="AD17">
        <v>144.093277</v>
      </c>
      <c r="AE17" s="6">
        <v>0.31230209929863689</v>
      </c>
    </row>
    <row r="18" spans="1:31" x14ac:dyDescent="0.25">
      <c r="A18" t="s">
        <v>74</v>
      </c>
      <c r="B18" t="s">
        <v>46</v>
      </c>
      <c r="C18" t="s">
        <v>47</v>
      </c>
      <c r="D18">
        <v>29.769911</v>
      </c>
      <c r="E18">
        <v>29.583492</v>
      </c>
      <c r="F18">
        <v>26.638736999999999</v>
      </c>
      <c r="G18">
        <v>24.915371</v>
      </c>
      <c r="H18">
        <v>24.833317000000001</v>
      </c>
      <c r="I18">
        <v>24.906330000000001</v>
      </c>
      <c r="J18">
        <v>25.047063999999999</v>
      </c>
      <c r="K18">
        <v>25.253547999999999</v>
      </c>
      <c r="L18">
        <v>25.396868000000001</v>
      </c>
      <c r="M18">
        <v>25.544972999999999</v>
      </c>
      <c r="N18">
        <v>25.616997000000001</v>
      </c>
      <c r="O18">
        <v>25.697966000000001</v>
      </c>
      <c r="P18">
        <v>26.372812</v>
      </c>
      <c r="Q18">
        <v>26.717055999999999</v>
      </c>
      <c r="R18">
        <v>26.310112</v>
      </c>
      <c r="S18">
        <v>25.887428</v>
      </c>
      <c r="T18">
        <v>25.941089999999999</v>
      </c>
      <c r="U18">
        <v>26.274339999999999</v>
      </c>
      <c r="V18">
        <v>26.480089</v>
      </c>
      <c r="W18">
        <v>26.619903999999998</v>
      </c>
      <c r="X18">
        <v>26.823881</v>
      </c>
      <c r="Y18">
        <v>27.129272</v>
      </c>
      <c r="Z18">
        <v>27.290527000000001</v>
      </c>
      <c r="AA18">
        <v>27.537216000000001</v>
      </c>
      <c r="AB18">
        <v>27.84901</v>
      </c>
      <c r="AC18">
        <v>28.178131</v>
      </c>
      <c r="AD18">
        <v>28.449936000000001</v>
      </c>
      <c r="AE18" s="6" cm="1">
        <f t="array" ref="AE18:AE22">(AD18:AD22-D18:D22)/D18:D22</f>
        <v>-4.4339232320849041E-2</v>
      </c>
    </row>
    <row r="19" spans="1:31" x14ac:dyDescent="0.25">
      <c r="A19" t="s">
        <v>74</v>
      </c>
      <c r="B19" t="s">
        <v>48</v>
      </c>
      <c r="C19" t="s">
        <v>47</v>
      </c>
      <c r="D19">
        <v>25.065142000000002</v>
      </c>
      <c r="E19">
        <v>24.483236000000002</v>
      </c>
      <c r="F19">
        <v>21.552242</v>
      </c>
      <c r="G19">
        <v>19.924226999999998</v>
      </c>
      <c r="H19">
        <v>19.820751000000001</v>
      </c>
      <c r="I19">
        <v>19.810251000000001</v>
      </c>
      <c r="J19">
        <v>19.847490000000001</v>
      </c>
      <c r="K19">
        <v>19.923107000000002</v>
      </c>
      <c r="L19">
        <v>19.914975999999999</v>
      </c>
      <c r="M19">
        <v>19.916011999999998</v>
      </c>
      <c r="N19">
        <v>19.867401000000001</v>
      </c>
      <c r="O19">
        <v>19.83728</v>
      </c>
      <c r="P19">
        <v>20.364784</v>
      </c>
      <c r="Q19">
        <v>20.581302999999998</v>
      </c>
      <c r="R19">
        <v>20.009702999999998</v>
      </c>
      <c r="S19">
        <v>19.45149</v>
      </c>
      <c r="T19">
        <v>19.338238</v>
      </c>
      <c r="U19">
        <v>19.518388999999999</v>
      </c>
      <c r="V19">
        <v>19.514534000000001</v>
      </c>
      <c r="W19">
        <v>19.464987000000001</v>
      </c>
      <c r="X19">
        <v>19.471094000000001</v>
      </c>
      <c r="Y19">
        <v>19.572967999999999</v>
      </c>
      <c r="Z19">
        <v>19.528185000000001</v>
      </c>
      <c r="AA19">
        <v>19.579767</v>
      </c>
      <c r="AB19">
        <v>19.686934999999998</v>
      </c>
      <c r="AC19">
        <v>19.804891999999999</v>
      </c>
      <c r="AD19">
        <v>19.895502</v>
      </c>
      <c r="AE19" s="6">
        <v>-0.20624818323391109</v>
      </c>
    </row>
    <row r="20" spans="1:31" x14ac:dyDescent="0.25">
      <c r="A20" t="s">
        <v>74</v>
      </c>
      <c r="B20" t="s">
        <v>49</v>
      </c>
      <c r="C20" t="s">
        <v>47</v>
      </c>
      <c r="D20">
        <v>20.664853999999998</v>
      </c>
      <c r="E20">
        <v>20.202572</v>
      </c>
      <c r="F20">
        <v>17.200780999999999</v>
      </c>
      <c r="G20">
        <v>15.859586</v>
      </c>
      <c r="H20">
        <v>15.72081</v>
      </c>
      <c r="I20">
        <v>15.690533</v>
      </c>
      <c r="J20">
        <v>15.726993</v>
      </c>
      <c r="K20">
        <v>15.7889</v>
      </c>
      <c r="L20">
        <v>15.820086999999999</v>
      </c>
      <c r="M20">
        <v>15.847535000000001</v>
      </c>
      <c r="N20">
        <v>15.822849</v>
      </c>
      <c r="O20">
        <v>15.837909</v>
      </c>
      <c r="P20">
        <v>16.441348999999999</v>
      </c>
      <c r="Q20">
        <v>16.615658</v>
      </c>
      <c r="R20">
        <v>16.003094000000001</v>
      </c>
      <c r="S20">
        <v>15.458361</v>
      </c>
      <c r="T20">
        <v>15.354348999999999</v>
      </c>
      <c r="U20">
        <v>15.513225</v>
      </c>
      <c r="V20">
        <v>15.477873000000001</v>
      </c>
      <c r="W20">
        <v>15.421108</v>
      </c>
      <c r="X20">
        <v>15.425013</v>
      </c>
      <c r="Y20">
        <v>15.505799</v>
      </c>
      <c r="Z20">
        <v>15.447782999999999</v>
      </c>
      <c r="AA20">
        <v>15.466502999999999</v>
      </c>
      <c r="AB20">
        <v>15.557926999999999</v>
      </c>
      <c r="AC20">
        <v>15.644519000000001</v>
      </c>
      <c r="AD20">
        <v>15.701890000000001</v>
      </c>
      <c r="AE20" s="6">
        <v>-0.240164484104267</v>
      </c>
    </row>
    <row r="21" spans="1:31" x14ac:dyDescent="0.25">
      <c r="A21" t="s">
        <v>74</v>
      </c>
      <c r="B21" t="s">
        <v>50</v>
      </c>
      <c r="C21" t="s">
        <v>47</v>
      </c>
      <c r="D21">
        <v>26.080524</v>
      </c>
      <c r="E21">
        <v>25.482977000000002</v>
      </c>
      <c r="F21">
        <v>22.665766000000001</v>
      </c>
      <c r="G21">
        <v>20.753761000000001</v>
      </c>
      <c r="H21">
        <v>20.644085</v>
      </c>
      <c r="I21">
        <v>20.639133000000001</v>
      </c>
      <c r="J21">
        <v>20.689907000000002</v>
      </c>
      <c r="K21">
        <v>20.768401999999998</v>
      </c>
      <c r="L21">
        <v>20.789062000000001</v>
      </c>
      <c r="M21">
        <v>20.815083999999999</v>
      </c>
      <c r="N21">
        <v>20.791416000000002</v>
      </c>
      <c r="O21">
        <v>20.788544000000002</v>
      </c>
      <c r="P21">
        <v>21.286549000000001</v>
      </c>
      <c r="Q21">
        <v>21.560276000000002</v>
      </c>
      <c r="R21">
        <v>21.049484</v>
      </c>
      <c r="S21">
        <v>20.491161000000002</v>
      </c>
      <c r="T21">
        <v>20.371970999999998</v>
      </c>
      <c r="U21">
        <v>20.486367999999999</v>
      </c>
      <c r="V21">
        <v>20.530518000000001</v>
      </c>
      <c r="W21">
        <v>20.4802</v>
      </c>
      <c r="X21">
        <v>20.498761999999999</v>
      </c>
      <c r="Y21">
        <v>20.606833000000002</v>
      </c>
      <c r="Z21">
        <v>20.586335999999999</v>
      </c>
      <c r="AA21">
        <v>20.623446000000001</v>
      </c>
      <c r="AB21">
        <v>20.722189</v>
      </c>
      <c r="AC21">
        <v>20.847197000000001</v>
      </c>
      <c r="AD21">
        <v>20.939976000000001</v>
      </c>
      <c r="AE21" s="6">
        <v>-0.19710294164335038</v>
      </c>
    </row>
    <row r="22" spans="1:31" x14ac:dyDescent="0.25">
      <c r="A22" t="s">
        <v>74</v>
      </c>
      <c r="B22" t="s">
        <v>51</v>
      </c>
      <c r="C22" t="s">
        <v>47</v>
      </c>
      <c r="D22">
        <v>26.294671999999998</v>
      </c>
      <c r="E22">
        <v>25.763190999999999</v>
      </c>
      <c r="F22">
        <v>22.848376999999999</v>
      </c>
      <c r="G22">
        <v>21.241358000000002</v>
      </c>
      <c r="H22">
        <v>21.161085</v>
      </c>
      <c r="I22">
        <v>21.175454999999999</v>
      </c>
      <c r="J22">
        <v>21.236839</v>
      </c>
      <c r="K22">
        <v>21.338833000000001</v>
      </c>
      <c r="L22">
        <v>21.360285000000001</v>
      </c>
      <c r="M22">
        <v>21.385897</v>
      </c>
      <c r="N22">
        <v>21.353767000000001</v>
      </c>
      <c r="O22">
        <v>21.33466</v>
      </c>
      <c r="P22">
        <v>21.840132000000001</v>
      </c>
      <c r="Q22">
        <v>22.068190000000001</v>
      </c>
      <c r="R22">
        <v>21.567654000000001</v>
      </c>
      <c r="S22">
        <v>21.058720000000001</v>
      </c>
      <c r="T22">
        <v>20.983087999999999</v>
      </c>
      <c r="U22">
        <v>21.190691000000001</v>
      </c>
      <c r="V22">
        <v>21.232544000000001</v>
      </c>
      <c r="W22">
        <v>21.228254</v>
      </c>
      <c r="X22">
        <v>21.284486999999999</v>
      </c>
      <c r="Y22">
        <v>21.432098</v>
      </c>
      <c r="Z22">
        <v>21.435053</v>
      </c>
      <c r="AA22">
        <v>21.526802</v>
      </c>
      <c r="AB22">
        <v>21.677420000000001</v>
      </c>
      <c r="AC22">
        <v>21.839355000000001</v>
      </c>
      <c r="AD22">
        <v>21.961903</v>
      </c>
      <c r="AE22" s="6">
        <v>-0.164777449971614</v>
      </c>
    </row>
    <row r="23" spans="1:31" x14ac:dyDescent="0.25">
      <c r="A23" t="s">
        <v>75</v>
      </c>
      <c r="B23" t="s">
        <v>46</v>
      </c>
      <c r="C23" t="s">
        <v>52</v>
      </c>
      <c r="D23">
        <v>29.769911</v>
      </c>
      <c r="E23">
        <v>30.206505</v>
      </c>
      <c r="F23">
        <v>27.696211000000002</v>
      </c>
      <c r="G23">
        <v>26.356323</v>
      </c>
      <c r="H23">
        <v>26.779699000000001</v>
      </c>
      <c r="I23">
        <v>27.377651</v>
      </c>
      <c r="J23">
        <v>28.101739999999999</v>
      </c>
      <c r="K23">
        <v>28.974646</v>
      </c>
      <c r="L23">
        <v>29.813631000000001</v>
      </c>
      <c r="M23">
        <v>30.716259000000001</v>
      </c>
      <c r="N23">
        <v>31.554660999999999</v>
      </c>
      <c r="O23">
        <v>32.417819999999999</v>
      </c>
      <c r="P23">
        <v>34.048271</v>
      </c>
      <c r="Q23">
        <v>35.27449</v>
      </c>
      <c r="R23">
        <v>35.487476000000001</v>
      </c>
      <c r="S23">
        <v>35.643847999999998</v>
      </c>
      <c r="T23">
        <v>36.455612000000002</v>
      </c>
      <c r="U23">
        <v>37.679020000000001</v>
      </c>
      <c r="V23">
        <v>38.746879999999997</v>
      </c>
      <c r="W23">
        <v>39.746493999999998</v>
      </c>
      <c r="X23">
        <v>40.864905999999998</v>
      </c>
      <c r="Y23">
        <v>42.182353999999997</v>
      </c>
      <c r="Z23">
        <v>43.308788</v>
      </c>
      <c r="AA23">
        <v>44.623741000000003</v>
      </c>
      <c r="AB23">
        <v>46.100296</v>
      </c>
      <c r="AC23">
        <v>47.657027999999997</v>
      </c>
      <c r="AD23">
        <v>49.177760999999997</v>
      </c>
      <c r="AE23" s="6" cm="1">
        <f t="array" ref="AE23:AE27">(AD23:AD27-D23:D27)/D23:D27</f>
        <v>0.65192838500592076</v>
      </c>
    </row>
    <row r="24" spans="1:31" x14ac:dyDescent="0.25">
      <c r="A24" t="s">
        <v>75</v>
      </c>
      <c r="B24" t="s">
        <v>48</v>
      </c>
      <c r="C24" t="s">
        <v>52</v>
      </c>
      <c r="D24">
        <v>25.065142000000002</v>
      </c>
      <c r="E24">
        <v>24.998840000000001</v>
      </c>
      <c r="F24">
        <v>22.407799000000001</v>
      </c>
      <c r="G24">
        <v>21.076521</v>
      </c>
      <c r="H24">
        <v>21.37426</v>
      </c>
      <c r="I24">
        <v>21.775917</v>
      </c>
      <c r="J24">
        <v>22.268039999999999</v>
      </c>
      <c r="K24">
        <v>22.858767</v>
      </c>
      <c r="L24">
        <v>23.378385999999999</v>
      </c>
      <c r="M24">
        <v>23.947780999999999</v>
      </c>
      <c r="N24">
        <v>24.472389</v>
      </c>
      <c r="O24">
        <v>25.024598999999998</v>
      </c>
      <c r="P24">
        <v>26.291685000000001</v>
      </c>
      <c r="Q24">
        <v>27.173466000000001</v>
      </c>
      <c r="R24">
        <v>26.989388000000002</v>
      </c>
      <c r="S24">
        <v>26.782343000000001</v>
      </c>
      <c r="T24">
        <v>27.176473999999999</v>
      </c>
      <c r="U24">
        <v>27.990570000000002</v>
      </c>
      <c r="V24">
        <v>28.554559999999999</v>
      </c>
      <c r="W24">
        <v>29.063403999999998</v>
      </c>
      <c r="X24">
        <v>29.663288000000001</v>
      </c>
      <c r="Y24">
        <v>30.433320999999999</v>
      </c>
      <c r="Z24">
        <v>30.990314000000001</v>
      </c>
      <c r="AA24">
        <v>31.728785999999999</v>
      </c>
      <c r="AB24">
        <v>32.589077000000003</v>
      </c>
      <c r="AC24">
        <v>33.495559999999998</v>
      </c>
      <c r="AD24">
        <v>34.390808</v>
      </c>
      <c r="AE24" s="6">
        <v>0.3720571780522926</v>
      </c>
    </row>
    <row r="25" spans="1:31" x14ac:dyDescent="0.25">
      <c r="A25" t="s">
        <v>75</v>
      </c>
      <c r="B25" t="s">
        <v>49</v>
      </c>
      <c r="C25" t="s">
        <v>52</v>
      </c>
      <c r="D25">
        <v>20.664853999999998</v>
      </c>
      <c r="E25">
        <v>20.628029000000002</v>
      </c>
      <c r="F25">
        <v>17.883597999999999</v>
      </c>
      <c r="G25">
        <v>16.776807999999999</v>
      </c>
      <c r="H25">
        <v>16.952974000000001</v>
      </c>
      <c r="I25">
        <v>17.247419000000001</v>
      </c>
      <c r="J25">
        <v>17.645015999999998</v>
      </c>
      <c r="K25">
        <v>18.115386999999998</v>
      </c>
      <c r="L25">
        <v>18.571356000000002</v>
      </c>
      <c r="M25">
        <v>19.055686999999999</v>
      </c>
      <c r="N25">
        <v>19.490366000000002</v>
      </c>
      <c r="O25">
        <v>19.979420000000001</v>
      </c>
      <c r="P25">
        <v>21.226385000000001</v>
      </c>
      <c r="Q25">
        <v>21.937629999999999</v>
      </c>
      <c r="R25">
        <v>21.585213</v>
      </c>
      <c r="S25">
        <v>21.284286000000002</v>
      </c>
      <c r="T25">
        <v>21.577824</v>
      </c>
      <c r="U25">
        <v>22.246918000000001</v>
      </c>
      <c r="V25">
        <v>22.647933999999999</v>
      </c>
      <c r="W25">
        <v>23.02544</v>
      </c>
      <c r="X25">
        <v>23.499272999999999</v>
      </c>
      <c r="Y25">
        <v>24.109423</v>
      </c>
      <c r="Z25">
        <v>24.514907999999998</v>
      </c>
      <c r="AA25">
        <v>25.063289999999999</v>
      </c>
      <c r="AB25">
        <v>25.754059000000002</v>
      </c>
      <c r="AC25">
        <v>26.459216999999999</v>
      </c>
      <c r="AD25">
        <v>27.141846000000001</v>
      </c>
      <c r="AE25" s="6">
        <v>0.31343032958277872</v>
      </c>
    </row>
    <row r="26" spans="1:31" x14ac:dyDescent="0.25">
      <c r="A26" t="s">
        <v>75</v>
      </c>
      <c r="B26" t="s">
        <v>50</v>
      </c>
      <c r="C26" t="s">
        <v>52</v>
      </c>
      <c r="D26">
        <v>26.080524</v>
      </c>
      <c r="E26">
        <v>26.019634</v>
      </c>
      <c r="F26">
        <v>23.565525000000001</v>
      </c>
      <c r="G26">
        <v>21.954031000000001</v>
      </c>
      <c r="H26">
        <v>22.262125000000001</v>
      </c>
      <c r="I26">
        <v>22.687044</v>
      </c>
      <c r="J26">
        <v>23.213194000000001</v>
      </c>
      <c r="K26">
        <v>23.828614999999999</v>
      </c>
      <c r="L26">
        <v>24.404484</v>
      </c>
      <c r="M26">
        <v>25.028858</v>
      </c>
      <c r="N26">
        <v>25.610575000000001</v>
      </c>
      <c r="O26">
        <v>26.224613000000002</v>
      </c>
      <c r="P26">
        <v>27.481715999999999</v>
      </c>
      <c r="Q26">
        <v>28.466002</v>
      </c>
      <c r="R26">
        <v>28.391860999999999</v>
      </c>
      <c r="S26">
        <v>28.213842</v>
      </c>
      <c r="T26">
        <v>28.629201999999999</v>
      </c>
      <c r="U26">
        <v>29.378712</v>
      </c>
      <c r="V26">
        <v>30.041194999999998</v>
      </c>
      <c r="W26">
        <v>30.579231</v>
      </c>
      <c r="X26">
        <v>31.228891000000001</v>
      </c>
      <c r="Y26">
        <v>32.040840000000003</v>
      </c>
      <c r="Z26">
        <v>32.669552000000003</v>
      </c>
      <c r="AA26">
        <v>33.420054999999998</v>
      </c>
      <c r="AB26">
        <v>34.302799</v>
      </c>
      <c r="AC26">
        <v>35.258384999999997</v>
      </c>
      <c r="AD26">
        <v>36.196255000000001</v>
      </c>
      <c r="AE26" s="6">
        <v>0.38786532816595248</v>
      </c>
    </row>
    <row r="27" spans="1:31" x14ac:dyDescent="0.25">
      <c r="A27" t="s">
        <v>75</v>
      </c>
      <c r="B27" t="s">
        <v>51</v>
      </c>
      <c r="C27" t="s">
        <v>52</v>
      </c>
      <c r="D27">
        <v>26.294671999999998</v>
      </c>
      <c r="E27">
        <v>26.305751999999998</v>
      </c>
      <c r="F27">
        <v>23.755386000000001</v>
      </c>
      <c r="G27">
        <v>22.469828</v>
      </c>
      <c r="H27">
        <v>22.819647</v>
      </c>
      <c r="I27">
        <v>23.276581</v>
      </c>
      <c r="J27">
        <v>23.826830000000001</v>
      </c>
      <c r="K27">
        <v>24.483097000000001</v>
      </c>
      <c r="L27">
        <v>25.075047000000001</v>
      </c>
      <c r="M27">
        <v>25.715226999999999</v>
      </c>
      <c r="N27">
        <v>26.303272</v>
      </c>
      <c r="O27">
        <v>26.913533999999999</v>
      </c>
      <c r="P27">
        <v>28.196411000000001</v>
      </c>
      <c r="Q27">
        <v>29.136600000000001</v>
      </c>
      <c r="R27">
        <v>29.090776000000002</v>
      </c>
      <c r="S27">
        <v>28.995301999999999</v>
      </c>
      <c r="T27">
        <v>29.488018</v>
      </c>
      <c r="U27">
        <v>30.388753999999999</v>
      </c>
      <c r="V27">
        <v>31.068432000000001</v>
      </c>
      <c r="W27">
        <v>31.696159000000002</v>
      </c>
      <c r="X27">
        <v>32.425902999999998</v>
      </c>
      <c r="Y27">
        <v>33.324016999999998</v>
      </c>
      <c r="Z27">
        <v>34.016426000000003</v>
      </c>
      <c r="AA27">
        <v>34.883934000000004</v>
      </c>
      <c r="AB27">
        <v>35.884059999999998</v>
      </c>
      <c r="AC27">
        <v>36.936405000000001</v>
      </c>
      <c r="AD27">
        <v>37.962727000000001</v>
      </c>
      <c r="AE27" s="6">
        <v>0.44374217712242248</v>
      </c>
    </row>
    <row r="28" spans="1:31" x14ac:dyDescent="0.25">
      <c r="A28" t="s">
        <v>76</v>
      </c>
      <c r="B28" t="s">
        <v>53</v>
      </c>
      <c r="C28" t="s">
        <v>47</v>
      </c>
      <c r="D28">
        <v>17.103981000000001</v>
      </c>
      <c r="E28">
        <v>16.462187</v>
      </c>
      <c r="F28">
        <v>13.259824999999999</v>
      </c>
      <c r="G28">
        <v>11.448193</v>
      </c>
      <c r="H28">
        <v>11.182703</v>
      </c>
      <c r="I28">
        <v>11.024940000000001</v>
      </c>
      <c r="J28">
        <v>10.933057</v>
      </c>
      <c r="K28">
        <v>10.891006000000001</v>
      </c>
      <c r="L28">
        <v>10.790290000000001</v>
      </c>
      <c r="M28">
        <v>10.714447</v>
      </c>
      <c r="N28">
        <v>10.581291</v>
      </c>
      <c r="O28">
        <v>10.460683</v>
      </c>
      <c r="P28">
        <v>10.881017</v>
      </c>
      <c r="Q28">
        <v>10.994441999999999</v>
      </c>
      <c r="R28">
        <v>10.334249</v>
      </c>
      <c r="S28">
        <v>9.6722079999999995</v>
      </c>
      <c r="T28">
        <v>9.4414350000000002</v>
      </c>
      <c r="U28">
        <v>9.4600369999999998</v>
      </c>
      <c r="V28">
        <v>9.2871199999999998</v>
      </c>
      <c r="W28">
        <v>9.1114650000000008</v>
      </c>
      <c r="X28">
        <v>9.0089849999999991</v>
      </c>
      <c r="Y28">
        <v>8.9895460000000007</v>
      </c>
      <c r="Z28">
        <v>8.8135180000000002</v>
      </c>
      <c r="AA28">
        <v>8.7314670000000003</v>
      </c>
      <c r="AB28">
        <v>8.7120580000000007</v>
      </c>
      <c r="AC28">
        <v>8.7017729999999993</v>
      </c>
      <c r="AD28">
        <v>8.6581659999999996</v>
      </c>
      <c r="AE28" s="6" cm="1">
        <f t="array" ref="AE28:AE30">(AD28:AD30-D28:D30)/D28:D30</f>
        <v>-0.49379235161685464</v>
      </c>
    </row>
    <row r="29" spans="1:31" x14ac:dyDescent="0.25">
      <c r="A29" t="s">
        <v>76</v>
      </c>
      <c r="B29" t="s">
        <v>54</v>
      </c>
      <c r="C29" t="s">
        <v>47</v>
      </c>
      <c r="D29">
        <v>2.5047359999999999</v>
      </c>
      <c r="E29">
        <v>2.56955</v>
      </c>
      <c r="F29">
        <v>2.700974</v>
      </c>
      <c r="G29">
        <v>2.7857319999999999</v>
      </c>
      <c r="H29">
        <v>2.8656280000000001</v>
      </c>
      <c r="I29">
        <v>2.9249960000000002</v>
      </c>
      <c r="J29">
        <v>2.971225</v>
      </c>
      <c r="K29">
        <v>3.0123000000000002</v>
      </c>
      <c r="L29">
        <v>3.0444879999999999</v>
      </c>
      <c r="M29">
        <v>3.0652330000000001</v>
      </c>
      <c r="N29">
        <v>3.0881759999999998</v>
      </c>
      <c r="O29">
        <v>3.1122640000000001</v>
      </c>
      <c r="P29">
        <v>3.1331479999999998</v>
      </c>
      <c r="Q29">
        <v>3.1683590000000001</v>
      </c>
      <c r="R29">
        <v>3.2168220000000001</v>
      </c>
      <c r="S29">
        <v>3.2576230000000002</v>
      </c>
      <c r="T29">
        <v>3.3103829999999999</v>
      </c>
      <c r="U29">
        <v>3.3916759999999999</v>
      </c>
      <c r="V29">
        <v>3.493795</v>
      </c>
      <c r="W29">
        <v>3.5454500000000002</v>
      </c>
      <c r="X29">
        <v>3.586433</v>
      </c>
      <c r="Y29">
        <v>3.632962</v>
      </c>
      <c r="Z29">
        <v>3.6858070000000001</v>
      </c>
      <c r="AA29">
        <v>3.7331110000000001</v>
      </c>
      <c r="AB29">
        <v>3.7789709999999999</v>
      </c>
      <c r="AC29">
        <v>3.8243740000000002</v>
      </c>
      <c r="AD29">
        <v>3.8686250000000002</v>
      </c>
      <c r="AE29" s="6">
        <v>0.54452405363279821</v>
      </c>
    </row>
    <row r="30" spans="1:31" x14ac:dyDescent="0.25">
      <c r="A30" t="s">
        <v>76</v>
      </c>
      <c r="B30" t="s">
        <v>55</v>
      </c>
      <c r="C30" t="s">
        <v>47</v>
      </c>
      <c r="D30">
        <v>6.6859539999999997</v>
      </c>
      <c r="E30">
        <v>6.7314550000000004</v>
      </c>
      <c r="F30">
        <v>6.8875780000000004</v>
      </c>
      <c r="G30">
        <v>7.0074339999999999</v>
      </c>
      <c r="H30">
        <v>7.1127549999999999</v>
      </c>
      <c r="I30">
        <v>7.2255180000000001</v>
      </c>
      <c r="J30">
        <v>7.33256</v>
      </c>
      <c r="K30">
        <v>7.4355250000000002</v>
      </c>
      <c r="L30">
        <v>7.525506</v>
      </c>
      <c r="M30">
        <v>7.6062159999999999</v>
      </c>
      <c r="N30">
        <v>7.6843000000000004</v>
      </c>
      <c r="O30">
        <v>7.7617120000000002</v>
      </c>
      <c r="P30">
        <v>7.8259670000000003</v>
      </c>
      <c r="Q30">
        <v>7.9053890000000004</v>
      </c>
      <c r="R30">
        <v>8.0165839999999999</v>
      </c>
      <c r="S30">
        <v>8.1288889999999991</v>
      </c>
      <c r="T30">
        <v>8.231268</v>
      </c>
      <c r="U30">
        <v>8.3389779999999991</v>
      </c>
      <c r="V30">
        <v>8.4516290000000005</v>
      </c>
      <c r="W30">
        <v>8.571339</v>
      </c>
      <c r="X30">
        <v>8.6890689999999999</v>
      </c>
      <c r="Y30">
        <v>8.80959</v>
      </c>
      <c r="Z30">
        <v>8.9357279999999992</v>
      </c>
      <c r="AA30">
        <v>9.0622240000000005</v>
      </c>
      <c r="AB30">
        <v>9.1863910000000004</v>
      </c>
      <c r="AC30">
        <v>9.3132070000000002</v>
      </c>
      <c r="AD30">
        <v>9.4351099999999999</v>
      </c>
      <c r="AE30" s="6">
        <v>0.41118380413625344</v>
      </c>
    </row>
    <row r="31" spans="1:31" x14ac:dyDescent="0.25">
      <c r="A31" t="s">
        <v>77</v>
      </c>
      <c r="B31" t="s">
        <v>53</v>
      </c>
      <c r="C31" t="s">
        <v>52</v>
      </c>
      <c r="D31">
        <v>17.103981000000001</v>
      </c>
      <c r="E31">
        <v>16.808872000000001</v>
      </c>
      <c r="F31">
        <v>13.786199</v>
      </c>
      <c r="G31">
        <v>12.110286</v>
      </c>
      <c r="H31">
        <v>12.059179</v>
      </c>
      <c r="I31">
        <v>12.118885000000001</v>
      </c>
      <c r="J31">
        <v>12.266425</v>
      </c>
      <c r="K31">
        <v>12.49579</v>
      </c>
      <c r="L31">
        <v>12.666826</v>
      </c>
      <c r="M31">
        <v>12.883464</v>
      </c>
      <c r="N31">
        <v>13.033887</v>
      </c>
      <c r="O31">
        <v>13.196083</v>
      </c>
      <c r="P31">
        <v>14.047793</v>
      </c>
      <c r="Q31">
        <v>14.515947000000001</v>
      </c>
      <c r="R31">
        <v>13.93899</v>
      </c>
      <c r="S31">
        <v>13.317456</v>
      </c>
      <c r="T31">
        <v>13.268268000000001</v>
      </c>
      <c r="U31">
        <v>13.566274999999999</v>
      </c>
      <c r="V31">
        <v>13.589339000000001</v>
      </c>
      <c r="W31">
        <v>13.604437000000001</v>
      </c>
      <c r="X31">
        <v>13.724761000000001</v>
      </c>
      <c r="Y31">
        <v>13.97753</v>
      </c>
      <c r="Z31">
        <v>13.98664</v>
      </c>
      <c r="AA31">
        <v>14.149241</v>
      </c>
      <c r="AB31">
        <v>14.421642</v>
      </c>
      <c r="AC31">
        <v>14.717109000000001</v>
      </c>
      <c r="AD31">
        <v>14.966262</v>
      </c>
      <c r="AE31" s="6" cm="1">
        <f t="array" ref="AE31:AE33">(AD31:AD33-D31:D33)/D31:D33</f>
        <v>-0.12498370993279287</v>
      </c>
    </row>
    <row r="32" spans="1:31" x14ac:dyDescent="0.25">
      <c r="A32" t="s">
        <v>77</v>
      </c>
      <c r="B32" t="s">
        <v>54</v>
      </c>
      <c r="C32" t="s">
        <v>52</v>
      </c>
      <c r="D32">
        <v>2.5047359999999999</v>
      </c>
      <c r="E32">
        <v>2.6236640000000002</v>
      </c>
      <c r="F32">
        <v>2.8081939999999999</v>
      </c>
      <c r="G32">
        <v>2.946841</v>
      </c>
      <c r="H32">
        <v>3.09023</v>
      </c>
      <c r="I32">
        <v>3.2152280000000002</v>
      </c>
      <c r="J32">
        <v>3.3335880000000002</v>
      </c>
      <c r="K32">
        <v>3.4561609999999998</v>
      </c>
      <c r="L32">
        <v>3.5739550000000002</v>
      </c>
      <c r="M32">
        <v>3.6857540000000002</v>
      </c>
      <c r="N32">
        <v>3.8039719999999999</v>
      </c>
      <c r="O32">
        <v>3.9261010000000001</v>
      </c>
      <c r="P32">
        <v>4.0450090000000003</v>
      </c>
      <c r="Q32">
        <v>4.183179</v>
      </c>
      <c r="R32">
        <v>4.3388980000000004</v>
      </c>
      <c r="S32">
        <v>4.4853519999999998</v>
      </c>
      <c r="T32">
        <v>4.652158</v>
      </c>
      <c r="U32">
        <v>4.8638729999999999</v>
      </c>
      <c r="V32">
        <v>5.1122810000000003</v>
      </c>
      <c r="W32">
        <v>5.2937529999999997</v>
      </c>
      <c r="X32">
        <v>5.4637609999999999</v>
      </c>
      <c r="Y32">
        <v>5.6487639999999999</v>
      </c>
      <c r="Z32">
        <v>5.8492030000000002</v>
      </c>
      <c r="AA32">
        <v>6.0494640000000004</v>
      </c>
      <c r="AB32">
        <v>6.255579</v>
      </c>
      <c r="AC32">
        <v>6.4680770000000001</v>
      </c>
      <c r="AD32">
        <v>6.6871960000000001</v>
      </c>
      <c r="AE32" s="6">
        <v>1.6698206916816787</v>
      </c>
    </row>
    <row r="33" spans="1:31" x14ac:dyDescent="0.25">
      <c r="A33" t="s">
        <v>77</v>
      </c>
      <c r="B33" t="s">
        <v>55</v>
      </c>
      <c r="C33" t="s">
        <v>52</v>
      </c>
      <c r="D33">
        <v>6.6859539999999997</v>
      </c>
      <c r="E33">
        <v>6.8732160000000002</v>
      </c>
      <c r="F33">
        <v>7.1609939999999996</v>
      </c>
      <c r="G33">
        <v>7.4127010000000002</v>
      </c>
      <c r="H33">
        <v>7.6702380000000003</v>
      </c>
      <c r="I33">
        <v>7.9424669999999997</v>
      </c>
      <c r="J33">
        <v>8.22682</v>
      </c>
      <c r="K33">
        <v>8.5311459999999997</v>
      </c>
      <c r="L33">
        <v>8.8342650000000003</v>
      </c>
      <c r="M33">
        <v>9.1460080000000001</v>
      </c>
      <c r="N33">
        <v>9.4654140000000009</v>
      </c>
      <c r="O33">
        <v>9.7913490000000003</v>
      </c>
      <c r="P33">
        <v>10.103611000000001</v>
      </c>
      <c r="Q33">
        <v>10.437473000000001</v>
      </c>
      <c r="R33">
        <v>10.812889</v>
      </c>
      <c r="S33">
        <v>11.192493000000001</v>
      </c>
      <c r="T33">
        <v>11.567591999999999</v>
      </c>
      <c r="U33">
        <v>11.958607000000001</v>
      </c>
      <c r="V33">
        <v>12.366811</v>
      </c>
      <c r="W33">
        <v>12.797967999999999</v>
      </c>
      <c r="X33">
        <v>13.237384</v>
      </c>
      <c r="Y33">
        <v>13.697722000000001</v>
      </c>
      <c r="Z33">
        <v>14.180581</v>
      </c>
      <c r="AA33">
        <v>14.685229</v>
      </c>
      <c r="AB33">
        <v>15.206837</v>
      </c>
      <c r="AC33">
        <v>15.751213</v>
      </c>
      <c r="AD33">
        <v>16.309265</v>
      </c>
      <c r="AE33" s="6">
        <v>1.4393325170947933</v>
      </c>
    </row>
    <row r="34" spans="1:31" x14ac:dyDescent="0.25">
      <c r="A34" t="s">
        <v>56</v>
      </c>
      <c r="B34" t="s">
        <v>57</v>
      </c>
      <c r="C34" t="s">
        <v>58</v>
      </c>
      <c r="D34">
        <v>7.1894879999999999</v>
      </c>
      <c r="E34">
        <v>5.1608450000000001</v>
      </c>
      <c r="F34">
        <v>3.9866030000000001</v>
      </c>
      <c r="G34">
        <v>3.9929920000000001</v>
      </c>
      <c r="H34">
        <v>3.8390749999999998</v>
      </c>
      <c r="I34">
        <v>3.9440300000000001</v>
      </c>
      <c r="J34">
        <v>4.1456970000000002</v>
      </c>
      <c r="K34">
        <v>4.2730040000000002</v>
      </c>
      <c r="L34">
        <v>4.1785360000000003</v>
      </c>
      <c r="M34">
        <v>4.5561699999999998</v>
      </c>
      <c r="N34">
        <v>4.4847539999999997</v>
      </c>
      <c r="O34">
        <v>4.6309069999999997</v>
      </c>
      <c r="P34">
        <v>2.617521</v>
      </c>
      <c r="Q34">
        <v>2.834498</v>
      </c>
      <c r="R34">
        <v>2.7833860000000001</v>
      </c>
      <c r="S34">
        <v>2.705152</v>
      </c>
      <c r="T34">
        <v>2.734699</v>
      </c>
      <c r="U34">
        <v>2.5667849999999999</v>
      </c>
      <c r="V34">
        <v>2.655389</v>
      </c>
      <c r="W34">
        <v>2.5764290000000001</v>
      </c>
      <c r="X34">
        <v>3.0949010000000001</v>
      </c>
      <c r="Y34">
        <v>2.9642360000000001</v>
      </c>
      <c r="Z34">
        <v>2.9358979999999999</v>
      </c>
      <c r="AA34">
        <v>2.96272</v>
      </c>
      <c r="AB34">
        <v>2.7058270000000002</v>
      </c>
      <c r="AC34">
        <v>2.8081360000000002</v>
      </c>
      <c r="AD34">
        <v>2.761647</v>
      </c>
      <c r="AE34" s="6" cm="1">
        <f t="array" ref="AE34:AE38">(AD34:AD38-D34:D38)/D34:D38</f>
        <v>-0.6158770972286205</v>
      </c>
    </row>
    <row r="35" spans="1:31" x14ac:dyDescent="0.25">
      <c r="A35" t="s">
        <v>56</v>
      </c>
      <c r="B35" t="s">
        <v>59</v>
      </c>
      <c r="C35" t="s">
        <v>58</v>
      </c>
      <c r="D35">
        <v>26.361439000000001</v>
      </c>
      <c r="E35">
        <v>18.923103000000001</v>
      </c>
      <c r="F35">
        <v>14.61754</v>
      </c>
      <c r="G35">
        <v>14.640966000000001</v>
      </c>
      <c r="H35">
        <v>14.076611</v>
      </c>
      <c r="I35">
        <v>14.461441000000001</v>
      </c>
      <c r="J35">
        <v>15.200884</v>
      </c>
      <c r="K35">
        <v>15.667683</v>
      </c>
      <c r="L35">
        <v>15.321286000000001</v>
      </c>
      <c r="M35">
        <v>16.705957000000001</v>
      </c>
      <c r="N35">
        <v>16.444098</v>
      </c>
      <c r="O35">
        <v>16.979997999999998</v>
      </c>
      <c r="P35">
        <v>9.5975800000000007</v>
      </c>
      <c r="Q35">
        <v>10.393155</v>
      </c>
      <c r="R35">
        <v>10.20575</v>
      </c>
      <c r="S35">
        <v>9.9188930000000006</v>
      </c>
      <c r="T35">
        <v>10.027229</v>
      </c>
      <c r="U35">
        <v>9.4115389999999994</v>
      </c>
      <c r="V35">
        <v>9.7364200000000007</v>
      </c>
      <c r="W35">
        <v>9.4469069999999995</v>
      </c>
      <c r="X35">
        <v>11.347967000000001</v>
      </c>
      <c r="Y35">
        <v>10.868864</v>
      </c>
      <c r="Z35">
        <v>10.764953999999999</v>
      </c>
      <c r="AA35">
        <v>10.863299</v>
      </c>
      <c r="AB35">
        <v>9.921367</v>
      </c>
      <c r="AC35">
        <v>10.296498</v>
      </c>
      <c r="AD35">
        <v>10.126039</v>
      </c>
      <c r="AE35" s="6">
        <v>-0.61587684951492971</v>
      </c>
    </row>
    <row r="36" spans="1:31" x14ac:dyDescent="0.25">
      <c r="A36" t="s">
        <v>56</v>
      </c>
      <c r="B36" t="s">
        <v>60</v>
      </c>
      <c r="C36" t="s">
        <v>58</v>
      </c>
      <c r="D36">
        <v>7.0600000000000003E-4</v>
      </c>
      <c r="E36">
        <v>2.3499999999999999E-4</v>
      </c>
      <c r="F36">
        <v>2.8400000000000002E-4</v>
      </c>
      <c r="G36">
        <v>2.7999999999999998E-4</v>
      </c>
      <c r="H36">
        <v>2.7700000000000001E-4</v>
      </c>
      <c r="I36">
        <v>2.8800000000000001E-4</v>
      </c>
      <c r="J36">
        <v>2.7E-4</v>
      </c>
      <c r="K36">
        <v>3.01E-4</v>
      </c>
      <c r="L36">
        <v>6.3999999999999997E-5</v>
      </c>
      <c r="M36">
        <v>7.1000000000000005E-5</v>
      </c>
      <c r="N36">
        <v>7.2999999999999999E-5</v>
      </c>
      <c r="O36">
        <v>8.2000000000000001E-5</v>
      </c>
      <c r="P36">
        <v>9.6000000000000002E-5</v>
      </c>
      <c r="Q36">
        <v>1.64E-4</v>
      </c>
      <c r="R36">
        <v>2.43E-4</v>
      </c>
      <c r="S36">
        <v>5.9100000000000005E-4</v>
      </c>
      <c r="T36">
        <v>6.0499999999999996E-4</v>
      </c>
      <c r="U36">
        <v>6.1799999999999995E-4</v>
      </c>
      <c r="V36">
        <v>6.3199999999999997E-4</v>
      </c>
      <c r="W36">
        <v>6.4599999999999998E-4</v>
      </c>
      <c r="X36">
        <v>6.5399999999999996E-4</v>
      </c>
      <c r="Y36">
        <v>6.6100000000000002E-4</v>
      </c>
      <c r="Z36">
        <v>6.69E-4</v>
      </c>
      <c r="AA36">
        <v>6.7199999999999996E-4</v>
      </c>
      <c r="AB36">
        <v>6.7699999999999998E-4</v>
      </c>
      <c r="AC36">
        <v>6.7699999999999998E-4</v>
      </c>
      <c r="AD36">
        <v>6.8199999999999999E-4</v>
      </c>
      <c r="AE36" s="6">
        <v>-3.3994334277620455E-2</v>
      </c>
    </row>
    <row r="37" spans="1:31" x14ac:dyDescent="0.25">
      <c r="A37" t="s">
        <v>56</v>
      </c>
      <c r="B37" t="s">
        <v>61</v>
      </c>
      <c r="C37" t="s">
        <v>58</v>
      </c>
      <c r="D37">
        <v>1.1613999999999999E-2</v>
      </c>
      <c r="E37">
        <v>6.1659999999999996E-3</v>
      </c>
      <c r="F37">
        <v>4.5659999999999997E-3</v>
      </c>
      <c r="G37">
        <v>4.646E-3</v>
      </c>
      <c r="H37">
        <v>4.4770000000000001E-3</v>
      </c>
      <c r="I37">
        <v>4.2579999999999996E-3</v>
      </c>
      <c r="J37">
        <v>5.4250000000000001E-3</v>
      </c>
      <c r="K37">
        <v>5.7489999999999998E-3</v>
      </c>
      <c r="L37">
        <v>5.522E-3</v>
      </c>
      <c r="M37">
        <v>5.6579999999999998E-3</v>
      </c>
      <c r="N37">
        <v>5.5310000000000003E-3</v>
      </c>
      <c r="O37">
        <v>5.4780000000000002E-3</v>
      </c>
      <c r="P37">
        <v>4.3790000000000001E-3</v>
      </c>
      <c r="Q37">
        <v>4.8589999999999996E-3</v>
      </c>
      <c r="R37">
        <v>5.3280000000000003E-3</v>
      </c>
      <c r="S37">
        <v>5.4879999999999998E-3</v>
      </c>
      <c r="T37">
        <v>5.4730000000000004E-3</v>
      </c>
      <c r="U37">
        <v>5.2550000000000001E-3</v>
      </c>
      <c r="V37">
        <v>5.287E-3</v>
      </c>
      <c r="W37">
        <v>5.1780000000000003E-3</v>
      </c>
      <c r="X37">
        <v>5.7949999999999998E-3</v>
      </c>
      <c r="Y37">
        <v>5.5659999999999998E-3</v>
      </c>
      <c r="Z37">
        <v>5.5859999999999998E-3</v>
      </c>
      <c r="AA37">
        <v>5.6129999999999999E-3</v>
      </c>
      <c r="AB37">
        <v>5.2249999999999996E-3</v>
      </c>
      <c r="AC37">
        <v>5.117E-3</v>
      </c>
      <c r="AD37">
        <v>5.1190000000000003E-3</v>
      </c>
      <c r="AE37" s="6">
        <v>-0.55923884966419835</v>
      </c>
    </row>
    <row r="38" spans="1:31" x14ac:dyDescent="0.25">
      <c r="A38" t="s">
        <v>56</v>
      </c>
      <c r="B38" t="s">
        <v>62</v>
      </c>
      <c r="C38" t="s">
        <v>63</v>
      </c>
      <c r="D38">
        <v>4.4359999999999998E-3</v>
      </c>
      <c r="E38">
        <v>1.9999999999999999E-6</v>
      </c>
      <c r="F38">
        <v>1.9999999999999999E-6</v>
      </c>
      <c r="G38">
        <v>1.9999999999999999E-6</v>
      </c>
      <c r="H38">
        <v>1.9999999999999999E-6</v>
      </c>
      <c r="I38">
        <v>1.9999999999999999E-6</v>
      </c>
      <c r="J38">
        <v>1.9999999999999999E-6</v>
      </c>
      <c r="K38">
        <v>1.9999999999999999E-6</v>
      </c>
      <c r="L38">
        <v>1.9999999999999999E-6</v>
      </c>
      <c r="M38">
        <v>1.9999999999999999E-6</v>
      </c>
      <c r="N38">
        <v>1.9999999999999999E-6</v>
      </c>
      <c r="O38">
        <v>1.9999999999999999E-6</v>
      </c>
      <c r="P38">
        <v>1.9999999999999999E-6</v>
      </c>
      <c r="Q38">
        <v>1.9999999999999999E-6</v>
      </c>
      <c r="R38">
        <v>9.9999999999999995E-7</v>
      </c>
      <c r="S38">
        <v>3.9999999999999998E-6</v>
      </c>
      <c r="T38">
        <v>5.0000000000000004E-6</v>
      </c>
      <c r="U38">
        <v>5.0000000000000004E-6</v>
      </c>
      <c r="V38">
        <v>5.0000000000000004E-6</v>
      </c>
      <c r="W38">
        <v>5.0000000000000004E-6</v>
      </c>
      <c r="X38">
        <v>5.0000000000000004E-6</v>
      </c>
      <c r="Y38">
        <v>5.0000000000000004E-6</v>
      </c>
      <c r="Z38">
        <v>6.0000000000000002E-6</v>
      </c>
      <c r="AA38">
        <v>6.0000000000000002E-6</v>
      </c>
      <c r="AB38">
        <v>6.9999999999999999E-6</v>
      </c>
      <c r="AC38">
        <v>6.9999999999999999E-6</v>
      </c>
      <c r="AD38">
        <v>6.9999999999999999E-6</v>
      </c>
      <c r="AE38" s="6">
        <v>-0.99842200180342655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59.399655901067653</v>
      </c>
      <c r="E39" s="4" cm="1">
        <f t="array" ref="E39:E42">907185*E34:E37*10^6/(E17*10^9)</f>
        <v>46.728097981875528</v>
      </c>
      <c r="F39" s="4" cm="1">
        <f t="array" ref="F39:F42">907185*F34:F37*10^6/(F17*10^9)</f>
        <v>36.201897259949746</v>
      </c>
      <c r="G39" s="4" cm="1">
        <f t="array" ref="G39:G42">907185*G34:G37*10^6/(G17*10^9)</f>
        <v>35.297968985131021</v>
      </c>
      <c r="H39" s="4" cm="1">
        <f t="array" ref="H39:H42">907185*H34:H37*10^6/(H17*10^9)</f>
        <v>34.206199343364965</v>
      </c>
      <c r="I39" s="4" cm="1">
        <f t="array" ref="I39:I42">907185*I34:I37*10^6/(I17*10^9)</f>
        <v>34.841064763427383</v>
      </c>
      <c r="J39" s="4" cm="1">
        <f t="array" ref="J39:J42">907185*J34:J37*10^6/(J17*10^9)</f>
        <v>35.931253820780405</v>
      </c>
      <c r="K39" s="4" cm="1">
        <f t="array" ref="K39:K42">907185*K34:K37*10^6/(K17*10^9)</f>
        <v>36.542758470456249</v>
      </c>
      <c r="L39" s="4" cm="1">
        <f t="array" ref="L39:L42">907185*L34:L37*10^6/(L17*10^9)</f>
        <v>35.940312720967512</v>
      </c>
      <c r="M39" s="4" cm="1">
        <f t="array" ref="M39:M42">907185*M34:M37*10^6/(M17*10^9)</f>
        <v>37.918549180257934</v>
      </c>
      <c r="N39" s="4" cm="1">
        <f t="array" ref="N39:N42">907185*N34:N37*10^6/(N17*10^9)</f>
        <v>37.423546396013592</v>
      </c>
      <c r="O39" s="4" cm="1">
        <f t="array" ref="O39:O42">907185*O34:O37*10^6/(O17*10^9)</f>
        <v>38.113646058854307</v>
      </c>
      <c r="P39" s="4" cm="1">
        <f t="array" ref="P39:P42">907185*P34:P37*10^6/(P17*10^9)</f>
        <v>23.597524371107042</v>
      </c>
      <c r="Q39" s="4" cm="1">
        <f t="array" ref="Q39:Q42">907185*Q34:Q37*10^6/(Q17*10^9)</f>
        <v>23.400476378547747</v>
      </c>
      <c r="R39" s="4" cm="1">
        <f t="array" ref="R39:R42">907185*R34:R37*10^6/(R17*10^9)</f>
        <v>22.283869170691322</v>
      </c>
      <c r="S39" s="4" cm="1">
        <f t="array" ref="S39:S42">907185*S34:S37*10^6/(S17*10^9)</f>
        <v>21.522402969224093</v>
      </c>
      <c r="T39" s="4" cm="1">
        <f t="array" ref="T39:T42">907185*T34:T37*10^6/(T17*10^9)</f>
        <v>21.663170254360839</v>
      </c>
      <c r="U39" s="4" cm="1">
        <f t="array" ref="U39:U42">907185*U34:U37*10^6/(U17*10^9)</f>
        <v>17.354383697463291</v>
      </c>
      <c r="V39" s="4" cm="1">
        <f t="array" ref="V39:V42">907185*V34:V37*10^6/(V17*10^9)</f>
        <v>16.852537909987308</v>
      </c>
      <c r="W39" s="4" cm="1">
        <f t="array" ref="W39:W42">907185*W34:W37*10^6/(W17*10^9)</f>
        <v>16.621517951939428</v>
      </c>
      <c r="X39" s="4" cm="1">
        <f t="array" ref="X39:X42">907185*X34:X37*10^6/(X17*10^9)</f>
        <v>19.210533338069517</v>
      </c>
      <c r="Y39" s="4" cm="1">
        <f t="array" ref="Y39:Y42">907185*Y34:Y37*10^6/(Y17*10^9)</f>
        <v>18.38819652125337</v>
      </c>
      <c r="Z39" s="4" cm="1">
        <f t="array" ref="Z39:Z42">907185*Z34:Z37*10^6/(Z17*10^9)</f>
        <v>18.328363050051031</v>
      </c>
      <c r="AA39" s="4" cm="1">
        <f t="array" ref="AA39:AA42">907185*AA34:AA37*10^6/(AA17*10^9)</f>
        <v>18.089271241875331</v>
      </c>
      <c r="AB39" s="4" cm="1">
        <f t="array" ref="AB39:AB42">907185*AB34:AB37*10^6/(AB17*10^9)</f>
        <v>16.969682265748904</v>
      </c>
      <c r="AC39" s="4" cm="1">
        <f t="array" ref="AC39:AC42">907185*AC34:AC37*10^6/(AC17*10^9)</f>
        <v>17.597494460775987</v>
      </c>
      <c r="AD39" s="4" cm="1">
        <f t="array" ref="AD39:AD42">907185*AD34:AD37*10^6/(AD17*10^9)</f>
        <v>17.386825991159878</v>
      </c>
      <c r="AE39" s="6" cm="1">
        <f t="array" ref="AE39:AE43">(AD39:AD43-D39:D43)/D39:D43</f>
        <v>-0.70729079609285472</v>
      </c>
    </row>
    <row r="40" spans="1:31" x14ac:dyDescent="0.25">
      <c r="A40" t="s">
        <v>64</v>
      </c>
      <c r="B40" t="s">
        <v>66</v>
      </c>
      <c r="C40" t="s">
        <v>70</v>
      </c>
      <c r="D40" s="4">
        <v>217.79859784966405</v>
      </c>
      <c r="E40" s="4">
        <v>171.33640152051123</v>
      </c>
      <c r="F40" s="4">
        <v>132.74025060263233</v>
      </c>
      <c r="G40" s="4">
        <v>129.42584502557426</v>
      </c>
      <c r="H40" s="4">
        <v>125.42275468570007</v>
      </c>
      <c r="I40" s="4">
        <v>127.75055018686068</v>
      </c>
      <c r="J40" s="4">
        <v>131.7478873405943</v>
      </c>
      <c r="K40" s="4">
        <v>133.99012864501725</v>
      </c>
      <c r="L40" s="4">
        <v>131.78103769535105</v>
      </c>
      <c r="M40" s="4">
        <v>139.03468310176626</v>
      </c>
      <c r="N40" s="4">
        <v>137.21967011871655</v>
      </c>
      <c r="O40" s="4">
        <v>139.75008218736718</v>
      </c>
      <c r="P40" s="4">
        <v>86.524283073048721</v>
      </c>
      <c r="Q40" s="4">
        <v>85.801710947083194</v>
      </c>
      <c r="R40" s="4">
        <v>81.707530967240231</v>
      </c>
      <c r="S40" s="4">
        <v>78.91549611800599</v>
      </c>
      <c r="T40" s="4">
        <v>79.431618984928278</v>
      </c>
      <c r="U40" s="4">
        <v>63.632699657213202</v>
      </c>
      <c r="V40" s="4">
        <v>61.792598808520566</v>
      </c>
      <c r="W40" s="4">
        <v>60.945570124696701</v>
      </c>
      <c r="X40" s="4">
        <v>70.438601549068196</v>
      </c>
      <c r="Y40" s="4">
        <v>67.423378973460942</v>
      </c>
      <c r="Z40" s="4">
        <v>67.203964555001249</v>
      </c>
      <c r="AA40" s="4">
        <v>66.327281077048468</v>
      </c>
      <c r="AB40" s="4">
        <v>62.222176669789462</v>
      </c>
      <c r="AC40" s="4">
        <v>64.524142178438296</v>
      </c>
      <c r="AD40" s="4">
        <v>63.751695300919557</v>
      </c>
      <c r="AE40" s="6">
        <v>-0.70729060733015237</v>
      </c>
    </row>
    <row r="41" spans="1:31" x14ac:dyDescent="0.25">
      <c r="A41" t="s">
        <v>64</v>
      </c>
      <c r="B41" t="s">
        <v>67</v>
      </c>
      <c r="C41" t="s">
        <v>70</v>
      </c>
      <c r="D41" s="4">
        <v>5.8329824135117505E-3</v>
      </c>
      <c r="E41" s="4">
        <v>2.1277722980908645E-3</v>
      </c>
      <c r="F41" s="4">
        <v>2.5789723285277537E-3</v>
      </c>
      <c r="G41" s="4">
        <v>2.4751943694945253E-3</v>
      </c>
      <c r="H41" s="4">
        <v>2.4680729650012291E-3</v>
      </c>
      <c r="I41" s="4">
        <v>2.5441557624731772E-3</v>
      </c>
      <c r="J41" s="4">
        <v>2.3401224285351076E-3</v>
      </c>
      <c r="K41" s="4">
        <v>2.5741539908709027E-3</v>
      </c>
      <c r="L41" s="4">
        <v>5.5047509801086324E-4</v>
      </c>
      <c r="M41" s="4">
        <v>5.9089476288161195E-4</v>
      </c>
      <c r="N41" s="4">
        <v>6.0915690958946518E-4</v>
      </c>
      <c r="O41" s="4">
        <v>6.7488269076145413E-4</v>
      </c>
      <c r="P41" s="4">
        <v>8.65460999023991E-4</v>
      </c>
      <c r="Q41" s="4">
        <v>1.3539180927564E-3</v>
      </c>
      <c r="R41" s="4">
        <v>1.9454650589167258E-3</v>
      </c>
      <c r="S41" s="4">
        <v>4.7020426781236102E-3</v>
      </c>
      <c r="T41" s="4">
        <v>4.7925632780383897E-3</v>
      </c>
      <c r="U41" s="4">
        <v>4.178382344073351E-3</v>
      </c>
      <c r="V41" s="4">
        <v>4.0110145666461591E-3</v>
      </c>
      <c r="W41" s="4">
        <v>4.167590334122488E-3</v>
      </c>
      <c r="X41" s="4">
        <v>4.0594800296027116E-3</v>
      </c>
      <c r="Y41" s="4">
        <v>4.1004150481096903E-3</v>
      </c>
      <c r="Z41" s="4">
        <v>4.1764648773506916E-3</v>
      </c>
      <c r="AA41" s="4">
        <v>4.1029831622766307E-3</v>
      </c>
      <c r="AB41" s="4">
        <v>4.2458275765272528E-3</v>
      </c>
      <c r="AC41" s="4">
        <v>4.2424952886702567E-3</v>
      </c>
      <c r="AD41" s="4">
        <v>4.2937476534731043E-3</v>
      </c>
      <c r="AE41" s="6">
        <v>-0.26388469069838133</v>
      </c>
    </row>
    <row r="42" spans="1:31" x14ac:dyDescent="0.25">
      <c r="A42" t="s">
        <v>64</v>
      </c>
      <c r="B42" t="s">
        <v>68</v>
      </c>
      <c r="C42" t="s">
        <v>70</v>
      </c>
      <c r="D42" s="4">
        <v>9.5955039306693302E-2</v>
      </c>
      <c r="E42" s="4">
        <v>5.5829123361822434E-2</v>
      </c>
      <c r="F42" s="4">
        <v>4.1463336803020147E-2</v>
      </c>
      <c r="G42" s="4">
        <v>4.1070546573827027E-2</v>
      </c>
      <c r="H42" s="4">
        <v>3.9890117921698574E-2</v>
      </c>
      <c r="I42" s="4">
        <v>3.7614636238231906E-2</v>
      </c>
      <c r="J42" s="4">
        <v>4.701912657334429E-2</v>
      </c>
      <c r="K42" s="4">
        <v>4.9165486024972817E-2</v>
      </c>
      <c r="L42" s="4">
        <v>4.7495679550249796E-2</v>
      </c>
      <c r="M42" s="4">
        <v>4.7088486878650138E-2</v>
      </c>
      <c r="N42" s="4">
        <v>4.6154066670401818E-2</v>
      </c>
      <c r="O42" s="4">
        <v>4.5085455853551781E-2</v>
      </c>
      <c r="P42" s="4">
        <v>3.9477642861729757E-2</v>
      </c>
      <c r="Q42" s="4">
        <v>4.0113951296971637E-2</v>
      </c>
      <c r="R42" s="4">
        <v>4.2656122773285253E-2</v>
      </c>
      <c r="S42" s="4">
        <v>4.3662961451002319E-2</v>
      </c>
      <c r="T42" s="4">
        <v>4.3354874083808441E-2</v>
      </c>
      <c r="U42" s="4">
        <v>3.5529772197581647E-2</v>
      </c>
      <c r="V42" s="4">
        <v>3.3554167743446592E-2</v>
      </c>
      <c r="W42" s="4">
        <v>3.3405236455241863E-2</v>
      </c>
      <c r="X42" s="4">
        <v>3.597046906964483E-2</v>
      </c>
      <c r="Y42" s="4">
        <v>3.452785197848493E-2</v>
      </c>
      <c r="Z42" s="4">
        <v>3.4872545298775724E-2</v>
      </c>
      <c r="AA42" s="4">
        <v>3.4270899538480254E-2</v>
      </c>
      <c r="AB42" s="4">
        <v>3.276875788383294E-2</v>
      </c>
      <c r="AC42" s="4">
        <v>3.2066245778619953E-2</v>
      </c>
      <c r="AD42" s="4">
        <v>3.2228290671743147E-2</v>
      </c>
      <c r="AE42" s="6">
        <v>-0.66413133792030987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3.6650297431073827E-8</v>
      </c>
      <c r="E43" s="5">
        <f>907185*E38/(E17*10^9)</f>
        <v>1.8108700409283954E-11</v>
      </c>
      <c r="F43" s="5">
        <f>907185*F38/(F17*10^9)</f>
        <v>1.8161776961463051E-11</v>
      </c>
      <c r="G43" s="5">
        <f>907185*G38/(G17*10^9)</f>
        <v>1.7679959782103754E-11</v>
      </c>
      <c r="H43" s="5">
        <f>907185*H38/(H17*10^9)</f>
        <v>1.7820021407951111E-11</v>
      </c>
      <c r="I43" s="5">
        <f>907185*I38/(I17*10^9)</f>
        <v>1.7667748350508176E-11</v>
      </c>
      <c r="J43" s="5">
        <f>907185*J38/(J17*10^9)</f>
        <v>1.7334240211371166E-11</v>
      </c>
      <c r="K43" s="5">
        <f>907185*K38/(K17*10^9)</f>
        <v>1.7104013228378089E-11</v>
      </c>
      <c r="L43" s="5">
        <f>907185*L38/(L17*10^9)</f>
        <v>1.7202346812839475E-11</v>
      </c>
      <c r="M43" s="5">
        <f>907185*M38/(M17*10^9)</f>
        <v>1.6644922898073572E-11</v>
      </c>
      <c r="N43" s="5">
        <f>907185*N38/(N17*10^9)</f>
        <v>1.6689230399711376E-11</v>
      </c>
      <c r="O43" s="5">
        <f>907185*O38/(O17*10^9)</f>
        <v>1.6460553433206196E-11</v>
      </c>
      <c r="P43" s="5">
        <f>907185*P38/(P17*10^9)</f>
        <v>1.8030437479666477E-11</v>
      </c>
      <c r="Q43" s="5">
        <f>907185*Q38/(Q17*10^9)</f>
        <v>1.6511196253126827E-11</v>
      </c>
      <c r="R43" s="5">
        <f>907185*R38/(R17*10^9)</f>
        <v>8.0060290490400232E-12</v>
      </c>
      <c r="S43" s="5">
        <f>907185*S38/(S17*10^9)</f>
        <v>3.1824315926386525E-11</v>
      </c>
      <c r="T43" s="5">
        <f>907185*T38/(T17*10^9)</f>
        <v>3.9607960975523892E-11</v>
      </c>
      <c r="U43" s="5">
        <f>907185*U38/(U17*10^9)</f>
        <v>3.3805682395415461E-11</v>
      </c>
      <c r="V43" s="5">
        <f>907185*V38/(V17*10^9)</f>
        <v>3.1732710179162658E-11</v>
      </c>
      <c r="W43" s="5">
        <f>907185*W38/(W17*10^9)</f>
        <v>3.2256891130979018E-11</v>
      </c>
      <c r="X43" s="5">
        <f>907185*X38/(X17*10^9)</f>
        <v>3.1035780042834195E-11</v>
      </c>
      <c r="Y43" s="5">
        <f>907185*Y38/(Y17*10^9)</f>
        <v>3.1016755280708711E-11</v>
      </c>
      <c r="Z43" s="5">
        <f>907185*Z38/(Z17*10^9)</f>
        <v>3.7457084101799925E-11</v>
      </c>
      <c r="AA43" s="5">
        <f>907185*AA38/(AA17*10^9)</f>
        <v>3.6633778234612782E-11</v>
      </c>
      <c r="AB43" s="5">
        <f>907185*AB38/(AB17*10^9)</f>
        <v>4.390072826542212E-11</v>
      </c>
      <c r="AC43" s="5">
        <f>907185*AC38/(AC17*10^9)</f>
        <v>4.3866273294965737E-11</v>
      </c>
      <c r="AD43" s="5">
        <f>907185*AD38/(AD17*10^9)</f>
        <v>4.4070723715999602E-11</v>
      </c>
      <c r="AE43" s="6">
        <v>-0.99879753435019503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11" width="11.42578125" bestFit="1" customWidth="1"/>
    <col min="12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28.768426999999999</v>
      </c>
      <c r="E2">
        <v>27.19614</v>
      </c>
      <c r="F2">
        <v>21.794758000000002</v>
      </c>
      <c r="G2">
        <v>17.241437999999999</v>
      </c>
      <c r="H2">
        <v>16.302444000000001</v>
      </c>
      <c r="I2">
        <v>15.918851999999999</v>
      </c>
      <c r="J2">
        <v>6.2707100000000002</v>
      </c>
      <c r="K2">
        <v>3.1405159999999999</v>
      </c>
      <c r="L2">
        <v>1.026025</v>
      </c>
      <c r="M2">
        <v>0.98230899999999999</v>
      </c>
      <c r="N2">
        <v>1.0570390000000001</v>
      </c>
      <c r="O2">
        <v>1.2664629999999999</v>
      </c>
      <c r="P2">
        <v>1.446286</v>
      </c>
      <c r="Q2">
        <v>1.6543490000000001</v>
      </c>
      <c r="R2">
        <v>1.0548919999999999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0.11615200000000001</v>
      </c>
      <c r="E3">
        <v>0.12395200000000001</v>
      </c>
      <c r="F3">
        <v>8.7018999999999999E-2</v>
      </c>
      <c r="G3">
        <v>6.9680000000000006E-2</v>
      </c>
      <c r="H3">
        <v>5.9693999999999997E-2</v>
      </c>
      <c r="I3">
        <v>6.5628000000000006E-2</v>
      </c>
      <c r="J3">
        <v>5.3061999999999998E-2</v>
      </c>
      <c r="K3">
        <v>3.5020000000000003E-2</v>
      </c>
      <c r="L3">
        <v>4.2680000000000003E-2</v>
      </c>
      <c r="M3">
        <v>4.582E-2</v>
      </c>
      <c r="N3">
        <v>3.4481999999999999E-2</v>
      </c>
      <c r="O3">
        <v>2.4662E-2</v>
      </c>
      <c r="P3">
        <v>1.9841999999999999E-2</v>
      </c>
      <c r="Q3">
        <v>1.7618999999999999E-2</v>
      </c>
      <c r="R3">
        <v>2.2134000000000001E-2</v>
      </c>
      <c r="S3">
        <v>1.426E-3</v>
      </c>
      <c r="T3">
        <v>5.2490000000000002E-3</v>
      </c>
      <c r="U3">
        <v>1.6080000000000001E-3</v>
      </c>
      <c r="V3">
        <v>1.335E-3</v>
      </c>
      <c r="W3">
        <v>1.436E-3</v>
      </c>
      <c r="X3">
        <v>1.6980000000000001E-3</v>
      </c>
      <c r="Y3">
        <v>1.335E-3</v>
      </c>
      <c r="Z3">
        <v>2.4090000000000001E-3</v>
      </c>
      <c r="AA3">
        <v>1.335E-3</v>
      </c>
      <c r="AB3">
        <v>1.335E-3</v>
      </c>
      <c r="AC3">
        <v>1.335E-3</v>
      </c>
      <c r="AD3">
        <v>1.335E-3</v>
      </c>
      <c r="AE3" s="6">
        <v>-0.98850643983745434</v>
      </c>
    </row>
    <row r="4" spans="1:31" x14ac:dyDescent="0.25">
      <c r="A4" t="s">
        <v>28</v>
      </c>
      <c r="B4" t="s">
        <v>32</v>
      </c>
      <c r="C4" t="s">
        <v>30</v>
      </c>
      <c r="D4">
        <v>25.724799999999998</v>
      </c>
      <c r="E4">
        <v>23.474578999999999</v>
      </c>
      <c r="F4">
        <v>26.522562000000001</v>
      </c>
      <c r="G4">
        <v>26.494875</v>
      </c>
      <c r="H4">
        <v>26.843342</v>
      </c>
      <c r="I4">
        <v>27.503526999999998</v>
      </c>
      <c r="J4">
        <v>32.321167000000003</v>
      </c>
      <c r="K4">
        <v>28.614778999999999</v>
      </c>
      <c r="L4">
        <v>30.728204999999999</v>
      </c>
      <c r="M4">
        <v>32.031948</v>
      </c>
      <c r="N4">
        <v>33.525112</v>
      </c>
      <c r="O4">
        <v>35.656123999999998</v>
      </c>
      <c r="P4">
        <v>38.982402999999998</v>
      </c>
      <c r="Q4">
        <v>38.777534000000003</v>
      </c>
      <c r="R4">
        <v>34.500416000000001</v>
      </c>
      <c r="S4">
        <v>36.889995999999996</v>
      </c>
      <c r="T4">
        <v>38.049670999999996</v>
      </c>
      <c r="U4">
        <v>37.434184999999999</v>
      </c>
      <c r="V4">
        <v>37.482959999999999</v>
      </c>
      <c r="W4">
        <v>38.372382999999999</v>
      </c>
      <c r="X4">
        <v>40.233238</v>
      </c>
      <c r="Y4">
        <v>42.696171</v>
      </c>
      <c r="Z4">
        <v>43.153239999999997</v>
      </c>
      <c r="AA4">
        <v>44.233283999999998</v>
      </c>
      <c r="AB4">
        <v>41.085025999999999</v>
      </c>
      <c r="AC4">
        <v>42.029629</v>
      </c>
      <c r="AD4">
        <v>42.027991999999998</v>
      </c>
      <c r="AE4" s="6">
        <v>0.6337538872994154</v>
      </c>
    </row>
    <row r="5" spans="1:31" x14ac:dyDescent="0.25">
      <c r="A5" t="s">
        <v>28</v>
      </c>
      <c r="B5" t="s">
        <v>33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6" t="e">
        <v>#DIV/0!</v>
      </c>
    </row>
    <row r="6" spans="1:31" x14ac:dyDescent="0.25">
      <c r="A6" t="s">
        <v>28</v>
      </c>
      <c r="B6" t="s">
        <v>34</v>
      </c>
      <c r="C6" t="s">
        <v>30</v>
      </c>
      <c r="D6">
        <v>-7.9611000000000001E-2</v>
      </c>
      <c r="E6">
        <v>-7.0903999999999995E-2</v>
      </c>
      <c r="F6">
        <v>-7.8204999999999997E-2</v>
      </c>
      <c r="G6">
        <v>-7.8026999999999999E-2</v>
      </c>
      <c r="H6">
        <v>-8.3941000000000002E-2</v>
      </c>
      <c r="I6">
        <v>-8.0294000000000004E-2</v>
      </c>
      <c r="J6">
        <v>-8.2487000000000005E-2</v>
      </c>
      <c r="K6">
        <v>-7.6013999999999998E-2</v>
      </c>
      <c r="L6">
        <v>-8.0437999999999996E-2</v>
      </c>
      <c r="M6">
        <v>-8.1367999999999996E-2</v>
      </c>
      <c r="N6">
        <v>-8.0413999999999999E-2</v>
      </c>
      <c r="O6">
        <v>-8.3322999999999994E-2</v>
      </c>
      <c r="P6">
        <v>-8.4695999999999994E-2</v>
      </c>
      <c r="Q6">
        <v>-8.3537E-2</v>
      </c>
      <c r="R6">
        <v>-8.3806000000000005E-2</v>
      </c>
      <c r="S6">
        <v>-8.3568000000000003E-2</v>
      </c>
      <c r="T6">
        <v>-8.2525000000000001E-2</v>
      </c>
      <c r="U6">
        <v>-8.2433000000000006E-2</v>
      </c>
      <c r="V6">
        <v>-8.0850000000000005E-2</v>
      </c>
      <c r="W6">
        <v>-8.2209000000000004E-2</v>
      </c>
      <c r="X6">
        <v>-8.2222000000000003E-2</v>
      </c>
      <c r="Y6">
        <v>-8.1947999999999993E-2</v>
      </c>
      <c r="Z6">
        <v>-8.2642999999999994E-2</v>
      </c>
      <c r="AA6">
        <v>-8.1813999999999998E-2</v>
      </c>
      <c r="AB6">
        <v>-8.2072000000000006E-2</v>
      </c>
      <c r="AC6">
        <v>-8.0698000000000006E-2</v>
      </c>
      <c r="AD6">
        <v>-8.0222000000000002E-2</v>
      </c>
      <c r="AE6" s="6">
        <v>7.6748188064463506E-3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1.560867</v>
      </c>
      <c r="E8">
        <v>1.6963509999999999</v>
      </c>
      <c r="F8">
        <v>1.760507</v>
      </c>
      <c r="G8">
        <v>1.8253900000000001</v>
      </c>
      <c r="H8">
        <v>1.8222970000000001</v>
      </c>
      <c r="I8">
        <v>1.8233509999999999</v>
      </c>
      <c r="J8">
        <v>1.822746</v>
      </c>
      <c r="K8">
        <v>1.8247180000000001</v>
      </c>
      <c r="L8">
        <v>1.8277779999999999</v>
      </c>
      <c r="M8">
        <v>1.826451</v>
      </c>
      <c r="N8">
        <v>1.8277589999999999</v>
      </c>
      <c r="O8">
        <v>1.8274010000000001</v>
      </c>
      <c r="P8">
        <v>1.825204</v>
      </c>
      <c r="Q8">
        <v>1.8256490000000001</v>
      </c>
      <c r="R8">
        <v>1.8243469999999999</v>
      </c>
      <c r="S8">
        <v>1.823904</v>
      </c>
      <c r="T8">
        <v>1.825674</v>
      </c>
      <c r="U8">
        <v>1.823086</v>
      </c>
      <c r="V8">
        <v>1.8263659999999999</v>
      </c>
      <c r="W8">
        <v>1.826397</v>
      </c>
      <c r="X8">
        <v>1.826433</v>
      </c>
      <c r="Y8">
        <v>1.8262830000000001</v>
      </c>
      <c r="Z8">
        <v>1.8268770000000001</v>
      </c>
      <c r="AA8">
        <v>1.8264720000000001</v>
      </c>
      <c r="AB8">
        <v>1.8261350000000001</v>
      </c>
      <c r="AC8">
        <v>1.82579</v>
      </c>
      <c r="AD8">
        <v>1.8258509999999999</v>
      </c>
      <c r="AE8" s="6">
        <v>0.16976718708256366</v>
      </c>
    </row>
    <row r="9" spans="1:31" x14ac:dyDescent="0.25">
      <c r="A9" t="s">
        <v>28</v>
      </c>
      <c r="B9" t="s">
        <v>37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6" t="e">
        <v>#DIV/0!</v>
      </c>
    </row>
    <row r="10" spans="1:31" x14ac:dyDescent="0.25">
      <c r="A10" t="s">
        <v>28</v>
      </c>
      <c r="B10" t="s">
        <v>38</v>
      </c>
      <c r="C10" t="s">
        <v>30</v>
      </c>
      <c r="D10">
        <v>3.7019999999999997E-2</v>
      </c>
      <c r="E10">
        <v>7.6990000000000003E-2</v>
      </c>
      <c r="F10">
        <v>0.120168</v>
      </c>
      <c r="G10">
        <v>0.162327</v>
      </c>
      <c r="H10">
        <v>0.210313</v>
      </c>
      <c r="I10">
        <v>0.24754100000000001</v>
      </c>
      <c r="J10">
        <v>0.28168799999999999</v>
      </c>
      <c r="K10">
        <v>0.31847999999999999</v>
      </c>
      <c r="L10">
        <v>0.35721799999999998</v>
      </c>
      <c r="M10">
        <v>0.39754800000000001</v>
      </c>
      <c r="N10">
        <v>0.430782</v>
      </c>
      <c r="O10">
        <v>0.46395999999999998</v>
      </c>
      <c r="P10">
        <v>0.49820700000000001</v>
      </c>
      <c r="Q10">
        <v>0.53486199999999995</v>
      </c>
      <c r="R10">
        <v>0.55826399999999998</v>
      </c>
      <c r="S10">
        <v>0.46000200000000002</v>
      </c>
      <c r="T10">
        <v>0.61995100000000003</v>
      </c>
      <c r="U10">
        <v>0.64143600000000001</v>
      </c>
      <c r="V10">
        <v>0.68595499999999998</v>
      </c>
      <c r="W10">
        <v>0.71667199999999998</v>
      </c>
      <c r="X10">
        <v>0.73255000000000003</v>
      </c>
      <c r="Y10">
        <v>0.74814899999999995</v>
      </c>
      <c r="Z10">
        <v>0.76390000000000002</v>
      </c>
      <c r="AA10">
        <v>0.78014399999999995</v>
      </c>
      <c r="AB10">
        <v>0.79632400000000003</v>
      </c>
      <c r="AC10">
        <v>0.79632400000000003</v>
      </c>
      <c r="AD10">
        <v>0.79632400000000003</v>
      </c>
      <c r="AE10" s="6">
        <v>20.510642895732037</v>
      </c>
    </row>
    <row r="11" spans="1:31" x14ac:dyDescent="0.25">
      <c r="A11" t="s">
        <v>28</v>
      </c>
      <c r="B11" t="s">
        <v>39</v>
      </c>
      <c r="C11" t="s">
        <v>30</v>
      </c>
      <c r="D11">
        <v>8.1000000000000003E-2</v>
      </c>
      <c r="E11">
        <v>4.8582E-2</v>
      </c>
      <c r="F11">
        <v>4.8582E-2</v>
      </c>
      <c r="G11">
        <v>4.8582E-2</v>
      </c>
      <c r="H11">
        <v>4.8582E-2</v>
      </c>
      <c r="I11">
        <v>4.8582E-2</v>
      </c>
      <c r="J11">
        <v>8.0829999999999999E-2</v>
      </c>
      <c r="K11">
        <v>8.0909999999999996E-2</v>
      </c>
      <c r="L11">
        <v>8.8261999999999993E-2</v>
      </c>
      <c r="M11">
        <v>6.6216999999999998E-2</v>
      </c>
      <c r="N11">
        <v>8.8261999999999993E-2</v>
      </c>
      <c r="O11">
        <v>8.8261999999999993E-2</v>
      </c>
      <c r="P11">
        <v>8.8261999999999993E-2</v>
      </c>
      <c r="Q11">
        <v>8.8261999999999993E-2</v>
      </c>
      <c r="R11">
        <v>6.6216999999999998E-2</v>
      </c>
      <c r="S11">
        <v>6.6216999999999998E-2</v>
      </c>
      <c r="T11">
        <v>6.6216999999999998E-2</v>
      </c>
      <c r="U11">
        <v>6.6216999999999998E-2</v>
      </c>
      <c r="V11">
        <v>6.6216999999999998E-2</v>
      </c>
      <c r="W11">
        <v>6.6216999999999998E-2</v>
      </c>
      <c r="X11">
        <v>6.6216999999999998E-2</v>
      </c>
      <c r="Y11">
        <v>6.6216999999999998E-2</v>
      </c>
      <c r="Z11">
        <v>6.6216999999999998E-2</v>
      </c>
      <c r="AA11">
        <v>6.6216999999999998E-2</v>
      </c>
      <c r="AB11">
        <v>6.6216999999999998E-2</v>
      </c>
      <c r="AC11">
        <v>6.6216999999999998E-2</v>
      </c>
      <c r="AD11">
        <v>6.6216999999999998E-2</v>
      </c>
      <c r="AE11" s="6">
        <v>-0.18250617283950621</v>
      </c>
    </row>
    <row r="12" spans="1:31" x14ac:dyDescent="0.25">
      <c r="A12" t="s">
        <v>28</v>
      </c>
      <c r="B12" t="s">
        <v>40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6" t="e">
        <v>#DIV/0!</v>
      </c>
    </row>
    <row r="13" spans="1:31" x14ac:dyDescent="0.25">
      <c r="A13" t="s">
        <v>28</v>
      </c>
      <c r="B13" t="s">
        <v>41</v>
      </c>
      <c r="C13" t="s">
        <v>30</v>
      </c>
      <c r="D13">
        <v>5.3562750000000001</v>
      </c>
      <c r="E13">
        <v>6.7381630000000001</v>
      </c>
      <c r="F13">
        <v>8.1671220000000009</v>
      </c>
      <c r="G13">
        <v>8.4205740000000002</v>
      </c>
      <c r="H13">
        <v>8.3971649999999993</v>
      </c>
      <c r="I13">
        <v>8.4065340000000006</v>
      </c>
      <c r="J13">
        <v>8.4225969999999997</v>
      </c>
      <c r="K13">
        <v>8.4349059999999998</v>
      </c>
      <c r="L13">
        <v>8.4504350000000006</v>
      </c>
      <c r="M13">
        <v>8.4217230000000001</v>
      </c>
      <c r="N13">
        <v>8.4298520000000003</v>
      </c>
      <c r="O13">
        <v>8.4259550000000001</v>
      </c>
      <c r="P13">
        <v>8.4001809999999999</v>
      </c>
      <c r="Q13">
        <v>8.4250589999999992</v>
      </c>
      <c r="R13">
        <v>8.4322769999999991</v>
      </c>
      <c r="S13">
        <v>8.4342050000000004</v>
      </c>
      <c r="T13">
        <v>8.4173720000000003</v>
      </c>
      <c r="U13">
        <v>8.4105910000000002</v>
      </c>
      <c r="V13">
        <v>8.4381570000000004</v>
      </c>
      <c r="W13">
        <v>8.4385480000000008</v>
      </c>
      <c r="X13">
        <v>8.4409340000000004</v>
      </c>
      <c r="Y13">
        <v>8.4001619999999999</v>
      </c>
      <c r="Z13">
        <v>8.4003049999999995</v>
      </c>
      <c r="AA13">
        <v>8.3687260000000006</v>
      </c>
      <c r="AB13">
        <v>8.3880879999999998</v>
      </c>
      <c r="AC13">
        <v>8.3860069999999993</v>
      </c>
      <c r="AD13">
        <v>8.3744449999999997</v>
      </c>
      <c r="AE13" s="6">
        <v>0.56348301758218156</v>
      </c>
    </row>
    <row r="14" spans="1:31" x14ac:dyDescent="0.25">
      <c r="A14" t="s">
        <v>28</v>
      </c>
      <c r="B14" t="s">
        <v>42</v>
      </c>
      <c r="C14" t="s">
        <v>30</v>
      </c>
      <c r="D14">
        <v>20.324362000000001</v>
      </c>
      <c r="E14">
        <v>19.609266000000002</v>
      </c>
      <c r="F14">
        <v>20.811313999999999</v>
      </c>
      <c r="G14">
        <v>27.733673</v>
      </c>
      <c r="H14">
        <v>36.423988000000001</v>
      </c>
      <c r="I14">
        <v>38.559341000000003</v>
      </c>
      <c r="J14">
        <v>45.214683999999998</v>
      </c>
      <c r="K14">
        <v>53.417740000000002</v>
      </c>
      <c r="L14">
        <v>59.737015</v>
      </c>
      <c r="M14">
        <v>60.950026999999999</v>
      </c>
      <c r="N14">
        <v>60.936954</v>
      </c>
      <c r="O14">
        <v>60.938727999999998</v>
      </c>
      <c r="P14">
        <v>62.791611000000003</v>
      </c>
      <c r="Q14">
        <v>65.465050000000005</v>
      </c>
      <c r="R14">
        <v>73.388878000000005</v>
      </c>
      <c r="S14">
        <v>75.284110999999996</v>
      </c>
      <c r="T14">
        <v>75.913826</v>
      </c>
      <c r="U14">
        <v>78.686501000000007</v>
      </c>
      <c r="V14">
        <v>79.233788000000004</v>
      </c>
      <c r="W14">
        <v>78.783607000000003</v>
      </c>
      <c r="X14">
        <v>78.789291000000006</v>
      </c>
      <c r="Y14">
        <v>78.922500999999997</v>
      </c>
      <c r="Z14">
        <v>80.169937000000004</v>
      </c>
      <c r="AA14">
        <v>81.902336000000005</v>
      </c>
      <c r="AB14">
        <v>82.964066000000003</v>
      </c>
      <c r="AC14">
        <v>84.248154</v>
      </c>
      <c r="AD14">
        <v>86.452033999999998</v>
      </c>
      <c r="AE14" s="6">
        <v>3.2536161282701022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9" t="s">
        <v>44</v>
      </c>
      <c r="C16" t="s">
        <v>30</v>
      </c>
      <c r="D16">
        <v>0</v>
      </c>
      <c r="E16">
        <v>0</v>
      </c>
      <c r="F16">
        <v>7.1110000000000001E-3</v>
      </c>
      <c r="G16">
        <v>1.5821000000000002E-2</v>
      </c>
      <c r="H16">
        <v>2.3258999999999998E-2</v>
      </c>
      <c r="I16">
        <v>4.8941999999999999E-2</v>
      </c>
      <c r="J16">
        <v>7.5074000000000002E-2</v>
      </c>
      <c r="K16">
        <v>0.10259799999999999</v>
      </c>
      <c r="L16">
        <v>0.16930600000000001</v>
      </c>
      <c r="M16">
        <v>0.204761</v>
      </c>
      <c r="N16">
        <v>0.243705</v>
      </c>
      <c r="O16">
        <v>0.286941</v>
      </c>
      <c r="P16">
        <v>0.34974300000000003</v>
      </c>
      <c r="Q16">
        <v>0.39475100000000002</v>
      </c>
      <c r="R16">
        <v>0.440247</v>
      </c>
      <c r="S16">
        <v>0.499998</v>
      </c>
      <c r="T16">
        <v>0.57906999999999997</v>
      </c>
      <c r="U16">
        <v>0.66320000000000001</v>
      </c>
      <c r="V16">
        <v>0.74596399999999996</v>
      </c>
      <c r="W16">
        <v>0.82467900000000005</v>
      </c>
      <c r="X16">
        <v>0.90195599999999998</v>
      </c>
      <c r="Y16">
        <v>0.98388200000000003</v>
      </c>
      <c r="Z16">
        <v>1.063178</v>
      </c>
      <c r="AA16">
        <v>1.143111</v>
      </c>
      <c r="AB16">
        <v>1.2223850000000001</v>
      </c>
      <c r="AC16">
        <v>1.305161</v>
      </c>
      <c r="AD16">
        <v>1.3921289999999999</v>
      </c>
      <c r="AE16" s="6" t="e">
        <v>#DIV/0!</v>
      </c>
    </row>
    <row r="17" spans="1:31" x14ac:dyDescent="0.25">
      <c r="A17" t="s">
        <v>28</v>
      </c>
      <c r="B17" s="9" t="s">
        <v>45</v>
      </c>
      <c r="C17" t="s">
        <v>30</v>
      </c>
      <c r="D17">
        <v>81.889290000000003</v>
      </c>
      <c r="E17">
        <v>78.893119999999996</v>
      </c>
      <c r="F17">
        <v>79.240936000000005</v>
      </c>
      <c r="G17">
        <v>81.934334000000007</v>
      </c>
      <c r="H17">
        <v>90.047141999999994</v>
      </c>
      <c r="I17">
        <v>92.542000000000002</v>
      </c>
      <c r="J17">
        <v>94.460068000000007</v>
      </c>
      <c r="K17">
        <v>95.893653999999998</v>
      </c>
      <c r="L17">
        <v>102.346481</v>
      </c>
      <c r="M17">
        <v>104.845428</v>
      </c>
      <c r="N17">
        <v>106.493538</v>
      </c>
      <c r="O17">
        <v>108.895172</v>
      </c>
      <c r="P17">
        <v>114.317047</v>
      </c>
      <c r="Q17">
        <v>117.099602</v>
      </c>
      <c r="R17">
        <v>120.20386499999999</v>
      </c>
      <c r="S17">
        <v>123.376289</v>
      </c>
      <c r="T17">
        <v>125.39450100000001</v>
      </c>
      <c r="U17">
        <v>127.644386</v>
      </c>
      <c r="V17">
        <v>128.39988700000001</v>
      </c>
      <c r="W17">
        <v>128.947723</v>
      </c>
      <c r="X17">
        <v>130.91009500000001</v>
      </c>
      <c r="Y17">
        <v>133.562759</v>
      </c>
      <c r="Z17">
        <v>135.36341899999999</v>
      </c>
      <c r="AA17">
        <v>138.23980700000001</v>
      </c>
      <c r="AB17">
        <v>136.26748699999999</v>
      </c>
      <c r="AC17">
        <v>138.577911</v>
      </c>
      <c r="AD17">
        <v>140.85611</v>
      </c>
      <c r="AE17" s="6">
        <v>0.72007975646143707</v>
      </c>
    </row>
    <row r="18" spans="1:31" x14ac:dyDescent="0.25">
      <c r="A18" t="s">
        <v>74</v>
      </c>
      <c r="B18" t="s">
        <v>46</v>
      </c>
      <c r="C18" t="s">
        <v>47</v>
      </c>
      <c r="D18">
        <v>12.866612</v>
      </c>
      <c r="E18">
        <v>12.805569999999999</v>
      </c>
      <c r="F18">
        <v>12.39242</v>
      </c>
      <c r="G18">
        <v>12.101628</v>
      </c>
      <c r="H18">
        <v>11.99901</v>
      </c>
      <c r="I18">
        <v>11.989368000000001</v>
      </c>
      <c r="J18">
        <v>12.100431</v>
      </c>
      <c r="K18">
        <v>12.186161999999999</v>
      </c>
      <c r="L18">
        <v>12.119047999999999</v>
      </c>
      <c r="M18">
        <v>11.983192000000001</v>
      </c>
      <c r="N18">
        <v>12.015746</v>
      </c>
      <c r="O18">
        <v>12.115602000000001</v>
      </c>
      <c r="P18">
        <v>12.207236</v>
      </c>
      <c r="Q18">
        <v>12.188620999999999</v>
      </c>
      <c r="R18">
        <v>12.179572</v>
      </c>
      <c r="S18">
        <v>12.433724</v>
      </c>
      <c r="T18">
        <v>12.600261</v>
      </c>
      <c r="U18">
        <v>12.722308999999999</v>
      </c>
      <c r="V18">
        <v>12.989915</v>
      </c>
      <c r="W18">
        <v>13.205719999999999</v>
      </c>
      <c r="X18">
        <v>13.298591999999999</v>
      </c>
      <c r="Y18">
        <v>13.342040000000001</v>
      </c>
      <c r="Z18">
        <v>13.375529999999999</v>
      </c>
      <c r="AA18">
        <v>13.438635</v>
      </c>
      <c r="AB18">
        <v>13.514272</v>
      </c>
      <c r="AC18">
        <v>13.694260999999999</v>
      </c>
      <c r="AD18">
        <v>13.787974999999999</v>
      </c>
      <c r="AE18" s="6" cm="1">
        <f t="array" ref="AE18:AE22">(AD18:AD22-D18:D22)/D18:D22</f>
        <v>7.1608827560821722E-2</v>
      </c>
    </row>
    <row r="19" spans="1:31" x14ac:dyDescent="0.25">
      <c r="A19" t="s">
        <v>74</v>
      </c>
      <c r="B19" t="s">
        <v>48</v>
      </c>
      <c r="C19" t="s">
        <v>47</v>
      </c>
      <c r="D19">
        <v>9.4402849999999994</v>
      </c>
      <c r="E19">
        <v>9.324935</v>
      </c>
      <c r="F19">
        <v>8.9641070000000003</v>
      </c>
      <c r="G19">
        <v>8.7204309999999996</v>
      </c>
      <c r="H19">
        <v>8.6343619999999994</v>
      </c>
      <c r="I19">
        <v>8.5909600000000008</v>
      </c>
      <c r="J19">
        <v>8.6730970000000003</v>
      </c>
      <c r="K19">
        <v>8.6895290000000003</v>
      </c>
      <c r="L19">
        <v>8.5650060000000003</v>
      </c>
      <c r="M19">
        <v>8.3614259999999998</v>
      </c>
      <c r="N19">
        <v>8.3434410000000003</v>
      </c>
      <c r="O19">
        <v>8.3652700000000006</v>
      </c>
      <c r="P19">
        <v>8.3430890000000009</v>
      </c>
      <c r="Q19">
        <v>8.2715899999999998</v>
      </c>
      <c r="R19">
        <v>8.2559310000000004</v>
      </c>
      <c r="S19">
        <v>8.4820390000000003</v>
      </c>
      <c r="T19">
        <v>8.5530190000000008</v>
      </c>
      <c r="U19">
        <v>8.6250370000000007</v>
      </c>
      <c r="V19">
        <v>8.8410320000000002</v>
      </c>
      <c r="W19">
        <v>8.9795979999999993</v>
      </c>
      <c r="X19">
        <v>9.0035919999999994</v>
      </c>
      <c r="Y19">
        <v>8.9849359999999994</v>
      </c>
      <c r="Z19">
        <v>8.9588210000000004</v>
      </c>
      <c r="AA19">
        <v>8.9597669999999994</v>
      </c>
      <c r="AB19">
        <v>8.9621980000000008</v>
      </c>
      <c r="AC19">
        <v>9.0748090000000001</v>
      </c>
      <c r="AD19">
        <v>9.0730199999999996</v>
      </c>
      <c r="AE19" s="6">
        <v>-3.8904016139343224E-2</v>
      </c>
    </row>
    <row r="20" spans="1:31" x14ac:dyDescent="0.25">
      <c r="A20" t="s">
        <v>74</v>
      </c>
      <c r="B20" t="s">
        <v>49</v>
      </c>
      <c r="C20" t="s">
        <v>47</v>
      </c>
      <c r="D20">
        <v>6.880306</v>
      </c>
      <c r="E20">
        <v>6.8979229999999996</v>
      </c>
      <c r="F20">
        <v>6.4950000000000001</v>
      </c>
      <c r="G20">
        <v>6.3089409999999999</v>
      </c>
      <c r="H20">
        <v>6.2302179999999998</v>
      </c>
      <c r="I20">
        <v>6.2085660000000003</v>
      </c>
      <c r="J20">
        <v>6.3368640000000003</v>
      </c>
      <c r="K20">
        <v>6.3529470000000003</v>
      </c>
      <c r="L20">
        <v>6.280322</v>
      </c>
      <c r="M20">
        <v>6.1373379999999997</v>
      </c>
      <c r="N20">
        <v>6.1960940000000004</v>
      </c>
      <c r="O20">
        <v>6.2486329999999999</v>
      </c>
      <c r="P20">
        <v>6.27041</v>
      </c>
      <c r="Q20">
        <v>6.2360910000000001</v>
      </c>
      <c r="R20">
        <v>6.2261769999999999</v>
      </c>
      <c r="S20">
        <v>6.4596010000000001</v>
      </c>
      <c r="T20">
        <v>6.5073679999999996</v>
      </c>
      <c r="U20">
        <v>6.6023569999999996</v>
      </c>
      <c r="V20">
        <v>6.8282699999999998</v>
      </c>
      <c r="W20">
        <v>6.9488399999999997</v>
      </c>
      <c r="X20">
        <v>6.963781</v>
      </c>
      <c r="Y20">
        <v>6.945621</v>
      </c>
      <c r="Z20">
        <v>6.9231800000000003</v>
      </c>
      <c r="AA20">
        <v>6.9300069999999998</v>
      </c>
      <c r="AB20">
        <v>6.9332219999999998</v>
      </c>
      <c r="AC20">
        <v>7.0502310000000001</v>
      </c>
      <c r="AD20">
        <v>7.0353159999999999</v>
      </c>
      <c r="AE20" s="6">
        <v>2.2529521216062172E-2</v>
      </c>
    </row>
    <row r="21" spans="1:31" x14ac:dyDescent="0.25">
      <c r="A21" t="s">
        <v>74</v>
      </c>
      <c r="B21" t="s">
        <v>50</v>
      </c>
      <c r="C21" t="s">
        <v>47</v>
      </c>
      <c r="D21">
        <v>9.2951099999999993</v>
      </c>
      <c r="E21">
        <v>9.3030650000000001</v>
      </c>
      <c r="F21">
        <v>8.8750769999999992</v>
      </c>
      <c r="G21">
        <v>8.5841940000000001</v>
      </c>
      <c r="H21">
        <v>8.4695529999999994</v>
      </c>
      <c r="I21">
        <v>8.4261529999999993</v>
      </c>
      <c r="J21">
        <v>8.5069160000000004</v>
      </c>
      <c r="K21">
        <v>8.5414630000000002</v>
      </c>
      <c r="L21">
        <v>8.4357299999999995</v>
      </c>
      <c r="M21">
        <v>8.2557569999999991</v>
      </c>
      <c r="N21">
        <v>8.2478200000000008</v>
      </c>
      <c r="O21">
        <v>8.2917699999999996</v>
      </c>
      <c r="P21">
        <v>8.2790890000000008</v>
      </c>
      <c r="Q21">
        <v>8.2164300000000008</v>
      </c>
      <c r="R21">
        <v>8.212021</v>
      </c>
      <c r="S21">
        <v>8.4243970000000008</v>
      </c>
      <c r="T21">
        <v>8.514208</v>
      </c>
      <c r="U21">
        <v>8.5847829999999998</v>
      </c>
      <c r="V21">
        <v>8.7920510000000007</v>
      </c>
      <c r="W21">
        <v>8.9361219999999992</v>
      </c>
      <c r="X21">
        <v>8.965757</v>
      </c>
      <c r="Y21">
        <v>8.9439200000000003</v>
      </c>
      <c r="Z21">
        <v>8.9148169999999993</v>
      </c>
      <c r="AA21">
        <v>8.9116239999999998</v>
      </c>
      <c r="AB21">
        <v>8.9153420000000008</v>
      </c>
      <c r="AC21">
        <v>9.0221199999999993</v>
      </c>
      <c r="AD21">
        <v>9.0286139999999993</v>
      </c>
      <c r="AE21" s="6">
        <v>-2.8670559035880165E-2</v>
      </c>
    </row>
    <row r="22" spans="1:31" x14ac:dyDescent="0.25">
      <c r="A22" t="s">
        <v>74</v>
      </c>
      <c r="B22" t="s">
        <v>51</v>
      </c>
      <c r="C22" t="s">
        <v>47</v>
      </c>
      <c r="D22">
        <v>9.8519030000000001</v>
      </c>
      <c r="E22">
        <v>9.7380180000000003</v>
      </c>
      <c r="F22">
        <v>9.3469510000000007</v>
      </c>
      <c r="G22">
        <v>9.1183779999999999</v>
      </c>
      <c r="H22">
        <v>9.0491919999999997</v>
      </c>
      <c r="I22">
        <v>9.0343920000000004</v>
      </c>
      <c r="J22">
        <v>9.1419879999999996</v>
      </c>
      <c r="K22">
        <v>9.1793519999999997</v>
      </c>
      <c r="L22">
        <v>9.0790480000000002</v>
      </c>
      <c r="M22">
        <v>8.9045719999999999</v>
      </c>
      <c r="N22">
        <v>8.9121240000000004</v>
      </c>
      <c r="O22">
        <v>8.9510970000000007</v>
      </c>
      <c r="P22">
        <v>8.912642</v>
      </c>
      <c r="Q22">
        <v>8.8581900000000005</v>
      </c>
      <c r="R22">
        <v>8.8881720000000008</v>
      </c>
      <c r="S22">
        <v>9.1441649999999992</v>
      </c>
      <c r="T22">
        <v>9.2328320000000001</v>
      </c>
      <c r="U22">
        <v>9.3228150000000003</v>
      </c>
      <c r="V22">
        <v>9.5545980000000004</v>
      </c>
      <c r="W22">
        <v>9.7115869999999997</v>
      </c>
      <c r="X22">
        <v>9.7570540000000001</v>
      </c>
      <c r="Y22">
        <v>9.7558570000000007</v>
      </c>
      <c r="Z22">
        <v>9.7476479999999999</v>
      </c>
      <c r="AA22">
        <v>9.7661320000000007</v>
      </c>
      <c r="AB22">
        <v>9.7880129999999994</v>
      </c>
      <c r="AC22">
        <v>9.9185730000000003</v>
      </c>
      <c r="AD22">
        <v>9.9382830000000002</v>
      </c>
      <c r="AE22" s="6">
        <v>8.7678492165422384E-3</v>
      </c>
    </row>
    <row r="23" spans="1:31" x14ac:dyDescent="0.25">
      <c r="A23" t="s">
        <v>75</v>
      </c>
      <c r="B23" t="s">
        <v>46</v>
      </c>
      <c r="C23" t="s">
        <v>52</v>
      </c>
      <c r="D23">
        <v>12.866612</v>
      </c>
      <c r="E23">
        <v>13.075248</v>
      </c>
      <c r="F23">
        <v>12.884359999999999</v>
      </c>
      <c r="G23">
        <v>12.801512000000001</v>
      </c>
      <c r="H23">
        <v>12.939465999999999</v>
      </c>
      <c r="I23">
        <v>13.179008</v>
      </c>
      <c r="J23">
        <v>13.576169</v>
      </c>
      <c r="K23">
        <v>13.981787000000001</v>
      </c>
      <c r="L23">
        <v>14.226668999999999</v>
      </c>
      <c r="M23">
        <v>14.409053</v>
      </c>
      <c r="N23">
        <v>14.800827999999999</v>
      </c>
      <c r="O23">
        <v>15.283752</v>
      </c>
      <c r="P23">
        <v>15.759992</v>
      </c>
      <c r="Q23">
        <v>16.092618999999999</v>
      </c>
      <c r="R23">
        <v>16.427990000000001</v>
      </c>
      <c r="S23">
        <v>17.119730000000001</v>
      </c>
      <c r="T23">
        <v>17.707438</v>
      </c>
      <c r="U23">
        <v>18.244574</v>
      </c>
      <c r="V23">
        <v>19.007439000000002</v>
      </c>
      <c r="W23">
        <v>19.717617000000001</v>
      </c>
      <c r="X23">
        <v>20.259771000000001</v>
      </c>
      <c r="Y23">
        <v>20.745069999999998</v>
      </c>
      <c r="Z23">
        <v>21.226338999999999</v>
      </c>
      <c r="AA23">
        <v>21.777151</v>
      </c>
      <c r="AB23">
        <v>22.371061000000001</v>
      </c>
      <c r="AC23">
        <v>23.160789000000001</v>
      </c>
      <c r="AD23">
        <v>23.833506</v>
      </c>
      <c r="AE23" s="6" cm="1">
        <f t="array" ref="AE23:AE27">(AD23:AD27-D23:D27)/D23:D27</f>
        <v>0.85235289600712294</v>
      </c>
    </row>
    <row r="24" spans="1:31" x14ac:dyDescent="0.25">
      <c r="A24" t="s">
        <v>75</v>
      </c>
      <c r="B24" t="s">
        <v>48</v>
      </c>
      <c r="C24" t="s">
        <v>52</v>
      </c>
      <c r="D24">
        <v>9.4402849999999994</v>
      </c>
      <c r="E24">
        <v>9.5213140000000003</v>
      </c>
      <c r="F24">
        <v>9.3199529999999999</v>
      </c>
      <c r="G24">
        <v>9.2247679999999992</v>
      </c>
      <c r="H24">
        <v>9.3111060000000005</v>
      </c>
      <c r="I24">
        <v>9.4433939999999996</v>
      </c>
      <c r="J24">
        <v>9.7308439999999994</v>
      </c>
      <c r="K24">
        <v>9.9699270000000002</v>
      </c>
      <c r="L24">
        <v>10.054544</v>
      </c>
      <c r="M24">
        <v>10.054100999999999</v>
      </c>
      <c r="N24">
        <v>10.277334</v>
      </c>
      <c r="O24">
        <v>10.552733</v>
      </c>
      <c r="P24">
        <v>10.771235000000001</v>
      </c>
      <c r="Q24">
        <v>10.920968999999999</v>
      </c>
      <c r="R24">
        <v>11.135724</v>
      </c>
      <c r="S24">
        <v>11.678739999999999</v>
      </c>
      <c r="T24">
        <v>12.019755</v>
      </c>
      <c r="U24">
        <v>12.368834</v>
      </c>
      <c r="V24">
        <v>12.936604000000001</v>
      </c>
      <c r="W24">
        <v>13.407545000000001</v>
      </c>
      <c r="X24">
        <v>13.716545999999999</v>
      </c>
      <c r="Y24">
        <v>13.970362</v>
      </c>
      <c r="Z24">
        <v>14.217230000000001</v>
      </c>
      <c r="AA24">
        <v>14.519199</v>
      </c>
      <c r="AB24">
        <v>14.835715</v>
      </c>
      <c r="AC24">
        <v>15.348017</v>
      </c>
      <c r="AD24">
        <v>15.683367000000001</v>
      </c>
      <c r="AE24" s="6">
        <v>0.6613234663995845</v>
      </c>
    </row>
    <row r="25" spans="1:31" x14ac:dyDescent="0.25">
      <c r="A25" t="s">
        <v>75</v>
      </c>
      <c r="B25" t="s">
        <v>49</v>
      </c>
      <c r="C25" t="s">
        <v>52</v>
      </c>
      <c r="D25">
        <v>6.880306</v>
      </c>
      <c r="E25">
        <v>7.0431889999999999</v>
      </c>
      <c r="F25">
        <v>6.7528309999999996</v>
      </c>
      <c r="G25">
        <v>6.6738109999999997</v>
      </c>
      <c r="H25">
        <v>6.7185290000000002</v>
      </c>
      <c r="I25">
        <v>6.8246089999999997</v>
      </c>
      <c r="J25">
        <v>7.1096919999999999</v>
      </c>
      <c r="K25">
        <v>7.2890499999999996</v>
      </c>
      <c r="L25">
        <v>7.3725310000000004</v>
      </c>
      <c r="M25">
        <v>7.379772</v>
      </c>
      <c r="N25">
        <v>7.6322619999999999</v>
      </c>
      <c r="O25">
        <v>7.8826099999999997</v>
      </c>
      <c r="P25">
        <v>8.0953300000000006</v>
      </c>
      <c r="Q25">
        <v>8.2335019999999997</v>
      </c>
      <c r="R25">
        <v>8.3979610000000005</v>
      </c>
      <c r="S25">
        <v>8.8940870000000007</v>
      </c>
      <c r="T25">
        <v>9.1449560000000005</v>
      </c>
      <c r="U25">
        <v>9.4681850000000001</v>
      </c>
      <c r="V25">
        <v>9.9914380000000005</v>
      </c>
      <c r="W25">
        <v>10.375396</v>
      </c>
      <c r="X25">
        <v>10.60899</v>
      </c>
      <c r="Y25">
        <v>10.799500999999999</v>
      </c>
      <c r="Z25">
        <v>10.986762000000001</v>
      </c>
      <c r="AA25">
        <v>11.229996999999999</v>
      </c>
      <c r="AB25">
        <v>11.477017999999999</v>
      </c>
      <c r="AC25">
        <v>11.923895999999999</v>
      </c>
      <c r="AD25">
        <v>12.161049</v>
      </c>
      <c r="AE25" s="6">
        <v>0.76751571805091234</v>
      </c>
    </row>
    <row r="26" spans="1:31" x14ac:dyDescent="0.25">
      <c r="A26" t="s">
        <v>75</v>
      </c>
      <c r="B26" t="s">
        <v>50</v>
      </c>
      <c r="C26" t="s">
        <v>52</v>
      </c>
      <c r="D26">
        <v>9.2951099999999993</v>
      </c>
      <c r="E26">
        <v>9.4989830000000008</v>
      </c>
      <c r="F26">
        <v>9.2273899999999998</v>
      </c>
      <c r="G26">
        <v>9.0806509999999996</v>
      </c>
      <c r="H26">
        <v>9.1333789999999997</v>
      </c>
      <c r="I26">
        <v>9.2622359999999997</v>
      </c>
      <c r="J26">
        <v>9.544397</v>
      </c>
      <c r="K26">
        <v>9.8000430000000005</v>
      </c>
      <c r="L26">
        <v>9.9027860000000008</v>
      </c>
      <c r="M26">
        <v>9.9270409999999991</v>
      </c>
      <c r="N26">
        <v>10.159549999999999</v>
      </c>
      <c r="O26">
        <v>10.460013999999999</v>
      </c>
      <c r="P26">
        <v>10.688608</v>
      </c>
      <c r="Q26">
        <v>10.848141</v>
      </c>
      <c r="R26">
        <v>11.076497</v>
      </c>
      <c r="S26">
        <v>11.599372000000001</v>
      </c>
      <c r="T26">
        <v>11.965214</v>
      </c>
      <c r="U26">
        <v>12.311107</v>
      </c>
      <c r="V26">
        <v>12.864932</v>
      </c>
      <c r="W26">
        <v>13.34263</v>
      </c>
      <c r="X26">
        <v>13.658906</v>
      </c>
      <c r="Y26">
        <v>13.906587999999999</v>
      </c>
      <c r="Z26">
        <v>14.147397</v>
      </c>
      <c r="AA26">
        <v>14.441183000000001</v>
      </c>
      <c r="AB26">
        <v>14.758152000000001</v>
      </c>
      <c r="AC26">
        <v>15.258903999999999</v>
      </c>
      <c r="AD26">
        <v>15.606608</v>
      </c>
      <c r="AE26" s="6">
        <v>0.679012728197945</v>
      </c>
    </row>
    <row r="27" spans="1:31" x14ac:dyDescent="0.25">
      <c r="A27" t="s">
        <v>75</v>
      </c>
      <c r="B27" t="s">
        <v>51</v>
      </c>
      <c r="C27" t="s">
        <v>52</v>
      </c>
      <c r="D27">
        <v>9.8519030000000001</v>
      </c>
      <c r="E27">
        <v>9.9430949999999996</v>
      </c>
      <c r="F27">
        <v>9.7179950000000002</v>
      </c>
      <c r="G27">
        <v>9.6457289999999993</v>
      </c>
      <c r="H27">
        <v>9.7584490000000006</v>
      </c>
      <c r="I27">
        <v>9.9308259999999997</v>
      </c>
      <c r="J27">
        <v>10.256921</v>
      </c>
      <c r="K27">
        <v>10.531924</v>
      </c>
      <c r="L27">
        <v>10.657983</v>
      </c>
      <c r="M27">
        <v>10.7072</v>
      </c>
      <c r="N27">
        <v>10.977830000000001</v>
      </c>
      <c r="O27">
        <v>11.29175</v>
      </c>
      <c r="P27">
        <v>11.506548</v>
      </c>
      <c r="Q27">
        <v>11.695456</v>
      </c>
      <c r="R27">
        <v>11.988500999999999</v>
      </c>
      <c r="S27">
        <v>12.590405000000001</v>
      </c>
      <c r="T27">
        <v>12.975113</v>
      </c>
      <c r="U27">
        <v>13.369490000000001</v>
      </c>
      <c r="V27">
        <v>13.980725</v>
      </c>
      <c r="W27">
        <v>14.500486</v>
      </c>
      <c r="X27">
        <v>14.864409</v>
      </c>
      <c r="Y27">
        <v>15.169041</v>
      </c>
      <c r="Z27">
        <v>15.469061</v>
      </c>
      <c r="AA27">
        <v>15.825905000000001</v>
      </c>
      <c r="AB27">
        <v>16.202739999999999</v>
      </c>
      <c r="AC27">
        <v>16.775057</v>
      </c>
      <c r="AD27">
        <v>17.179037000000001</v>
      </c>
      <c r="AE27" s="6">
        <v>0.74372778538318951</v>
      </c>
    </row>
    <row r="28" spans="1:31" x14ac:dyDescent="0.25">
      <c r="A28" t="s">
        <v>76</v>
      </c>
      <c r="B28" t="s">
        <v>53</v>
      </c>
      <c r="C28" t="s">
        <v>47</v>
      </c>
      <c r="D28">
        <v>5.7117469999999999</v>
      </c>
      <c r="E28">
        <v>5.5807390000000003</v>
      </c>
      <c r="F28">
        <v>5.1270730000000002</v>
      </c>
      <c r="G28">
        <v>4.8349080000000004</v>
      </c>
      <c r="H28">
        <v>4.6764229999999998</v>
      </c>
      <c r="I28">
        <v>4.5878050000000004</v>
      </c>
      <c r="J28">
        <v>4.6452340000000003</v>
      </c>
      <c r="K28">
        <v>4.6201059999999998</v>
      </c>
      <c r="L28">
        <v>4.4828340000000004</v>
      </c>
      <c r="M28">
        <v>4.2998529999999997</v>
      </c>
      <c r="N28">
        <v>4.3188440000000003</v>
      </c>
      <c r="O28">
        <v>4.3681720000000004</v>
      </c>
      <c r="P28">
        <v>4.3546240000000003</v>
      </c>
      <c r="Q28">
        <v>4.3020120000000004</v>
      </c>
      <c r="R28">
        <v>4.2754820000000002</v>
      </c>
      <c r="S28">
        <v>4.451416</v>
      </c>
      <c r="T28">
        <v>4.4981530000000003</v>
      </c>
      <c r="U28">
        <v>4.570608</v>
      </c>
      <c r="V28">
        <v>4.7795709999999998</v>
      </c>
      <c r="W28">
        <v>4.9154419999999996</v>
      </c>
      <c r="X28">
        <v>4.9345249999999998</v>
      </c>
      <c r="Y28">
        <v>4.9046310000000002</v>
      </c>
      <c r="Z28">
        <v>4.8615370000000002</v>
      </c>
      <c r="AA28">
        <v>4.8407439999999999</v>
      </c>
      <c r="AB28">
        <v>4.8250789999999997</v>
      </c>
      <c r="AC28">
        <v>4.917891</v>
      </c>
      <c r="AD28">
        <v>4.8971070000000001</v>
      </c>
      <c r="AE28" s="6" cm="1">
        <f t="array" ref="AE28:AE30">(AD28:AD30-D28:D30)/D28:D30</f>
        <v>-0.14262536488398381</v>
      </c>
    </row>
    <row r="29" spans="1:31" x14ac:dyDescent="0.25">
      <c r="A29" t="s">
        <v>76</v>
      </c>
      <c r="B29" t="s">
        <v>54</v>
      </c>
      <c r="C29" t="s">
        <v>47</v>
      </c>
      <c r="D29">
        <v>0.95898899999999998</v>
      </c>
      <c r="E29">
        <v>0.96881499999999998</v>
      </c>
      <c r="F29">
        <v>0.993421</v>
      </c>
      <c r="G29">
        <v>1.0211870000000001</v>
      </c>
      <c r="H29">
        <v>1.074087</v>
      </c>
      <c r="I29">
        <v>1.112204</v>
      </c>
      <c r="J29">
        <v>1.1323989999999999</v>
      </c>
      <c r="K29">
        <v>1.168231</v>
      </c>
      <c r="L29">
        <v>1.1811780000000001</v>
      </c>
      <c r="M29">
        <v>1.168134</v>
      </c>
      <c r="N29">
        <v>1.13483</v>
      </c>
      <c r="O29">
        <v>1.102322</v>
      </c>
      <c r="P29">
        <v>1.066406</v>
      </c>
      <c r="Q29">
        <v>1.0446249999999999</v>
      </c>
      <c r="R29">
        <v>1.057463</v>
      </c>
      <c r="S29">
        <v>1.0901240000000001</v>
      </c>
      <c r="T29">
        <v>1.0928640000000001</v>
      </c>
      <c r="U29">
        <v>1.0729359999999999</v>
      </c>
      <c r="V29">
        <v>1.057256</v>
      </c>
      <c r="W29">
        <v>1.037542</v>
      </c>
      <c r="X29">
        <v>1.0223930000000001</v>
      </c>
      <c r="Y29">
        <v>1.0085809999999999</v>
      </c>
      <c r="Z29">
        <v>0.99811099999999997</v>
      </c>
      <c r="AA29">
        <v>0.99293799999999999</v>
      </c>
      <c r="AB29">
        <v>0.98740600000000001</v>
      </c>
      <c r="AC29">
        <v>0.98160400000000003</v>
      </c>
      <c r="AD29">
        <v>0.979545</v>
      </c>
      <c r="AE29" s="6">
        <v>2.1435073812108397E-2</v>
      </c>
    </row>
    <row r="30" spans="1:31" x14ac:dyDescent="0.25">
      <c r="A30" t="s">
        <v>76</v>
      </c>
      <c r="B30" t="s">
        <v>55</v>
      </c>
      <c r="C30" t="s">
        <v>47</v>
      </c>
      <c r="D30">
        <v>3.181168</v>
      </c>
      <c r="E30">
        <v>3.1884640000000002</v>
      </c>
      <c r="F30">
        <v>3.2264569999999999</v>
      </c>
      <c r="G30">
        <v>3.2622840000000002</v>
      </c>
      <c r="H30">
        <v>3.2986819999999999</v>
      </c>
      <c r="I30">
        <v>3.334384</v>
      </c>
      <c r="J30">
        <v>3.3643540000000001</v>
      </c>
      <c r="K30">
        <v>3.3910149999999999</v>
      </c>
      <c r="L30">
        <v>3.4150360000000002</v>
      </c>
      <c r="M30">
        <v>3.4365839999999999</v>
      </c>
      <c r="N30">
        <v>3.45845</v>
      </c>
      <c r="O30">
        <v>3.4806029999999999</v>
      </c>
      <c r="P30">
        <v>3.4916109999999998</v>
      </c>
      <c r="Q30">
        <v>3.511552</v>
      </c>
      <c r="R30">
        <v>3.5552280000000001</v>
      </c>
      <c r="S30">
        <v>3.602624</v>
      </c>
      <c r="T30">
        <v>3.6418149999999998</v>
      </c>
      <c r="U30">
        <v>3.679271</v>
      </c>
      <c r="V30">
        <v>3.7177699999999998</v>
      </c>
      <c r="W30">
        <v>3.7586020000000002</v>
      </c>
      <c r="X30">
        <v>3.8001360000000002</v>
      </c>
      <c r="Y30">
        <v>3.8426469999999999</v>
      </c>
      <c r="Z30">
        <v>3.8879999999999999</v>
      </c>
      <c r="AA30">
        <v>3.9324499999999998</v>
      </c>
      <c r="AB30">
        <v>3.975527</v>
      </c>
      <c r="AC30">
        <v>4.0190780000000004</v>
      </c>
      <c r="AD30">
        <v>4.0616320000000004</v>
      </c>
      <c r="AE30" s="6">
        <v>0.27677381389477085</v>
      </c>
    </row>
    <row r="31" spans="1:31" x14ac:dyDescent="0.25">
      <c r="A31" t="s">
        <v>77</v>
      </c>
      <c r="B31" t="s">
        <v>53</v>
      </c>
      <c r="C31" t="s">
        <v>52</v>
      </c>
      <c r="D31">
        <v>5.7117469999999999</v>
      </c>
      <c r="E31">
        <v>5.6982670000000004</v>
      </c>
      <c r="F31">
        <v>5.3306009999999997</v>
      </c>
      <c r="G31">
        <v>5.1145290000000001</v>
      </c>
      <c r="H31">
        <v>5.0429510000000004</v>
      </c>
      <c r="I31">
        <v>5.0430279999999996</v>
      </c>
      <c r="J31">
        <v>5.211754</v>
      </c>
      <c r="K31">
        <v>5.3008759999999997</v>
      </c>
      <c r="L31">
        <v>5.2624420000000001</v>
      </c>
      <c r="M31">
        <v>5.1703089999999996</v>
      </c>
      <c r="N31">
        <v>5.3198920000000003</v>
      </c>
      <c r="O31">
        <v>5.5104199999999999</v>
      </c>
      <c r="P31">
        <v>5.6219799999999998</v>
      </c>
      <c r="Q31">
        <v>5.6799410000000004</v>
      </c>
      <c r="R31">
        <v>5.7668350000000004</v>
      </c>
      <c r="S31">
        <v>6.12906</v>
      </c>
      <c r="T31">
        <v>6.3213590000000002</v>
      </c>
      <c r="U31">
        <v>6.5545330000000002</v>
      </c>
      <c r="V31">
        <v>6.9936879999999997</v>
      </c>
      <c r="W31">
        <v>7.3393050000000004</v>
      </c>
      <c r="X31">
        <v>7.5175140000000003</v>
      </c>
      <c r="Y31">
        <v>7.6260380000000003</v>
      </c>
      <c r="Z31">
        <v>7.7150309999999998</v>
      </c>
      <c r="AA31">
        <v>7.8443690000000004</v>
      </c>
      <c r="AB31">
        <v>7.9872699999999996</v>
      </c>
      <c r="AC31">
        <v>8.3175170000000005</v>
      </c>
      <c r="AD31">
        <v>8.4650010000000009</v>
      </c>
      <c r="AE31" s="6" cm="1">
        <f t="array" ref="AE31:AE33">(AD31:AD33-D31:D33)/D31:D33</f>
        <v>0.48203360548007484</v>
      </c>
    </row>
    <row r="32" spans="1:31" x14ac:dyDescent="0.25">
      <c r="A32" t="s">
        <v>77</v>
      </c>
      <c r="B32" t="s">
        <v>54</v>
      </c>
      <c r="C32" t="s">
        <v>52</v>
      </c>
      <c r="D32">
        <v>0.95898899999999998</v>
      </c>
      <c r="E32">
        <v>0.98921800000000004</v>
      </c>
      <c r="F32">
        <v>1.0328569999999999</v>
      </c>
      <c r="G32">
        <v>1.080246</v>
      </c>
      <c r="H32">
        <v>1.158272</v>
      </c>
      <c r="I32">
        <v>1.2225619999999999</v>
      </c>
      <c r="J32">
        <v>1.2705040000000001</v>
      </c>
      <c r="K32">
        <v>1.3403689999999999</v>
      </c>
      <c r="L32">
        <v>1.3865959999999999</v>
      </c>
      <c r="M32">
        <v>1.4046099999999999</v>
      </c>
      <c r="N32">
        <v>1.397867</v>
      </c>
      <c r="O32">
        <v>1.3905719999999999</v>
      </c>
      <c r="P32">
        <v>1.37677</v>
      </c>
      <c r="Q32">
        <v>1.3792169999999999</v>
      </c>
      <c r="R32">
        <v>1.4263220000000001</v>
      </c>
      <c r="S32">
        <v>1.5009680000000001</v>
      </c>
      <c r="T32">
        <v>1.535828</v>
      </c>
      <c r="U32">
        <v>1.538656</v>
      </c>
      <c r="V32">
        <v>1.547026</v>
      </c>
      <c r="W32">
        <v>1.549167</v>
      </c>
      <c r="X32">
        <v>1.5575669999999999</v>
      </c>
      <c r="Y32">
        <v>1.568208</v>
      </c>
      <c r="Z32">
        <v>1.5839559999999999</v>
      </c>
      <c r="AA32">
        <v>1.6090450000000001</v>
      </c>
      <c r="AB32">
        <v>1.6345190000000001</v>
      </c>
      <c r="AC32">
        <v>1.6601649999999999</v>
      </c>
      <c r="AD32">
        <v>1.6932130000000001</v>
      </c>
      <c r="AE32" s="6">
        <v>0.76562296334994473</v>
      </c>
    </row>
    <row r="33" spans="1:31" x14ac:dyDescent="0.25">
      <c r="A33" t="s">
        <v>77</v>
      </c>
      <c r="B33" t="s">
        <v>55</v>
      </c>
      <c r="C33" t="s">
        <v>52</v>
      </c>
      <c r="D33">
        <v>3.181168</v>
      </c>
      <c r="E33">
        <v>3.2556120000000002</v>
      </c>
      <c r="F33">
        <v>3.3545370000000001</v>
      </c>
      <c r="G33">
        <v>3.4509539999999999</v>
      </c>
      <c r="H33">
        <v>3.557226</v>
      </c>
      <c r="I33">
        <v>3.6652369999999999</v>
      </c>
      <c r="J33">
        <v>3.7746620000000002</v>
      </c>
      <c r="K33">
        <v>3.890679</v>
      </c>
      <c r="L33">
        <v>4.0089439999999996</v>
      </c>
      <c r="M33">
        <v>4.1322799999999997</v>
      </c>
      <c r="N33">
        <v>4.2600699999999998</v>
      </c>
      <c r="O33">
        <v>4.3907579999999999</v>
      </c>
      <c r="P33">
        <v>4.5077980000000002</v>
      </c>
      <c r="Q33">
        <v>4.636298</v>
      </c>
      <c r="R33">
        <v>4.7953440000000001</v>
      </c>
      <c r="S33">
        <v>4.9603770000000003</v>
      </c>
      <c r="T33">
        <v>5.1179269999999999</v>
      </c>
      <c r="U33">
        <v>5.2763010000000001</v>
      </c>
      <c r="V33">
        <v>5.4400120000000003</v>
      </c>
      <c r="W33">
        <v>5.6120130000000001</v>
      </c>
      <c r="X33">
        <v>5.7893270000000001</v>
      </c>
      <c r="Y33">
        <v>5.9747960000000004</v>
      </c>
      <c r="Z33">
        <v>6.1700739999999996</v>
      </c>
      <c r="AA33">
        <v>6.3724889999999998</v>
      </c>
      <c r="AB33">
        <v>6.5809499999999996</v>
      </c>
      <c r="AC33">
        <v>6.7973739999999996</v>
      </c>
      <c r="AD33">
        <v>7.0208219999999999</v>
      </c>
      <c r="AE33" s="6">
        <v>1.2069950408151975</v>
      </c>
    </row>
    <row r="34" spans="1:31" x14ac:dyDescent="0.25">
      <c r="A34" t="s">
        <v>56</v>
      </c>
      <c r="B34" t="s">
        <v>57</v>
      </c>
      <c r="C34" t="s">
        <v>58</v>
      </c>
      <c r="D34">
        <v>12.485359000000001</v>
      </c>
      <c r="E34">
        <v>11.582644</v>
      </c>
      <c r="F34">
        <v>10.371327000000001</v>
      </c>
      <c r="G34">
        <v>8.9483460000000008</v>
      </c>
      <c r="H34">
        <v>8.5102089999999997</v>
      </c>
      <c r="I34">
        <v>8.4146780000000003</v>
      </c>
      <c r="J34">
        <v>5.5715659999999998</v>
      </c>
      <c r="K34">
        <v>3.6810429999999998</v>
      </c>
      <c r="L34">
        <v>2.6463489999999998</v>
      </c>
      <c r="M34">
        <v>2.627758</v>
      </c>
      <c r="N34">
        <v>2.7168559999999999</v>
      </c>
      <c r="O34">
        <v>3.0470929999999998</v>
      </c>
      <c r="P34">
        <v>3.5572149999999998</v>
      </c>
      <c r="Q34">
        <v>3.6151239999999998</v>
      </c>
      <c r="R34">
        <v>2.9052150000000001</v>
      </c>
      <c r="S34">
        <v>2.6631529999999999</v>
      </c>
      <c r="T34">
        <v>2.8025479999999998</v>
      </c>
      <c r="U34">
        <v>2.731236</v>
      </c>
      <c r="V34">
        <v>3.0397129999999999</v>
      </c>
      <c r="W34">
        <v>3.2343890000000002</v>
      </c>
      <c r="X34">
        <v>3.6026379999999998</v>
      </c>
      <c r="Y34">
        <v>3.7471890000000001</v>
      </c>
      <c r="Z34">
        <v>3.84483</v>
      </c>
      <c r="AA34">
        <v>3.8932099999999998</v>
      </c>
      <c r="AB34">
        <v>3.8633150000000001</v>
      </c>
      <c r="AC34">
        <v>3.9826169999999999</v>
      </c>
      <c r="AD34">
        <v>4.02318</v>
      </c>
      <c r="AE34" s="6" cm="1">
        <f t="array" ref="AE34:AE38">(AD34:AD38-D34:D38)/D34:D38</f>
        <v>-0.67776817630954789</v>
      </c>
    </row>
    <row r="35" spans="1:31" x14ac:dyDescent="0.25">
      <c r="A35" t="s">
        <v>56</v>
      </c>
      <c r="B35" t="s">
        <v>59</v>
      </c>
      <c r="C35" t="s">
        <v>58</v>
      </c>
      <c r="D35">
        <v>45.779632999999997</v>
      </c>
      <c r="E35">
        <v>42.469665999999997</v>
      </c>
      <c r="F35">
        <v>38.028202</v>
      </c>
      <c r="G35">
        <v>32.810585000000003</v>
      </c>
      <c r="H35">
        <v>31.204117</v>
      </c>
      <c r="I35">
        <v>30.853788000000002</v>
      </c>
      <c r="J35">
        <v>20.429076999999999</v>
      </c>
      <c r="K35">
        <v>13.497161999999999</v>
      </c>
      <c r="L35">
        <v>9.7032760000000007</v>
      </c>
      <c r="M35">
        <v>9.6351089999999999</v>
      </c>
      <c r="N35">
        <v>9.9618110000000009</v>
      </c>
      <c r="O35">
        <v>11.172673</v>
      </c>
      <c r="P35">
        <v>13.043120999999999</v>
      </c>
      <c r="Q35">
        <v>13.255459999999999</v>
      </c>
      <c r="R35">
        <v>10.652461000000001</v>
      </c>
      <c r="S35">
        <v>9.7648910000000004</v>
      </c>
      <c r="T35">
        <v>10.276011</v>
      </c>
      <c r="U35">
        <v>10.014537000000001</v>
      </c>
      <c r="V35">
        <v>11.145612</v>
      </c>
      <c r="W35">
        <v>11.859425999999999</v>
      </c>
      <c r="X35">
        <v>13.209674</v>
      </c>
      <c r="Y35">
        <v>13.739696</v>
      </c>
      <c r="Z35">
        <v>14.097708000000001</v>
      </c>
      <c r="AA35">
        <v>14.275100999999999</v>
      </c>
      <c r="AB35">
        <v>14.165490999999999</v>
      </c>
      <c r="AC35">
        <v>14.602931999999999</v>
      </c>
      <c r="AD35">
        <v>14.751656000000001</v>
      </c>
      <c r="AE35" s="6">
        <v>-0.67776814637199034</v>
      </c>
    </row>
    <row r="36" spans="1:31" x14ac:dyDescent="0.25">
      <c r="A36" t="s">
        <v>56</v>
      </c>
      <c r="B36" t="s">
        <v>60</v>
      </c>
      <c r="C36" t="s">
        <v>58</v>
      </c>
      <c r="D36">
        <v>1.1065E-2</v>
      </c>
      <c r="E36">
        <v>9.6340000000000002E-3</v>
      </c>
      <c r="F36">
        <v>8.1130000000000004E-3</v>
      </c>
      <c r="G36">
        <v>8.1989999999999997E-3</v>
      </c>
      <c r="H36">
        <v>4.0860000000000002E-3</v>
      </c>
      <c r="I36">
        <v>5.0099999999999997E-3</v>
      </c>
      <c r="J36">
        <v>8.1049999999999994E-3</v>
      </c>
      <c r="K36">
        <v>5.2009999999999999E-3</v>
      </c>
      <c r="L36">
        <v>5.13E-4</v>
      </c>
      <c r="M36">
        <v>5.2800000000000004E-4</v>
      </c>
      <c r="N36">
        <v>5.6400000000000005E-4</v>
      </c>
      <c r="O36">
        <v>7.2000000000000005E-4</v>
      </c>
      <c r="P36">
        <v>9.3400000000000004E-4</v>
      </c>
      <c r="Q36">
        <v>1.748E-3</v>
      </c>
      <c r="R36">
        <v>1.6789999999999999E-3</v>
      </c>
      <c r="S36">
        <v>2.2100000000000001E-4</v>
      </c>
      <c r="T36">
        <v>2.9799999999999998E-4</v>
      </c>
      <c r="U36">
        <v>3.0800000000000001E-4</v>
      </c>
      <c r="V36">
        <v>3.3E-4</v>
      </c>
      <c r="W36">
        <v>3.4400000000000001E-4</v>
      </c>
      <c r="X36">
        <v>3.5199999999999999E-4</v>
      </c>
      <c r="Y36">
        <v>3.6000000000000002E-4</v>
      </c>
      <c r="Z36">
        <v>3.6699999999999998E-4</v>
      </c>
      <c r="AA36">
        <v>3.7199999999999999E-4</v>
      </c>
      <c r="AB36">
        <v>3.7800000000000003E-4</v>
      </c>
      <c r="AC36">
        <v>3.79E-4</v>
      </c>
      <c r="AD36">
        <v>3.8099999999999999E-4</v>
      </c>
      <c r="AE36" s="6">
        <v>-0.96556710347943975</v>
      </c>
    </row>
    <row r="37" spans="1:31" x14ac:dyDescent="0.25">
      <c r="A37" t="s">
        <v>56</v>
      </c>
      <c r="B37" t="s">
        <v>61</v>
      </c>
      <c r="C37" t="s">
        <v>58</v>
      </c>
      <c r="D37">
        <v>4.5631999999999999E-2</v>
      </c>
      <c r="E37">
        <v>4.2199E-2</v>
      </c>
      <c r="F37">
        <v>3.7034999999999998E-2</v>
      </c>
      <c r="G37">
        <v>3.1475999999999997E-2</v>
      </c>
      <c r="H37">
        <v>2.5714999999999998E-2</v>
      </c>
      <c r="I37">
        <v>2.5041000000000001E-2</v>
      </c>
      <c r="J37">
        <v>2.0302000000000001E-2</v>
      </c>
      <c r="K37">
        <v>1.1769999999999999E-2</v>
      </c>
      <c r="L37">
        <v>8.0140000000000003E-3</v>
      </c>
      <c r="M37">
        <v>7.698E-3</v>
      </c>
      <c r="N37">
        <v>7.8729999999999998E-3</v>
      </c>
      <c r="O37">
        <v>8.8929999999999999E-3</v>
      </c>
      <c r="P37">
        <v>1.0935E-2</v>
      </c>
      <c r="Q37">
        <v>1.1852E-2</v>
      </c>
      <c r="R37">
        <v>8.6169999999999997E-3</v>
      </c>
      <c r="S37">
        <v>3.725E-3</v>
      </c>
      <c r="T37">
        <v>3.8899999999999998E-3</v>
      </c>
      <c r="U37">
        <v>3.7299999999999998E-3</v>
      </c>
      <c r="V37">
        <v>3.9090000000000001E-3</v>
      </c>
      <c r="W37">
        <v>4.1079999999999997E-3</v>
      </c>
      <c r="X37">
        <v>4.5110000000000003E-3</v>
      </c>
      <c r="Y37">
        <v>4.6829999999999997E-3</v>
      </c>
      <c r="Z37">
        <v>4.8589999999999996E-3</v>
      </c>
      <c r="AA37">
        <v>4.9709999999999997E-3</v>
      </c>
      <c r="AB37">
        <v>4.764E-3</v>
      </c>
      <c r="AC37">
        <v>4.8139999999999997E-3</v>
      </c>
      <c r="AD37">
        <v>4.9109999999999996E-3</v>
      </c>
      <c r="AE37" s="6">
        <v>-0.89237815568022438</v>
      </c>
    </row>
    <row r="38" spans="1:31" x14ac:dyDescent="0.25">
      <c r="A38" t="s">
        <v>56</v>
      </c>
      <c r="B38" t="s">
        <v>62</v>
      </c>
      <c r="C38" t="s">
        <v>63</v>
      </c>
      <c r="D38">
        <v>0.101914</v>
      </c>
      <c r="E38">
        <v>0.10122200000000001</v>
      </c>
      <c r="F38">
        <v>7.6685000000000003E-2</v>
      </c>
      <c r="G38">
        <v>6.1421999999999997E-2</v>
      </c>
      <c r="H38">
        <v>6.3433000000000003E-2</v>
      </c>
      <c r="I38">
        <v>6.1180999999999999E-2</v>
      </c>
      <c r="J38">
        <v>2.5211999999999998E-2</v>
      </c>
      <c r="K38">
        <v>1.2858E-2</v>
      </c>
      <c r="L38">
        <v>3.803E-3</v>
      </c>
      <c r="M38">
        <v>3.6809999999999998E-3</v>
      </c>
      <c r="N38">
        <v>3.8999999999999998E-3</v>
      </c>
      <c r="O38">
        <v>5.0530000000000002E-3</v>
      </c>
      <c r="P38">
        <v>5.6230000000000004E-3</v>
      </c>
      <c r="Q38">
        <v>7.0949999999999997E-3</v>
      </c>
      <c r="R38">
        <v>4.8129999999999996E-3</v>
      </c>
      <c r="S38">
        <v>3.0000000000000001E-6</v>
      </c>
      <c r="T38">
        <v>1.2999999999999999E-5</v>
      </c>
      <c r="U38">
        <v>3.9999999999999998E-6</v>
      </c>
      <c r="V38">
        <v>3.0000000000000001E-6</v>
      </c>
      <c r="W38">
        <v>3.9999999999999998E-6</v>
      </c>
      <c r="X38">
        <v>5.0000000000000004E-6</v>
      </c>
      <c r="Y38">
        <v>3.9999999999999998E-6</v>
      </c>
      <c r="Z38">
        <v>6.9999999999999999E-6</v>
      </c>
      <c r="AA38">
        <v>3.9999999999999998E-6</v>
      </c>
      <c r="AB38">
        <v>5.0000000000000004E-6</v>
      </c>
      <c r="AC38">
        <v>5.0000000000000004E-6</v>
      </c>
      <c r="AD38">
        <v>5.0000000000000004E-6</v>
      </c>
      <c r="AE38" s="6">
        <v>-0.9999509390270227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138.31516190230738</v>
      </c>
      <c r="E39" s="4" cm="1">
        <f t="array" ref="E39:E42">907185*E34:E37*10^6/(E17*10^9)</f>
        <v>133.18779758158885</v>
      </c>
      <c r="F39" s="4" cm="1">
        <f t="array" ref="F39:F42">907185*F34:F37*10^6/(F17*10^9)</f>
        <v>118.73550161617226</v>
      </c>
      <c r="G39" s="4" cm="1">
        <f t="array" ref="G39:G42">907185*G34:G37*10^6/(G17*10^9)</f>
        <v>99.076966513330049</v>
      </c>
      <c r="H39" s="4" cm="1">
        <f t="array" ref="H39:H42">907185*H34:H37*10^6/(H17*10^9)</f>
        <v>85.736579531474746</v>
      </c>
      <c r="I39" s="4" cm="1">
        <f t="array" ref="I39:I42">907185*I34:I37*10^6/(I17*10^9)</f>
        <v>82.488704171403256</v>
      </c>
      <c r="J39" s="4" cm="1">
        <f t="array" ref="J39:J42">907185*J34:J37*10^6/(J17*10^9)</f>
        <v>53.508759931339455</v>
      </c>
      <c r="K39" s="4" cm="1">
        <f t="array" ref="K39:K42">907185*K34:K37*10^6/(K17*10^9)</f>
        <v>34.82385804127351</v>
      </c>
      <c r="L39" s="4" cm="1">
        <f t="array" ref="L39:L42">907185*L34:L37*10^6/(L17*10^9)</f>
        <v>23.456870173826495</v>
      </c>
      <c r="M39" s="4" cm="1">
        <f t="array" ref="M39:M42">907185*M34:M37*10^6/(M17*10^9)</f>
        <v>22.736925078220864</v>
      </c>
      <c r="N39" s="4" cm="1">
        <f t="array" ref="N39:N42">907185*N34:N37*10^6/(N17*10^9)</f>
        <v>23.144042884179502</v>
      </c>
      <c r="O39" s="4" cm="1">
        <f t="array" ref="O39:O42">907185*O34:O37*10^6/(O17*10^9)</f>
        <v>25.384753175329021</v>
      </c>
      <c r="P39" s="4" cm="1">
        <f t="array" ref="P39:P42">907185*P34:P37*10^6/(P17*10^9)</f>
        <v>28.228966496790282</v>
      </c>
      <c r="Q39" s="4" cm="1">
        <f t="array" ref="Q39:Q42">907185*Q34:Q37*10^6/(Q17*10^9)</f>
        <v>28.006809672504268</v>
      </c>
      <c r="R39" s="4" cm="1">
        <f t="array" ref="R39:R42">907185*R34:R37*10^6/(R17*10^9)</f>
        <v>21.925813032509396</v>
      </c>
      <c r="S39" s="4" cm="1">
        <f t="array" ref="S39:S42">907185*S34:S37*10^6/(S17*10^9)</f>
        <v>19.58214559610396</v>
      </c>
      <c r="T39" s="4" cm="1">
        <f t="array" ref="T39:T42">907185*T34:T37*10^6/(T17*10^9)</f>
        <v>20.275446587406574</v>
      </c>
      <c r="U39" s="4" cm="1">
        <f t="array" ref="U39:U42">907185*U34:U37*10^6/(U17*10^9)</f>
        <v>19.411244068814746</v>
      </c>
      <c r="V39" s="4" cm="1">
        <f t="array" ref="V39:V42">907185*V34:V37*10^6/(V17*10^9)</f>
        <v>21.476514522983962</v>
      </c>
      <c r="W39" s="4" cm="1">
        <f t="array" ref="W39:W42">907185*W34:W37*10^6/(W17*10^9)</f>
        <v>22.754873965203714</v>
      </c>
      <c r="X39" s="4" cm="1">
        <f t="array" ref="X39:X42">907185*X34:X37*10^6/(X17*10^9)</f>
        <v>24.965677047518753</v>
      </c>
      <c r="Y39" s="4" cm="1">
        <f t="array" ref="Y39:Y42">907185*Y34:Y37*10^6/(Y17*10^9)</f>
        <v>25.451657920341404</v>
      </c>
      <c r="Z39" s="4" cm="1">
        <f t="array" ref="Z39:Z42">907185*Z34:Z37*10^6/(Z17*10^9)</f>
        <v>25.767464572906512</v>
      </c>
      <c r="AA39" s="4" cm="1">
        <f t="array" ref="AA39:AA42">907185*AA34:AA37*10^6/(AA17*10^9)</f>
        <v>25.548803853943458</v>
      </c>
      <c r="AB39" s="4" cm="1">
        <f t="array" ref="AB39:AB42">907185*AB34:AB37*10^6/(AB17*10^9)</f>
        <v>25.719571817413794</v>
      </c>
      <c r="AC39" s="4" cm="1">
        <f t="array" ref="AC39:AC42">907185*AC34:AC37*10^6/(AC17*10^9)</f>
        <v>26.071762642929436</v>
      </c>
      <c r="AD39" s="4" cm="1">
        <f t="array" ref="AD39:AD42">907185*AD34:AD37*10^6/(AD17*10^9)</f>
        <v>25.911325737307383</v>
      </c>
      <c r="AE39" s="6" cm="1">
        <f t="array" ref="AE39:AE43">(AD39:AD43-D39:D43)/D39:D43</f>
        <v>-0.81266460320808021</v>
      </c>
    </row>
    <row r="40" spans="1:31" x14ac:dyDescent="0.25">
      <c r="A40" t="s">
        <v>64</v>
      </c>
      <c r="B40" t="s">
        <v>66</v>
      </c>
      <c r="C40" t="s">
        <v>70</v>
      </c>
      <c r="D40" s="4">
        <v>507.15540900531681</v>
      </c>
      <c r="E40" s="4">
        <v>488.35492816369793</v>
      </c>
      <c r="F40" s="4">
        <v>435.36354027128095</v>
      </c>
      <c r="G40" s="4">
        <v>363.28202232320587</v>
      </c>
      <c r="H40" s="4">
        <v>314.36763290771626</v>
      </c>
      <c r="I40" s="4">
        <v>302.45827480257617</v>
      </c>
      <c r="J40" s="4">
        <v>196.19880242141051</v>
      </c>
      <c r="K40" s="4">
        <v>127.68752047940524</v>
      </c>
      <c r="L40" s="4">
        <v>86.008491469872808</v>
      </c>
      <c r="M40" s="4">
        <v>83.368693560629083</v>
      </c>
      <c r="N40" s="4">
        <v>84.861538847878279</v>
      </c>
      <c r="O40" s="4">
        <v>93.077417201792912</v>
      </c>
      <c r="P40" s="4">
        <v>103.50620519776895</v>
      </c>
      <c r="Q40" s="4">
        <v>102.69167678383741</v>
      </c>
      <c r="R40" s="4">
        <v>80.394693068188786</v>
      </c>
      <c r="S40" s="4">
        <v>71.801176009070915</v>
      </c>
      <c r="T40" s="4">
        <v>74.343316211569757</v>
      </c>
      <c r="U40" s="4">
        <v>71.174597121294468</v>
      </c>
      <c r="V40" s="4">
        <v>78.747203431884643</v>
      </c>
      <c r="W40" s="4">
        <v>83.434535527315987</v>
      </c>
      <c r="X40" s="4">
        <v>91.540825080678445</v>
      </c>
      <c r="Y40" s="4">
        <v>93.322766084519117</v>
      </c>
      <c r="Z40" s="4">
        <v>94.48069003029542</v>
      </c>
      <c r="AA40" s="4">
        <v>93.678932152191138</v>
      </c>
      <c r="AB40" s="4">
        <v>94.305114416874815</v>
      </c>
      <c r="AC40" s="4">
        <v>95.596482663243478</v>
      </c>
      <c r="AD40" s="4">
        <v>95.008168608092348</v>
      </c>
      <c r="AE40" s="6">
        <v>-0.81266458580333045</v>
      </c>
    </row>
    <row r="41" spans="1:31" x14ac:dyDescent="0.25">
      <c r="A41" t="s">
        <v>64</v>
      </c>
      <c r="B41" t="s">
        <v>67</v>
      </c>
      <c r="C41" t="s">
        <v>70</v>
      </c>
      <c r="D41" s="4">
        <v>0.12258015700221604</v>
      </c>
      <c r="E41" s="4">
        <v>0.11078051280010222</v>
      </c>
      <c r="F41" s="4">
        <v>9.2881183344426937E-2</v>
      </c>
      <c r="G41" s="4">
        <v>9.0780133942383656E-2</v>
      </c>
      <c r="H41" s="4">
        <v>4.1164636963158703E-2</v>
      </c>
      <c r="I41" s="4">
        <v>4.9112801214583647E-2</v>
      </c>
      <c r="J41" s="4">
        <v>7.7839605461643327E-2</v>
      </c>
      <c r="K41" s="4">
        <v>4.9203143150640602E-2</v>
      </c>
      <c r="L41" s="4">
        <v>4.5471607861143756E-3</v>
      </c>
      <c r="M41" s="4">
        <v>4.5685700286330084E-3</v>
      </c>
      <c r="N41" s="4">
        <v>4.8045388444132647E-3</v>
      </c>
      <c r="O41" s="4">
        <v>5.9981832803386375E-3</v>
      </c>
      <c r="P41" s="4">
        <v>7.4119373464921643E-3</v>
      </c>
      <c r="Q41" s="4">
        <v>1.3541970706271059E-2</v>
      </c>
      <c r="R41" s="4">
        <v>1.2671502825637096E-2</v>
      </c>
      <c r="S41" s="4">
        <v>1.6250114720179336E-3</v>
      </c>
      <c r="T41" s="4">
        <v>2.1559249236934239E-3</v>
      </c>
      <c r="U41" s="4">
        <v>2.188995448652164E-3</v>
      </c>
      <c r="V41" s="4">
        <v>2.3315522855561393E-3</v>
      </c>
      <c r="W41" s="4">
        <v>2.4201407573517216E-3</v>
      </c>
      <c r="X41" s="4">
        <v>2.4393009568895352E-3</v>
      </c>
      <c r="Y41" s="4">
        <v>2.4451920763331947E-3</v>
      </c>
      <c r="Z41" s="4">
        <v>2.4595780563137224E-3</v>
      </c>
      <c r="AA41" s="4">
        <v>2.4412130436495764E-3</v>
      </c>
      <c r="AB41" s="4">
        <v>2.5164911861917587E-3</v>
      </c>
      <c r="AC41" s="4">
        <v>2.481081671089702E-3</v>
      </c>
      <c r="AD41" s="4">
        <v>2.453833809552173E-3</v>
      </c>
      <c r="AE41" s="6">
        <v>-0.97998180236049282</v>
      </c>
    </row>
    <row r="42" spans="1:31" x14ac:dyDescent="0.25">
      <c r="A42" t="s">
        <v>64</v>
      </c>
      <c r="B42" t="s">
        <v>68</v>
      </c>
      <c r="C42" t="s">
        <v>70</v>
      </c>
      <c r="D42" s="4">
        <v>0.50551990278582215</v>
      </c>
      <c r="E42" s="4">
        <v>0.48524256380024011</v>
      </c>
      <c r="F42" s="4">
        <v>0.42399292803658956</v>
      </c>
      <c r="G42" s="4">
        <v>0.3485053660166445</v>
      </c>
      <c r="H42" s="4">
        <v>0.25906721475957556</v>
      </c>
      <c r="I42" s="4">
        <v>0.24547577948391</v>
      </c>
      <c r="J42" s="4">
        <v>0.19497836768442725</v>
      </c>
      <c r="K42" s="4">
        <v>0.11134800901423569</v>
      </c>
      <c r="L42" s="4">
        <v>7.1034983508617158E-2</v>
      </c>
      <c r="M42" s="4">
        <v>6.6607674394728977E-2</v>
      </c>
      <c r="N42" s="4">
        <v>6.7067614046215654E-2</v>
      </c>
      <c r="O42" s="4">
        <v>7.4085894322293733E-2</v>
      </c>
      <c r="P42" s="4">
        <v>8.6776803944209654E-2</v>
      </c>
      <c r="Q42" s="4">
        <v>9.1818899777302385E-2</v>
      </c>
      <c r="R42" s="4">
        <v>6.5032960005071389E-2</v>
      </c>
      <c r="S42" s="4">
        <v>2.7389899245551144E-2</v>
      </c>
      <c r="T42" s="4">
        <v>2.8142778366333623E-2</v>
      </c>
      <c r="U42" s="4">
        <v>2.6509587738547311E-2</v>
      </c>
      <c r="V42" s="4">
        <v>2.7618296618905903E-2</v>
      </c>
      <c r="W42" s="4">
        <v>2.890098323023509E-2</v>
      </c>
      <c r="X42" s="4">
        <v>3.1260473342411062E-2</v>
      </c>
      <c r="Y42" s="4">
        <v>3.1807873592967634E-2</v>
      </c>
      <c r="Z42" s="4">
        <v>3.2564277317788493E-2</v>
      </c>
      <c r="AA42" s="4">
        <v>3.2621693655865702E-2</v>
      </c>
      <c r="AB42" s="4">
        <v>3.1715777806924701E-2</v>
      </c>
      <c r="AC42" s="4">
        <v>3.1514319695582653E-2</v>
      </c>
      <c r="AD42" s="4">
        <v>3.1629338159345731E-2</v>
      </c>
      <c r="AE42" s="6">
        <v>-0.93743206155674075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1.1290225142994891E-6</v>
      </c>
      <c r="E43" s="5">
        <f>907185*E38/(E17*10^9)</f>
        <v>1.1639428136445865E-6</v>
      </c>
      <c r="F43" s="5">
        <f>907185*F38/(F17*10^9)</f>
        <v>8.7792352332890171E-7</v>
      </c>
      <c r="G43" s="5">
        <f>907185*G38/(G17*10^9)</f>
        <v>6.8007042163789354E-7</v>
      </c>
      <c r="H43" s="5">
        <f>907185*H38/(H17*10^9)</f>
        <v>6.3905932855703513E-7</v>
      </c>
      <c r="I43" s="5">
        <f>907185*I38/(I17*10^9)</f>
        <v>5.9975454912364113E-7</v>
      </c>
      <c r="J43" s="5">
        <f>907185*J38/(J17*10^9)</f>
        <v>2.4213351423799524E-7</v>
      </c>
      <c r="K43" s="5">
        <f>907185*K38/(K17*10^9)</f>
        <v>1.2164084111342759E-7</v>
      </c>
      <c r="L43" s="5">
        <f>907185*L38/(L17*10^9)</f>
        <v>3.3709264073280644E-8</v>
      </c>
      <c r="M43" s="5">
        <f>907185*M38/(M17*10^9)</f>
        <v>3.1850201279163073E-8</v>
      </c>
      <c r="N43" s="5">
        <f>907185*N38/(N17*10^9)</f>
        <v>3.3222874987964055E-8</v>
      </c>
      <c r="O43" s="5">
        <f>907185*O38/(O17*10^9)</f>
        <v>4.2095583493821007E-8</v>
      </c>
      <c r="P43" s="5">
        <f>907185*P38/(P17*10^9)</f>
        <v>4.4622402247671782E-8</v>
      </c>
      <c r="Q43" s="5">
        <f>907185*Q38/(Q17*10^9)</f>
        <v>5.4965836476540714E-8</v>
      </c>
      <c r="R43" s="5">
        <f>907185*R38/(R17*10^9)</f>
        <v>3.6323968493026411E-8</v>
      </c>
      <c r="S43" s="5">
        <f>907185*S38/(S17*10^9)</f>
        <v>2.2058979258161994E-11</v>
      </c>
      <c r="T43" s="5">
        <f>907185*T38/(T17*10^9)</f>
        <v>9.4050416134276896E-11</v>
      </c>
      <c r="U43" s="5">
        <f>907185*U38/(U17*10^9)</f>
        <v>2.8428512320157971E-11</v>
      </c>
      <c r="V43" s="5">
        <f>907185*V38/(V17*10^9)</f>
        <v>2.1195929868692175E-11</v>
      </c>
      <c r="W43" s="5">
        <f>907185*W38/(W17*10^9)</f>
        <v>2.8141171597113037E-11</v>
      </c>
      <c r="X43" s="5">
        <f>907185*X38/(X17*10^9)</f>
        <v>3.4649161319453629E-11</v>
      </c>
      <c r="Y43" s="5">
        <f>907185*Y38/(Y17*10^9)</f>
        <v>2.7168800848146598E-11</v>
      </c>
      <c r="Z43" s="5">
        <f>907185*Z38/(Z17*10^9)</f>
        <v>4.6912932954212686E-11</v>
      </c>
      <c r="AA43" s="5">
        <f>907185*AA38/(AA17*10^9)</f>
        <v>2.6249602619887913E-11</v>
      </c>
      <c r="AB43" s="5">
        <f>907185*AB38/(AB17*10^9)</f>
        <v>3.3286920452271942E-11</v>
      </c>
      <c r="AC43" s="5">
        <f>907185*AC38/(AC17*10^9)</f>
        <v>3.2731948167410324E-11</v>
      </c>
      <c r="AD43" s="5">
        <f>907185*AD38/(AD17*10^9)</f>
        <v>3.2202543432443229E-11</v>
      </c>
      <c r="AE43" s="6">
        <v>-0.99997147750109083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43"/>
  <sheetViews>
    <sheetView tabSelected="1" zoomScale="55" zoomScaleNormal="55" workbookViewId="0">
      <selection activeCell="B16" sqref="B16:B17"/>
    </sheetView>
  </sheetViews>
  <sheetFormatPr defaultRowHeight="15" x14ac:dyDescent="0.25"/>
  <cols>
    <col min="1" max="1" width="46.7109375" bestFit="1" customWidth="1"/>
    <col min="2" max="2" width="44.7109375" bestFit="1" customWidth="1"/>
    <col min="3" max="3" width="15.28515625" bestFit="1" customWidth="1"/>
    <col min="4" max="30" width="12" bestFit="1" customWidth="1"/>
    <col min="31" max="31" width="18.85546875" bestFit="1" customWidth="1"/>
  </cols>
  <sheetData>
    <row r="1" spans="1:31" s="2" customFormat="1" ht="15.75" thickBot="1" x14ac:dyDescent="0.3">
      <c r="A1" s="7" t="s">
        <v>72</v>
      </c>
      <c r="B1" s="1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71</v>
      </c>
    </row>
    <row r="2" spans="1:31" ht="15.75" thickTop="1" x14ac:dyDescent="0.25">
      <c r="A2" t="s">
        <v>28</v>
      </c>
      <c r="B2" t="s">
        <v>29</v>
      </c>
      <c r="C2" t="s">
        <v>30</v>
      </c>
      <c r="D2">
        <v>16.538094999999998</v>
      </c>
      <c r="E2">
        <v>18.342302</v>
      </c>
      <c r="F2">
        <v>4.7953270000000003</v>
      </c>
      <c r="G2">
        <v>5.3927519999999998</v>
      </c>
      <c r="H2">
        <v>6.8390360000000001</v>
      </c>
      <c r="I2">
        <v>8.5419110000000007</v>
      </c>
      <c r="J2">
        <v>5.9577669999999996</v>
      </c>
      <c r="K2">
        <v>2.696256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6" cm="1">
        <f t="array" ref="AE2:AE17">(AD2:AD17-D2:D17)/D2:D17</f>
        <v>-1</v>
      </c>
    </row>
    <row r="3" spans="1:31" x14ac:dyDescent="0.25">
      <c r="A3" t="s">
        <v>28</v>
      </c>
      <c r="B3" t="s">
        <v>31</v>
      </c>
      <c r="C3" t="s">
        <v>30</v>
      </c>
      <c r="D3">
        <v>7.2517999999999999E-2</v>
      </c>
      <c r="E3">
        <v>7.9946000000000003E-2</v>
      </c>
      <c r="F3">
        <v>2.2575000000000001E-2</v>
      </c>
      <c r="G3">
        <v>2.4893999999999999E-2</v>
      </c>
      <c r="H3">
        <v>3.0602000000000001E-2</v>
      </c>
      <c r="I3">
        <v>3.7199000000000003E-2</v>
      </c>
      <c r="J3">
        <v>2.6821000000000001E-2</v>
      </c>
      <c r="K3">
        <v>1.3964000000000001E-2</v>
      </c>
      <c r="L3">
        <v>3.1359999999999999E-3</v>
      </c>
      <c r="M3">
        <v>3.1359999999999999E-3</v>
      </c>
      <c r="N3">
        <v>3.1359999999999999E-3</v>
      </c>
      <c r="O3">
        <v>3.0839999999999999E-3</v>
      </c>
      <c r="P3">
        <v>2.895E-3</v>
      </c>
      <c r="Q3">
        <v>2.0149999999999999E-3</v>
      </c>
      <c r="R3">
        <v>1.175E-3</v>
      </c>
      <c r="S3">
        <v>1.108E-3</v>
      </c>
      <c r="T3">
        <v>6.0499999999999996E-4</v>
      </c>
      <c r="U3">
        <v>6.0499999999999996E-4</v>
      </c>
      <c r="V3">
        <v>6.0499999999999996E-4</v>
      </c>
      <c r="W3">
        <v>6.0499999999999996E-4</v>
      </c>
      <c r="X3">
        <v>6.0499999999999996E-4</v>
      </c>
      <c r="Y3">
        <v>4.9600000000000002E-4</v>
      </c>
      <c r="Z3">
        <v>6.0499999999999996E-4</v>
      </c>
      <c r="AA3">
        <v>0</v>
      </c>
      <c r="AB3">
        <v>0</v>
      </c>
      <c r="AC3">
        <v>1.06E-4</v>
      </c>
      <c r="AD3">
        <v>6.0499999999999996E-4</v>
      </c>
      <c r="AE3" s="6">
        <v>-0.99165724371880093</v>
      </c>
    </row>
    <row r="4" spans="1:31" x14ac:dyDescent="0.25">
      <c r="A4" t="s">
        <v>28</v>
      </c>
      <c r="B4" t="s">
        <v>32</v>
      </c>
      <c r="C4" t="s">
        <v>30</v>
      </c>
      <c r="D4">
        <v>66.212883000000005</v>
      </c>
      <c r="E4">
        <v>60.140476</v>
      </c>
      <c r="F4">
        <v>60.592846000000002</v>
      </c>
      <c r="G4">
        <v>53.955810999999997</v>
      </c>
      <c r="H4">
        <v>49.510489999999997</v>
      </c>
      <c r="I4">
        <v>52.12294</v>
      </c>
      <c r="J4">
        <v>57.869422999999998</v>
      </c>
      <c r="K4">
        <v>64.802177</v>
      </c>
      <c r="L4">
        <v>64.085762000000003</v>
      </c>
      <c r="M4">
        <v>57.517982000000003</v>
      </c>
      <c r="N4">
        <v>55.094459999999998</v>
      </c>
      <c r="O4">
        <v>49.059849</v>
      </c>
      <c r="P4">
        <v>54.813515000000002</v>
      </c>
      <c r="Q4">
        <v>54.034514999999999</v>
      </c>
      <c r="R4">
        <v>47.645167999999998</v>
      </c>
      <c r="S4">
        <v>39.278145000000002</v>
      </c>
      <c r="T4">
        <v>40.014552999999999</v>
      </c>
      <c r="U4">
        <v>40.998699000000002</v>
      </c>
      <c r="V4">
        <v>39.058788</v>
      </c>
      <c r="W4">
        <v>39.345078000000001</v>
      </c>
      <c r="X4">
        <v>41.765945000000002</v>
      </c>
      <c r="Y4">
        <v>44.375323999999999</v>
      </c>
      <c r="Z4">
        <v>46.955601000000001</v>
      </c>
      <c r="AA4">
        <v>43.860691000000003</v>
      </c>
      <c r="AB4">
        <v>49.096026999999999</v>
      </c>
      <c r="AC4">
        <v>50.078606000000001</v>
      </c>
      <c r="AD4">
        <v>55.125591</v>
      </c>
      <c r="AE4" s="6">
        <v>-0.16744916544413274</v>
      </c>
    </row>
    <row r="5" spans="1:31" x14ac:dyDescent="0.25">
      <c r="A5" t="s">
        <v>28</v>
      </c>
      <c r="B5" t="s">
        <v>33</v>
      </c>
      <c r="C5" t="s">
        <v>30</v>
      </c>
      <c r="D5">
        <v>31.338919000000001</v>
      </c>
      <c r="E5">
        <v>31.824728</v>
      </c>
      <c r="F5">
        <v>31.752289000000001</v>
      </c>
      <c r="G5">
        <v>31.679853000000001</v>
      </c>
      <c r="H5">
        <v>31.679853000000001</v>
      </c>
      <c r="I5">
        <v>31.679853000000001</v>
      </c>
      <c r="J5">
        <v>31.679853000000001</v>
      </c>
      <c r="K5">
        <v>31.679855</v>
      </c>
      <c r="L5">
        <v>31.679853000000001</v>
      </c>
      <c r="M5">
        <v>31.679853000000001</v>
      </c>
      <c r="N5">
        <v>31.679853000000001</v>
      </c>
      <c r="O5">
        <v>31.679853000000001</v>
      </c>
      <c r="P5">
        <v>31.422343999999999</v>
      </c>
      <c r="Q5">
        <v>31.679853000000001</v>
      </c>
      <c r="R5">
        <v>30.904651999999999</v>
      </c>
      <c r="S5">
        <v>29.847801</v>
      </c>
      <c r="T5">
        <v>29.826988</v>
      </c>
      <c r="U5">
        <v>30.416508</v>
      </c>
      <c r="V5">
        <v>28.361675000000002</v>
      </c>
      <c r="W5">
        <v>28.114698000000001</v>
      </c>
      <c r="X5">
        <v>28.092102000000001</v>
      </c>
      <c r="Y5">
        <v>28.249873999999998</v>
      </c>
      <c r="Z5">
        <v>28.032813999999998</v>
      </c>
      <c r="AA5">
        <v>28.020966000000001</v>
      </c>
      <c r="AB5">
        <v>27.962257000000001</v>
      </c>
      <c r="AC5">
        <v>28.068473999999998</v>
      </c>
      <c r="AD5">
        <v>28.230181000000002</v>
      </c>
      <c r="AE5" s="6">
        <v>-9.9197359041005809E-2</v>
      </c>
    </row>
    <row r="6" spans="1:31" x14ac:dyDescent="0.25">
      <c r="A6" t="s">
        <v>28</v>
      </c>
      <c r="B6" t="s">
        <v>34</v>
      </c>
      <c r="C6" t="s">
        <v>30</v>
      </c>
      <c r="D6">
        <v>-6.5048999999999996E-2</v>
      </c>
      <c r="E6">
        <v>-0.229208</v>
      </c>
      <c r="F6">
        <v>-0.36092099999999999</v>
      </c>
      <c r="G6">
        <v>-0.308008</v>
      </c>
      <c r="H6">
        <v>-0.29105599999999998</v>
      </c>
      <c r="I6">
        <v>-0.29389199999999999</v>
      </c>
      <c r="J6">
        <v>-0.36387399999999998</v>
      </c>
      <c r="K6">
        <v>-0.46954000000000001</v>
      </c>
      <c r="L6">
        <v>-0.50762600000000002</v>
      </c>
      <c r="M6">
        <v>-0.50136000000000003</v>
      </c>
      <c r="N6">
        <v>-0.49925700000000001</v>
      </c>
      <c r="O6">
        <v>-0.48144399999999998</v>
      </c>
      <c r="P6">
        <v>-0.51014099999999996</v>
      </c>
      <c r="Q6">
        <v>-0.52937100000000004</v>
      </c>
      <c r="R6">
        <v>-0.52681100000000003</v>
      </c>
      <c r="S6">
        <v>-0.52751700000000001</v>
      </c>
      <c r="T6">
        <v>-0.51729899999999995</v>
      </c>
      <c r="U6">
        <v>-0.53294600000000003</v>
      </c>
      <c r="V6">
        <v>-0.589638</v>
      </c>
      <c r="W6">
        <v>-0.60971799999999998</v>
      </c>
      <c r="X6">
        <v>-0.576928</v>
      </c>
      <c r="Y6">
        <v>-0.58395699999999995</v>
      </c>
      <c r="Z6">
        <v>-0.58602600000000005</v>
      </c>
      <c r="AA6">
        <v>-0.59086099999999997</v>
      </c>
      <c r="AB6">
        <v>-0.58957000000000004</v>
      </c>
      <c r="AC6">
        <v>-0.60965800000000003</v>
      </c>
      <c r="AD6">
        <v>-0.60204899999999995</v>
      </c>
      <c r="AE6" s="6">
        <v>8.2553152239081307</v>
      </c>
    </row>
    <row r="7" spans="1:31" x14ac:dyDescent="0.25">
      <c r="A7" t="s">
        <v>28</v>
      </c>
      <c r="B7" t="s">
        <v>35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6" t="e">
        <v>#DIV/0!</v>
      </c>
    </row>
    <row r="8" spans="1:31" x14ac:dyDescent="0.25">
      <c r="A8" t="s">
        <v>28</v>
      </c>
      <c r="B8" t="s">
        <v>36</v>
      </c>
      <c r="C8" t="s">
        <v>30</v>
      </c>
      <c r="D8">
        <v>8.9030339999999999</v>
      </c>
      <c r="E8">
        <v>9.6740150000000007</v>
      </c>
      <c r="F8">
        <v>10.038898</v>
      </c>
      <c r="G8">
        <v>10.404254</v>
      </c>
      <c r="H8">
        <v>10.406031</v>
      </c>
      <c r="I8">
        <v>10.408345000000001</v>
      </c>
      <c r="J8">
        <v>10.405258</v>
      </c>
      <c r="K8">
        <v>10.40204</v>
      </c>
      <c r="L8">
        <v>10.410964999999999</v>
      </c>
      <c r="M8">
        <v>10.406556999999999</v>
      </c>
      <c r="N8">
        <v>10.405673</v>
      </c>
      <c r="O8">
        <v>10.403845</v>
      </c>
      <c r="P8">
        <v>10.401508</v>
      </c>
      <c r="Q8">
        <v>10.397041</v>
      </c>
      <c r="R8">
        <v>10.285683000000001</v>
      </c>
      <c r="S8">
        <v>10.212923999999999</v>
      </c>
      <c r="T8">
        <v>10.226483999999999</v>
      </c>
      <c r="U8">
        <v>10.181048000000001</v>
      </c>
      <c r="V8">
        <v>10.173166999999999</v>
      </c>
      <c r="W8">
        <v>10.150404999999999</v>
      </c>
      <c r="X8">
        <v>10.118615999999999</v>
      </c>
      <c r="Y8">
        <v>10.15836</v>
      </c>
      <c r="Z8">
        <v>10.080852999999999</v>
      </c>
      <c r="AA8">
        <v>10.087745</v>
      </c>
      <c r="AB8">
        <v>10.075590999999999</v>
      </c>
      <c r="AC8">
        <v>10.064517</v>
      </c>
      <c r="AD8">
        <v>10.056592</v>
      </c>
      <c r="AE8" s="6">
        <v>0.12956908847029006</v>
      </c>
    </row>
    <row r="9" spans="1:31" x14ac:dyDescent="0.25">
      <c r="A9" t="s">
        <v>28</v>
      </c>
      <c r="B9" t="s">
        <v>37</v>
      </c>
      <c r="C9" t="s">
        <v>30</v>
      </c>
      <c r="D9">
        <v>3.6312600000000002</v>
      </c>
      <c r="E9">
        <v>3.5418699999999999</v>
      </c>
      <c r="F9">
        <v>3.7521309999999999</v>
      </c>
      <c r="G9">
        <v>3.9112079999999998</v>
      </c>
      <c r="H9">
        <v>4.1040489999999998</v>
      </c>
      <c r="I9">
        <v>4.1040890000000001</v>
      </c>
      <c r="J9">
        <v>4.2783870000000004</v>
      </c>
      <c r="K9">
        <v>4.4502170000000003</v>
      </c>
      <c r="L9">
        <v>4.6471910000000003</v>
      </c>
      <c r="M9">
        <v>4.8441510000000001</v>
      </c>
      <c r="N9">
        <v>5.0411049999999999</v>
      </c>
      <c r="O9">
        <v>5.2380509999999996</v>
      </c>
      <c r="P9">
        <v>5.4350050000000003</v>
      </c>
      <c r="Q9">
        <v>5.6319270000000001</v>
      </c>
      <c r="R9">
        <v>5.8288330000000004</v>
      </c>
      <c r="S9">
        <v>6.514005</v>
      </c>
      <c r="T9">
        <v>7.1991800000000001</v>
      </c>
      <c r="U9">
        <v>7.8854329999999999</v>
      </c>
      <c r="V9">
        <v>8.5705799999999996</v>
      </c>
      <c r="W9">
        <v>9.1822230000000005</v>
      </c>
      <c r="X9">
        <v>9.5759849999999993</v>
      </c>
      <c r="Y9">
        <v>9.8673690000000001</v>
      </c>
      <c r="Z9">
        <v>10.158754</v>
      </c>
      <c r="AA9">
        <v>10.402886000000001</v>
      </c>
      <c r="AB9">
        <v>10.599767</v>
      </c>
      <c r="AC9">
        <v>10.780897</v>
      </c>
      <c r="AD9">
        <v>10.875401</v>
      </c>
      <c r="AE9" s="6">
        <v>1.9949386714253454</v>
      </c>
    </row>
    <row r="10" spans="1:31" x14ac:dyDescent="0.25">
      <c r="A10" t="s">
        <v>28</v>
      </c>
      <c r="B10" t="s">
        <v>38</v>
      </c>
      <c r="C10" t="s">
        <v>30</v>
      </c>
      <c r="D10">
        <v>3.3981999999999998E-2</v>
      </c>
      <c r="E10">
        <v>0.13605</v>
      </c>
      <c r="F10">
        <v>0.24419199999999999</v>
      </c>
      <c r="G10">
        <v>0.35237400000000002</v>
      </c>
      <c r="H10">
        <v>0.47550900000000001</v>
      </c>
      <c r="I10">
        <v>0.57103700000000002</v>
      </c>
      <c r="J10">
        <v>0.65866199999999997</v>
      </c>
      <c r="K10">
        <v>0.75307000000000002</v>
      </c>
      <c r="L10">
        <v>0.85247399999999995</v>
      </c>
      <c r="M10">
        <v>0.95596199999999998</v>
      </c>
      <c r="N10">
        <v>1.0412429999999999</v>
      </c>
      <c r="O10">
        <v>1.126379</v>
      </c>
      <c r="P10">
        <v>1.214259</v>
      </c>
      <c r="Q10">
        <v>1.308317</v>
      </c>
      <c r="R10">
        <v>1.405667</v>
      </c>
      <c r="S10">
        <v>1.474288</v>
      </c>
      <c r="T10">
        <v>1.5458099999999999</v>
      </c>
      <c r="U10">
        <v>1.619092</v>
      </c>
      <c r="V10">
        <v>1.6960280000000001</v>
      </c>
      <c r="W10">
        <v>1.77485</v>
      </c>
      <c r="X10">
        <v>1.815593</v>
      </c>
      <c r="Y10">
        <v>1.855621</v>
      </c>
      <c r="Z10">
        <v>1.896039</v>
      </c>
      <c r="AA10">
        <v>1.9377230000000001</v>
      </c>
      <c r="AB10">
        <v>1.979241</v>
      </c>
      <c r="AC10">
        <v>1.979241</v>
      </c>
      <c r="AD10">
        <v>1.979241</v>
      </c>
      <c r="AE10" s="6">
        <v>57.243805544111595</v>
      </c>
    </row>
    <row r="11" spans="1:31" x14ac:dyDescent="0.25">
      <c r="A11" t="s">
        <v>28</v>
      </c>
      <c r="B11" t="s">
        <v>39</v>
      </c>
      <c r="C11" t="s">
        <v>30</v>
      </c>
      <c r="D11">
        <v>0.49179699999999998</v>
      </c>
      <c r="E11">
        <v>0.49179699999999998</v>
      </c>
      <c r="F11">
        <v>0.49179699999999998</v>
      </c>
      <c r="G11">
        <v>0.49179699999999998</v>
      </c>
      <c r="H11">
        <v>0.49179699999999998</v>
      </c>
      <c r="I11">
        <v>0.49179699999999998</v>
      </c>
      <c r="J11">
        <v>0.49179699999999998</v>
      </c>
      <c r="K11">
        <v>0.49179699999999998</v>
      </c>
      <c r="L11">
        <v>0.49179699999999998</v>
      </c>
      <c r="M11">
        <v>0.49179699999999998</v>
      </c>
      <c r="N11">
        <v>0.49179699999999998</v>
      </c>
      <c r="O11">
        <v>0.49179699999999998</v>
      </c>
      <c r="P11">
        <v>0.49179699999999998</v>
      </c>
      <c r="Q11">
        <v>0.49179699999999998</v>
      </c>
      <c r="R11">
        <v>0.49179699999999998</v>
      </c>
      <c r="S11">
        <v>0.49179699999999998</v>
      </c>
      <c r="T11">
        <v>0.49179699999999998</v>
      </c>
      <c r="U11">
        <v>0.49179699999999998</v>
      </c>
      <c r="V11">
        <v>0.49179699999999998</v>
      </c>
      <c r="W11">
        <v>0.49179699999999998</v>
      </c>
      <c r="X11">
        <v>0.49179699999999998</v>
      </c>
      <c r="Y11">
        <v>0.49179699999999998</v>
      </c>
      <c r="Z11">
        <v>0.49179699999999998</v>
      </c>
      <c r="AA11">
        <v>0.49179699999999998</v>
      </c>
      <c r="AB11">
        <v>0.49179699999999998</v>
      </c>
      <c r="AC11">
        <v>0.49179699999999998</v>
      </c>
      <c r="AD11">
        <v>0.66812300000000002</v>
      </c>
      <c r="AE11" s="6">
        <v>0.3585341106188123</v>
      </c>
    </row>
    <row r="12" spans="1:31" x14ac:dyDescent="0.25">
      <c r="A12" t="s">
        <v>28</v>
      </c>
      <c r="B12" t="s">
        <v>40</v>
      </c>
      <c r="C12" t="s">
        <v>30</v>
      </c>
      <c r="D12">
        <v>0.67093400000000003</v>
      </c>
      <c r="E12">
        <v>0.66452100000000003</v>
      </c>
      <c r="F12">
        <v>0.74161200000000005</v>
      </c>
      <c r="G12">
        <v>0.74149900000000002</v>
      </c>
      <c r="H12">
        <v>0.74062899999999998</v>
      </c>
      <c r="I12">
        <v>0.73773200000000005</v>
      </c>
      <c r="J12">
        <v>0.740815</v>
      </c>
      <c r="K12">
        <v>0.741031</v>
      </c>
      <c r="L12">
        <v>0.73871900000000001</v>
      </c>
      <c r="M12">
        <v>0.73866200000000004</v>
      </c>
      <c r="N12">
        <v>0.73760199999999998</v>
      </c>
      <c r="O12">
        <v>0.73928199999999999</v>
      </c>
      <c r="P12">
        <v>0.73807599999999995</v>
      </c>
      <c r="Q12">
        <v>0.73930799999999997</v>
      </c>
      <c r="R12">
        <v>0.73941599999999996</v>
      </c>
      <c r="S12">
        <v>0.738842</v>
      </c>
      <c r="T12">
        <v>0.73635700000000004</v>
      </c>
      <c r="U12">
        <v>0.73895999999999995</v>
      </c>
      <c r="V12">
        <v>0.73922600000000005</v>
      </c>
      <c r="W12">
        <v>0.73925200000000002</v>
      </c>
      <c r="X12">
        <v>0.73969799999999997</v>
      </c>
      <c r="Y12">
        <v>0.74050499999999997</v>
      </c>
      <c r="Z12">
        <v>0.74008099999999999</v>
      </c>
      <c r="AA12">
        <v>0.73944100000000001</v>
      </c>
      <c r="AB12">
        <v>0.73929800000000001</v>
      </c>
      <c r="AC12">
        <v>0.74027699999999996</v>
      </c>
      <c r="AD12">
        <v>0.74027699999999996</v>
      </c>
      <c r="AE12" s="6">
        <v>0.10335293784485498</v>
      </c>
    </row>
    <row r="13" spans="1:31" x14ac:dyDescent="0.25">
      <c r="A13" t="s">
        <v>28</v>
      </c>
      <c r="B13" t="s">
        <v>41</v>
      </c>
      <c r="C13" t="s">
        <v>30</v>
      </c>
      <c r="D13">
        <v>12.069271000000001</v>
      </c>
      <c r="E13">
        <v>17.995353999999999</v>
      </c>
      <c r="F13">
        <v>24.457584000000001</v>
      </c>
      <c r="G13">
        <v>24.787856999999999</v>
      </c>
      <c r="H13">
        <v>24.536740999999999</v>
      </c>
      <c r="I13">
        <v>24.028717</v>
      </c>
      <c r="J13">
        <v>24.770174000000001</v>
      </c>
      <c r="K13">
        <v>24.74192</v>
      </c>
      <c r="L13">
        <v>24.627369000000002</v>
      </c>
      <c r="M13">
        <v>24.644221999999999</v>
      </c>
      <c r="N13">
        <v>24.604403999999999</v>
      </c>
      <c r="O13">
        <v>24.666357000000001</v>
      </c>
      <c r="P13">
        <v>22.094486</v>
      </c>
      <c r="Q13">
        <v>24.694492</v>
      </c>
      <c r="R13">
        <v>24.713069999999998</v>
      </c>
      <c r="S13">
        <v>24.620049000000002</v>
      </c>
      <c r="T13">
        <v>24.502680000000002</v>
      </c>
      <c r="U13">
        <v>24.619250999999998</v>
      </c>
      <c r="V13">
        <v>24.613465999999999</v>
      </c>
      <c r="W13">
        <v>24.584489999999999</v>
      </c>
      <c r="X13">
        <v>24.624161000000001</v>
      </c>
      <c r="Y13">
        <v>24.663349</v>
      </c>
      <c r="Z13">
        <v>24.657146000000001</v>
      </c>
      <c r="AA13">
        <v>19.02422</v>
      </c>
      <c r="AB13">
        <v>24.631862999999999</v>
      </c>
      <c r="AC13">
        <v>24.679319</v>
      </c>
      <c r="AD13">
        <v>24.650269000000002</v>
      </c>
      <c r="AE13" s="6">
        <v>1.0423991639594472</v>
      </c>
    </row>
    <row r="14" spans="1:31" x14ac:dyDescent="0.25">
      <c r="A14" t="s">
        <v>28</v>
      </c>
      <c r="B14" t="s">
        <v>42</v>
      </c>
      <c r="C14" t="s">
        <v>30</v>
      </c>
      <c r="D14">
        <v>13.335153</v>
      </c>
      <c r="E14">
        <v>13.317913000000001</v>
      </c>
      <c r="F14">
        <v>19.962157999999999</v>
      </c>
      <c r="G14">
        <v>27.580265000000001</v>
      </c>
      <c r="H14">
        <v>27.585684000000001</v>
      </c>
      <c r="I14">
        <v>27.587834999999998</v>
      </c>
      <c r="J14">
        <v>27.576623999999999</v>
      </c>
      <c r="K14">
        <v>31.606707</v>
      </c>
      <c r="L14">
        <v>40.541488999999999</v>
      </c>
      <c r="M14">
        <v>54.792133</v>
      </c>
      <c r="N14">
        <v>67.491821000000002</v>
      </c>
      <c r="O14">
        <v>78.090584000000007</v>
      </c>
      <c r="P14">
        <v>82.142760999999993</v>
      </c>
      <c r="Q14">
        <v>81.828636000000003</v>
      </c>
      <c r="R14">
        <v>84.515456999999998</v>
      </c>
      <c r="S14">
        <v>87.209228999999993</v>
      </c>
      <c r="T14">
        <v>91.616050999999999</v>
      </c>
      <c r="U14">
        <v>99.25264</v>
      </c>
      <c r="V14">
        <v>101.275673</v>
      </c>
      <c r="W14">
        <v>97.922295000000005</v>
      </c>
      <c r="X14">
        <v>106.226715</v>
      </c>
      <c r="Y14">
        <v>108.76718099999999</v>
      </c>
      <c r="Z14">
        <v>111.01196299999999</v>
      </c>
      <c r="AA14">
        <v>113.21019</v>
      </c>
      <c r="AB14">
        <v>106.47878300000001</v>
      </c>
      <c r="AC14">
        <v>117.87220000000001</v>
      </c>
      <c r="AD14">
        <v>123.231323</v>
      </c>
      <c r="AE14" s="6">
        <v>8.2410880475087165</v>
      </c>
    </row>
    <row r="15" spans="1:31" x14ac:dyDescent="0.25">
      <c r="A15" t="s">
        <v>28</v>
      </c>
      <c r="B15" t="s">
        <v>43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6" t="e">
        <v>#DIV/0!</v>
      </c>
    </row>
    <row r="16" spans="1:31" x14ac:dyDescent="0.25">
      <c r="A16" t="s">
        <v>28</v>
      </c>
      <c r="B16" s="9" t="s">
        <v>44</v>
      </c>
      <c r="C16" t="s">
        <v>30</v>
      </c>
      <c r="D16">
        <v>0</v>
      </c>
      <c r="E16">
        <v>0</v>
      </c>
      <c r="F16">
        <v>1.0354E-2</v>
      </c>
      <c r="G16">
        <v>2.5363E-2</v>
      </c>
      <c r="H16">
        <v>3.8526999999999999E-2</v>
      </c>
      <c r="I16">
        <v>5.3615999999999997E-2</v>
      </c>
      <c r="J16">
        <v>0.100497</v>
      </c>
      <c r="K16">
        <v>0.14994499999999999</v>
      </c>
      <c r="L16">
        <v>0.269399</v>
      </c>
      <c r="M16">
        <v>0.33173399999999997</v>
      </c>
      <c r="N16">
        <v>0.39931299999999997</v>
      </c>
      <c r="O16">
        <v>0.47318199999999999</v>
      </c>
      <c r="P16">
        <v>0.57538699999999998</v>
      </c>
      <c r="Q16">
        <v>0.65056000000000003</v>
      </c>
      <c r="R16">
        <v>0.69616800000000001</v>
      </c>
      <c r="S16">
        <v>0.81168600000000002</v>
      </c>
      <c r="T16">
        <v>0.87815500000000002</v>
      </c>
      <c r="U16">
        <v>0.948156</v>
      </c>
      <c r="V16">
        <v>1.0166310000000001</v>
      </c>
      <c r="W16">
        <v>1.083858</v>
      </c>
      <c r="X16">
        <v>1.149402</v>
      </c>
      <c r="Y16">
        <v>1.2171670000000001</v>
      </c>
      <c r="Z16">
        <v>1.2827329999999999</v>
      </c>
      <c r="AA16">
        <v>1.348503</v>
      </c>
      <c r="AB16">
        <v>1.4133990000000001</v>
      </c>
      <c r="AC16">
        <v>1.481976</v>
      </c>
      <c r="AD16">
        <v>1.5529409999999999</v>
      </c>
      <c r="AE16" s="6" t="e">
        <v>#DIV/0!</v>
      </c>
    </row>
    <row r="17" spans="1:31" x14ac:dyDescent="0.25">
      <c r="A17" t="s">
        <v>28</v>
      </c>
      <c r="B17" s="9" t="s">
        <v>45</v>
      </c>
      <c r="C17" t="s">
        <v>30</v>
      </c>
      <c r="D17">
        <v>153.232788</v>
      </c>
      <c r="E17">
        <v>155.97976700000001</v>
      </c>
      <c r="F17">
        <v>156.500854</v>
      </c>
      <c r="G17">
        <v>159.039917</v>
      </c>
      <c r="H17">
        <v>156.14790300000001</v>
      </c>
      <c r="I17">
        <v>160.07119800000001</v>
      </c>
      <c r="J17">
        <v>164.19220000000001</v>
      </c>
      <c r="K17">
        <v>172.05943300000001</v>
      </c>
      <c r="L17">
        <v>177.84053</v>
      </c>
      <c r="M17">
        <v>185.90481600000001</v>
      </c>
      <c r="N17">
        <v>196.49113500000001</v>
      </c>
      <c r="O17">
        <v>201.490814</v>
      </c>
      <c r="P17">
        <v>208.821899</v>
      </c>
      <c r="Q17">
        <v>210.929092</v>
      </c>
      <c r="R17">
        <v>206.700287</v>
      </c>
      <c r="S17">
        <v>200.67237900000001</v>
      </c>
      <c r="T17">
        <v>206.521378</v>
      </c>
      <c r="U17">
        <v>216.619247</v>
      </c>
      <c r="V17">
        <v>215.40799000000001</v>
      </c>
      <c r="W17">
        <v>212.779831</v>
      </c>
      <c r="X17">
        <v>224.023697</v>
      </c>
      <c r="Y17">
        <v>229.80306999999999</v>
      </c>
      <c r="Z17">
        <v>234.72233600000001</v>
      </c>
      <c r="AA17">
        <v>228.53327899999999</v>
      </c>
      <c r="AB17">
        <v>232.87846400000001</v>
      </c>
      <c r="AC17">
        <v>245.62776199999999</v>
      </c>
      <c r="AD17">
        <v>256.50848400000001</v>
      </c>
      <c r="AE17" s="6">
        <v>0.6739790964320248</v>
      </c>
    </row>
    <row r="18" spans="1:31" x14ac:dyDescent="0.25">
      <c r="A18" t="s">
        <v>74</v>
      </c>
      <c r="B18" t="s">
        <v>46</v>
      </c>
      <c r="C18" t="s">
        <v>47</v>
      </c>
      <c r="D18">
        <v>14.321225999999999</v>
      </c>
      <c r="E18">
        <v>14.037254000000001</v>
      </c>
      <c r="F18">
        <v>13.349997999999999</v>
      </c>
      <c r="G18">
        <v>12.771207</v>
      </c>
      <c r="H18">
        <v>12.315701000000001</v>
      </c>
      <c r="I18">
        <v>12.202603</v>
      </c>
      <c r="J18">
        <v>12.157368999999999</v>
      </c>
      <c r="K18">
        <v>12.18342</v>
      </c>
      <c r="L18">
        <v>12.353809</v>
      </c>
      <c r="M18">
        <v>12.41422</v>
      </c>
      <c r="N18">
        <v>12.313352999999999</v>
      </c>
      <c r="O18">
        <v>12.237214</v>
      </c>
      <c r="P18">
        <v>12.107442000000001</v>
      </c>
      <c r="Q18">
        <v>12.141228</v>
      </c>
      <c r="R18">
        <v>12.199460999999999</v>
      </c>
      <c r="S18">
        <v>12.196180999999999</v>
      </c>
      <c r="T18">
        <v>12.178381999999999</v>
      </c>
      <c r="U18">
        <v>12.126092999999999</v>
      </c>
      <c r="V18">
        <v>12.127605000000001</v>
      </c>
      <c r="W18">
        <v>12.203105000000001</v>
      </c>
      <c r="X18">
        <v>12.336511</v>
      </c>
      <c r="Y18">
        <v>12.460101</v>
      </c>
      <c r="Z18">
        <v>12.65381</v>
      </c>
      <c r="AA18">
        <v>12.729656</v>
      </c>
      <c r="AB18">
        <v>12.750355000000001</v>
      </c>
      <c r="AC18">
        <v>12.759665999999999</v>
      </c>
      <c r="AD18">
        <v>12.735077</v>
      </c>
      <c r="AE18" s="6" cm="1">
        <f t="array" ref="AE18:AE22">(AD18:AD22-D18:D22)/D18:D22</f>
        <v>-0.11075511272568417</v>
      </c>
    </row>
    <row r="19" spans="1:31" x14ac:dyDescent="0.25">
      <c r="A19" t="s">
        <v>74</v>
      </c>
      <c r="B19" t="s">
        <v>48</v>
      </c>
      <c r="C19" t="s">
        <v>47</v>
      </c>
      <c r="D19">
        <v>11.818175</v>
      </c>
      <c r="E19">
        <v>11.534630999999999</v>
      </c>
      <c r="F19">
        <v>10.925297</v>
      </c>
      <c r="G19">
        <v>10.383082999999999</v>
      </c>
      <c r="H19">
        <v>9.9822369999999996</v>
      </c>
      <c r="I19">
        <v>9.8568259999999999</v>
      </c>
      <c r="J19">
        <v>9.7993179999999995</v>
      </c>
      <c r="K19">
        <v>9.8038709999999991</v>
      </c>
      <c r="L19">
        <v>9.9391359999999995</v>
      </c>
      <c r="M19">
        <v>9.9460130000000007</v>
      </c>
      <c r="N19">
        <v>9.7913630000000005</v>
      </c>
      <c r="O19">
        <v>9.6880000000000006</v>
      </c>
      <c r="P19">
        <v>9.5063720000000007</v>
      </c>
      <c r="Q19">
        <v>9.5322610000000001</v>
      </c>
      <c r="R19">
        <v>9.5813880000000005</v>
      </c>
      <c r="S19">
        <v>9.5556560000000008</v>
      </c>
      <c r="T19">
        <v>9.5000459999999993</v>
      </c>
      <c r="U19">
        <v>9.4182129999999997</v>
      </c>
      <c r="V19">
        <v>9.3957759999999997</v>
      </c>
      <c r="W19">
        <v>9.4456520000000008</v>
      </c>
      <c r="X19">
        <v>9.5505019999999998</v>
      </c>
      <c r="Y19">
        <v>9.6343479999999992</v>
      </c>
      <c r="Z19">
        <v>9.8009830000000004</v>
      </c>
      <c r="AA19">
        <v>9.8248149999999992</v>
      </c>
      <c r="AB19">
        <v>9.8061229999999995</v>
      </c>
      <c r="AC19">
        <v>9.7695369999999997</v>
      </c>
      <c r="AD19">
        <v>9.6994330000000009</v>
      </c>
      <c r="AE19" s="6">
        <v>-0.17927827266054186</v>
      </c>
    </row>
    <row r="20" spans="1:31" x14ac:dyDescent="0.25">
      <c r="A20" t="s">
        <v>74</v>
      </c>
      <c r="B20" t="s">
        <v>49</v>
      </c>
      <c r="C20" t="s">
        <v>47</v>
      </c>
      <c r="D20">
        <v>7.3013719999999998</v>
      </c>
      <c r="E20">
        <v>7.2429129999999997</v>
      </c>
      <c r="F20">
        <v>6.7661530000000001</v>
      </c>
      <c r="G20">
        <v>6.3427990000000003</v>
      </c>
      <c r="H20">
        <v>6.0670469999999996</v>
      </c>
      <c r="I20">
        <v>5.9816099999999999</v>
      </c>
      <c r="J20">
        <v>5.9723629999999996</v>
      </c>
      <c r="K20">
        <v>6.0203600000000002</v>
      </c>
      <c r="L20">
        <v>6.1771390000000004</v>
      </c>
      <c r="M20">
        <v>6.2176359999999997</v>
      </c>
      <c r="N20">
        <v>6.1469909999999999</v>
      </c>
      <c r="O20">
        <v>6.1344810000000001</v>
      </c>
      <c r="P20">
        <v>6.1228790000000002</v>
      </c>
      <c r="Q20">
        <v>6.1991199999999997</v>
      </c>
      <c r="R20">
        <v>6.1798630000000001</v>
      </c>
      <c r="S20">
        <v>6.1315910000000002</v>
      </c>
      <c r="T20">
        <v>6.104031</v>
      </c>
      <c r="U20">
        <v>6.0531350000000002</v>
      </c>
      <c r="V20">
        <v>6.0467180000000003</v>
      </c>
      <c r="W20">
        <v>6.0944969999999996</v>
      </c>
      <c r="X20">
        <v>6.1749049999999999</v>
      </c>
      <c r="Y20">
        <v>6.2345480000000002</v>
      </c>
      <c r="Z20">
        <v>6.3697499999999998</v>
      </c>
      <c r="AA20">
        <v>6.3745589999999996</v>
      </c>
      <c r="AB20">
        <v>6.3601270000000003</v>
      </c>
      <c r="AC20">
        <v>6.3317360000000003</v>
      </c>
      <c r="AD20">
        <v>6.2762070000000003</v>
      </c>
      <c r="AE20" s="6">
        <v>-0.14040717278889495</v>
      </c>
    </row>
    <row r="21" spans="1:31" x14ac:dyDescent="0.25">
      <c r="A21" t="s">
        <v>74</v>
      </c>
      <c r="B21" t="s">
        <v>50</v>
      </c>
      <c r="C21" t="s">
        <v>47</v>
      </c>
      <c r="D21">
        <v>12.401925</v>
      </c>
      <c r="E21">
        <v>12.228551</v>
      </c>
      <c r="F21">
        <v>11.540369999999999</v>
      </c>
      <c r="G21">
        <v>10.949158000000001</v>
      </c>
      <c r="H21">
        <v>10.455330999999999</v>
      </c>
      <c r="I21">
        <v>10.305338000000001</v>
      </c>
      <c r="J21">
        <v>10.223979</v>
      </c>
      <c r="K21">
        <v>10.204313000000001</v>
      </c>
      <c r="L21">
        <v>10.325168</v>
      </c>
      <c r="M21">
        <v>10.347306</v>
      </c>
      <c r="N21">
        <v>10.209846000000001</v>
      </c>
      <c r="O21">
        <v>10.091984</v>
      </c>
      <c r="P21">
        <v>9.9115009999999995</v>
      </c>
      <c r="Q21">
        <v>9.9020860000000006</v>
      </c>
      <c r="R21">
        <v>9.9508130000000001</v>
      </c>
      <c r="S21">
        <v>9.9238169999999997</v>
      </c>
      <c r="T21">
        <v>9.8689900000000002</v>
      </c>
      <c r="U21">
        <v>9.7832530000000002</v>
      </c>
      <c r="V21">
        <v>9.7467810000000004</v>
      </c>
      <c r="W21">
        <v>9.7778849999999995</v>
      </c>
      <c r="X21">
        <v>9.8671290000000003</v>
      </c>
      <c r="Y21">
        <v>9.9504339999999996</v>
      </c>
      <c r="Z21">
        <v>10.091424999999999</v>
      </c>
      <c r="AA21">
        <v>10.127319999999999</v>
      </c>
      <c r="AB21">
        <v>10.104797</v>
      </c>
      <c r="AC21">
        <v>10.070346000000001</v>
      </c>
      <c r="AD21">
        <v>10.004056</v>
      </c>
      <c r="AE21" s="6">
        <v>-0.19334651677058198</v>
      </c>
    </row>
    <row r="22" spans="1:31" x14ac:dyDescent="0.25">
      <c r="A22" t="s">
        <v>74</v>
      </c>
      <c r="B22" t="s">
        <v>51</v>
      </c>
      <c r="C22" t="s">
        <v>47</v>
      </c>
      <c r="D22">
        <v>12.072695</v>
      </c>
      <c r="E22">
        <v>11.773698</v>
      </c>
      <c r="F22">
        <v>11.157323999999999</v>
      </c>
      <c r="G22">
        <v>10.634221999999999</v>
      </c>
      <c r="H22">
        <v>10.251832</v>
      </c>
      <c r="I22">
        <v>10.148577</v>
      </c>
      <c r="J22">
        <v>10.106521000000001</v>
      </c>
      <c r="K22">
        <v>10.125798</v>
      </c>
      <c r="L22">
        <v>10.270248</v>
      </c>
      <c r="M22">
        <v>10.295273999999999</v>
      </c>
      <c r="N22">
        <v>10.165919000000001</v>
      </c>
      <c r="O22">
        <v>10.074419000000001</v>
      </c>
      <c r="P22">
        <v>9.8825690000000002</v>
      </c>
      <c r="Q22">
        <v>9.9143530000000002</v>
      </c>
      <c r="R22">
        <v>9.9913530000000002</v>
      </c>
      <c r="S22">
        <v>9.9873080000000005</v>
      </c>
      <c r="T22">
        <v>9.9471229999999995</v>
      </c>
      <c r="U22">
        <v>9.878501</v>
      </c>
      <c r="V22">
        <v>9.8665830000000003</v>
      </c>
      <c r="W22">
        <v>9.9244900000000005</v>
      </c>
      <c r="X22">
        <v>10.038138999999999</v>
      </c>
      <c r="Y22">
        <v>10.131275</v>
      </c>
      <c r="Z22">
        <v>10.300981</v>
      </c>
      <c r="AA22">
        <v>10.338666999999999</v>
      </c>
      <c r="AB22">
        <v>10.334206</v>
      </c>
      <c r="AC22">
        <v>10.31284</v>
      </c>
      <c r="AD22">
        <v>10.259954</v>
      </c>
      <c r="AE22" s="6">
        <v>-0.15015214084344872</v>
      </c>
    </row>
    <row r="23" spans="1:31" x14ac:dyDescent="0.25">
      <c r="A23" t="s">
        <v>75</v>
      </c>
      <c r="B23" t="s">
        <v>46</v>
      </c>
      <c r="C23" t="s">
        <v>52</v>
      </c>
      <c r="D23">
        <v>14.321225999999999</v>
      </c>
      <c r="E23">
        <v>14.332872</v>
      </c>
      <c r="F23">
        <v>13.879951</v>
      </c>
      <c r="G23">
        <v>13.509814</v>
      </c>
      <c r="H23">
        <v>13.280979</v>
      </c>
      <c r="I23">
        <v>13.413402</v>
      </c>
      <c r="J23">
        <v>13.640051</v>
      </c>
      <c r="K23">
        <v>13.978641</v>
      </c>
      <c r="L23">
        <v>14.502257</v>
      </c>
      <c r="M23">
        <v>14.927337</v>
      </c>
      <c r="N23">
        <v>15.167417</v>
      </c>
      <c r="O23">
        <v>15.437165999999999</v>
      </c>
      <c r="P23">
        <v>15.631152999999999</v>
      </c>
      <c r="Q23">
        <v>16.030045999999999</v>
      </c>
      <c r="R23">
        <v>16.454816999999998</v>
      </c>
      <c r="S23">
        <v>16.792662</v>
      </c>
      <c r="T23">
        <v>17.114563</v>
      </c>
      <c r="U23">
        <v>17.389562999999999</v>
      </c>
      <c r="V23">
        <v>17.745667999999998</v>
      </c>
      <c r="W23">
        <v>18.220602</v>
      </c>
      <c r="X23">
        <v>18.794087999999999</v>
      </c>
      <c r="Y23">
        <v>19.373774000000001</v>
      </c>
      <c r="Z23">
        <v>20.081002999999999</v>
      </c>
      <c r="AA23">
        <v>20.628261999999999</v>
      </c>
      <c r="AB23">
        <v>21.106501000000002</v>
      </c>
      <c r="AC23">
        <v>21.580131999999999</v>
      </c>
      <c r="AD23">
        <v>22.013496</v>
      </c>
      <c r="AE23" s="6" cm="1">
        <f t="array" ref="AE23:AE27">(AD23:AD27-D23:D27)/D23:D27</f>
        <v>0.53712370714630164</v>
      </c>
    </row>
    <row r="24" spans="1:31" x14ac:dyDescent="0.25">
      <c r="A24" t="s">
        <v>75</v>
      </c>
      <c r="B24" t="s">
        <v>48</v>
      </c>
      <c r="C24" t="s">
        <v>52</v>
      </c>
      <c r="D24">
        <v>11.818175</v>
      </c>
      <c r="E24">
        <v>11.777544000000001</v>
      </c>
      <c r="F24">
        <v>11.358995999999999</v>
      </c>
      <c r="G24">
        <v>10.983577</v>
      </c>
      <c r="H24">
        <v>10.764624</v>
      </c>
      <c r="I24">
        <v>10.834866</v>
      </c>
      <c r="J24">
        <v>10.994418</v>
      </c>
      <c r="K24">
        <v>11.248466000000001</v>
      </c>
      <c r="L24">
        <v>11.667647000000001</v>
      </c>
      <c r="M24">
        <v>11.95947</v>
      </c>
      <c r="N24">
        <v>12.060862999999999</v>
      </c>
      <c r="O24">
        <v>12.221349</v>
      </c>
      <c r="P24">
        <v>12.273076</v>
      </c>
      <c r="Q24">
        <v>12.585431</v>
      </c>
      <c r="R24">
        <v>12.923519000000001</v>
      </c>
      <c r="S24">
        <v>13.156980000000001</v>
      </c>
      <c r="T24">
        <v>13.350635</v>
      </c>
      <c r="U24">
        <v>13.506296000000001</v>
      </c>
      <c r="V24">
        <v>13.748329999999999</v>
      </c>
      <c r="W24">
        <v>14.103415</v>
      </c>
      <c r="X24">
        <v>14.549735999999999</v>
      </c>
      <c r="Y24">
        <v>14.98011</v>
      </c>
      <c r="Z24">
        <v>15.553701999999999</v>
      </c>
      <c r="AA24">
        <v>15.920999</v>
      </c>
      <c r="AB24">
        <v>16.232718999999999</v>
      </c>
      <c r="AC24">
        <v>16.522993</v>
      </c>
      <c r="AD24">
        <v>16.766166999999999</v>
      </c>
      <c r="AE24" s="6">
        <v>0.41867648769797361</v>
      </c>
    </row>
    <row r="25" spans="1:31" x14ac:dyDescent="0.25">
      <c r="A25" t="s">
        <v>75</v>
      </c>
      <c r="B25" t="s">
        <v>49</v>
      </c>
      <c r="C25" t="s">
        <v>52</v>
      </c>
      <c r="D25">
        <v>7.3013719999999998</v>
      </c>
      <c r="E25">
        <v>7.3954449999999996</v>
      </c>
      <c r="F25">
        <v>7.0347489999999997</v>
      </c>
      <c r="G25">
        <v>6.7096280000000004</v>
      </c>
      <c r="H25">
        <v>6.5425690000000003</v>
      </c>
      <c r="I25">
        <v>6.5751330000000001</v>
      </c>
      <c r="J25">
        <v>6.7007370000000002</v>
      </c>
      <c r="K25">
        <v>6.907457</v>
      </c>
      <c r="L25">
        <v>7.251404</v>
      </c>
      <c r="M25">
        <v>7.4763250000000001</v>
      </c>
      <c r="N25">
        <v>7.5717780000000001</v>
      </c>
      <c r="O25">
        <v>7.7386080000000002</v>
      </c>
      <c r="P25">
        <v>7.9048610000000004</v>
      </c>
      <c r="Q25">
        <v>8.1846899999999998</v>
      </c>
      <c r="R25">
        <v>8.3354929999999996</v>
      </c>
      <c r="S25">
        <v>8.4424569999999992</v>
      </c>
      <c r="T25">
        <v>8.5781360000000006</v>
      </c>
      <c r="U25">
        <v>8.6805690000000002</v>
      </c>
      <c r="V25">
        <v>8.8478359999999991</v>
      </c>
      <c r="W25">
        <v>9.0997660000000007</v>
      </c>
      <c r="X25">
        <v>9.4071739999999995</v>
      </c>
      <c r="Y25">
        <v>9.6938800000000001</v>
      </c>
      <c r="Z25">
        <v>10.108494</v>
      </c>
      <c r="AA25">
        <v>10.329898999999999</v>
      </c>
      <c r="AB25">
        <v>10.528337000000001</v>
      </c>
      <c r="AC25">
        <v>10.70872</v>
      </c>
      <c r="AD25">
        <v>10.848876000000001</v>
      </c>
      <c r="AE25" s="6">
        <v>0.48586813546823815</v>
      </c>
    </row>
    <row r="26" spans="1:31" x14ac:dyDescent="0.25">
      <c r="A26" t="s">
        <v>75</v>
      </c>
      <c r="B26" t="s">
        <v>50</v>
      </c>
      <c r="C26" t="s">
        <v>52</v>
      </c>
      <c r="D26">
        <v>12.401925</v>
      </c>
      <c r="E26">
        <v>12.486077</v>
      </c>
      <c r="F26">
        <v>11.998487000000001</v>
      </c>
      <c r="G26">
        <v>11.58239</v>
      </c>
      <c r="H26">
        <v>11.274797</v>
      </c>
      <c r="I26">
        <v>11.327881</v>
      </c>
      <c r="J26">
        <v>11.470869</v>
      </c>
      <c r="K26">
        <v>11.707913</v>
      </c>
      <c r="L26">
        <v>12.120813999999999</v>
      </c>
      <c r="M26">
        <v>12.442</v>
      </c>
      <c r="N26">
        <v>12.576345</v>
      </c>
      <c r="O26">
        <v>12.730972</v>
      </c>
      <c r="P26">
        <v>12.796112000000001</v>
      </c>
      <c r="Q26">
        <v>13.073710999999999</v>
      </c>
      <c r="R26">
        <v>13.421806</v>
      </c>
      <c r="S26">
        <v>13.663892000000001</v>
      </c>
      <c r="T26">
        <v>13.869121</v>
      </c>
      <c r="U26">
        <v>14.029785</v>
      </c>
      <c r="V26">
        <v>14.261937</v>
      </c>
      <c r="W26">
        <v>14.599478</v>
      </c>
      <c r="X26">
        <v>15.032104</v>
      </c>
      <c r="Y26">
        <v>15.471581</v>
      </c>
      <c r="Z26">
        <v>16.014617999999999</v>
      </c>
      <c r="AA26">
        <v>16.411204999999999</v>
      </c>
      <c r="AB26">
        <v>16.727135000000001</v>
      </c>
      <c r="AC26">
        <v>17.031745999999998</v>
      </c>
      <c r="AD26">
        <v>17.292729999999999</v>
      </c>
      <c r="AE26" s="6">
        <v>0.39435853708194479</v>
      </c>
    </row>
    <row r="27" spans="1:31" x14ac:dyDescent="0.25">
      <c r="A27" t="s">
        <v>75</v>
      </c>
      <c r="B27" t="s">
        <v>51</v>
      </c>
      <c r="C27" t="s">
        <v>52</v>
      </c>
      <c r="D27">
        <v>12.072695</v>
      </c>
      <c r="E27">
        <v>12.021646</v>
      </c>
      <c r="F27">
        <v>11.600234</v>
      </c>
      <c r="G27">
        <v>11.24924</v>
      </c>
      <c r="H27">
        <v>11.055349</v>
      </c>
      <c r="I27">
        <v>11.155566</v>
      </c>
      <c r="J27">
        <v>11.339086</v>
      </c>
      <c r="K27">
        <v>11.617827999999999</v>
      </c>
      <c r="L27">
        <v>12.056345</v>
      </c>
      <c r="M27">
        <v>12.379435000000001</v>
      </c>
      <c r="N27">
        <v>12.522238</v>
      </c>
      <c r="O27">
        <v>12.708815</v>
      </c>
      <c r="P27">
        <v>12.758759</v>
      </c>
      <c r="Q27">
        <v>13.089907</v>
      </c>
      <c r="R27">
        <v>13.476487000000001</v>
      </c>
      <c r="S27">
        <v>13.75131</v>
      </c>
      <c r="T27">
        <v>13.978922000000001</v>
      </c>
      <c r="U27">
        <v>14.166378</v>
      </c>
      <c r="V27">
        <v>14.437237</v>
      </c>
      <c r="W27">
        <v>14.818374</v>
      </c>
      <c r="X27">
        <v>15.292629</v>
      </c>
      <c r="Y27">
        <v>15.752764000000001</v>
      </c>
      <c r="Z27">
        <v>16.347173999999999</v>
      </c>
      <c r="AA27">
        <v>16.753689000000001</v>
      </c>
      <c r="AB27">
        <v>17.10689</v>
      </c>
      <c r="AC27">
        <v>17.441872</v>
      </c>
      <c r="AD27">
        <v>17.735068999999999</v>
      </c>
      <c r="AE27" s="6">
        <v>0.46902319656050284</v>
      </c>
    </row>
    <row r="28" spans="1:31" x14ac:dyDescent="0.25">
      <c r="A28" t="s">
        <v>76</v>
      </c>
      <c r="B28" t="s">
        <v>53</v>
      </c>
      <c r="C28" t="s">
        <v>47</v>
      </c>
      <c r="D28">
        <v>7.532813</v>
      </c>
      <c r="E28">
        <v>7.2085910000000002</v>
      </c>
      <c r="F28">
        <v>6.4942010000000003</v>
      </c>
      <c r="G28">
        <v>5.9191820000000002</v>
      </c>
      <c r="H28">
        <v>5.5222530000000001</v>
      </c>
      <c r="I28">
        <v>5.4063040000000004</v>
      </c>
      <c r="J28">
        <v>5.3600899999999996</v>
      </c>
      <c r="K28">
        <v>5.3548400000000003</v>
      </c>
      <c r="L28">
        <v>5.4690880000000002</v>
      </c>
      <c r="M28">
        <v>5.4748510000000001</v>
      </c>
      <c r="N28">
        <v>5.3244239999999996</v>
      </c>
      <c r="O28">
        <v>5.2186570000000003</v>
      </c>
      <c r="P28">
        <v>5.0444750000000003</v>
      </c>
      <c r="Q28">
        <v>5.1031120000000003</v>
      </c>
      <c r="R28">
        <v>5.168723</v>
      </c>
      <c r="S28">
        <v>5.1482530000000004</v>
      </c>
      <c r="T28">
        <v>5.1005700000000003</v>
      </c>
      <c r="U28">
        <v>5.0215370000000004</v>
      </c>
      <c r="V28">
        <v>5.0005509999999997</v>
      </c>
      <c r="W28">
        <v>5.043266</v>
      </c>
      <c r="X28">
        <v>5.1413669999999998</v>
      </c>
      <c r="Y28">
        <v>5.217994</v>
      </c>
      <c r="Z28">
        <v>5.3673890000000002</v>
      </c>
      <c r="AA28">
        <v>5.3843290000000001</v>
      </c>
      <c r="AB28">
        <v>5.3607250000000004</v>
      </c>
      <c r="AC28">
        <v>5.319699</v>
      </c>
      <c r="AD28">
        <v>5.244656</v>
      </c>
      <c r="AE28" s="6" cm="1">
        <f t="array" ref="AE28:AE30">(AD28:AD30-D28:D30)/D28:D30</f>
        <v>-0.30375863571815737</v>
      </c>
    </row>
    <row r="29" spans="1:31" x14ac:dyDescent="0.25">
      <c r="A29" t="s">
        <v>76</v>
      </c>
      <c r="B29" t="s">
        <v>54</v>
      </c>
      <c r="C29" t="s">
        <v>47</v>
      </c>
      <c r="D29">
        <v>1.378717</v>
      </c>
      <c r="E29">
        <v>1.410569</v>
      </c>
      <c r="F29">
        <v>1.485152</v>
      </c>
      <c r="G29">
        <v>1.524038</v>
      </c>
      <c r="H29">
        <v>1.528573</v>
      </c>
      <c r="I29">
        <v>1.5309950000000001</v>
      </c>
      <c r="J29">
        <v>1.531917</v>
      </c>
      <c r="K29">
        <v>1.5580339999999999</v>
      </c>
      <c r="L29">
        <v>1.5948100000000001</v>
      </c>
      <c r="M29">
        <v>1.622582</v>
      </c>
      <c r="N29">
        <v>1.652647</v>
      </c>
      <c r="O29">
        <v>1.676302</v>
      </c>
      <c r="P29">
        <v>1.6792879999999999</v>
      </c>
      <c r="Q29">
        <v>1.6640729999999999</v>
      </c>
      <c r="R29">
        <v>1.6624989999999999</v>
      </c>
      <c r="S29">
        <v>1.6599440000000001</v>
      </c>
      <c r="T29">
        <v>1.656998</v>
      </c>
      <c r="U29">
        <v>1.6595040000000001</v>
      </c>
      <c r="V29">
        <v>1.658042</v>
      </c>
      <c r="W29">
        <v>1.6599759999999999</v>
      </c>
      <c r="X29">
        <v>1.663454</v>
      </c>
      <c r="Y29">
        <v>1.6669389999999999</v>
      </c>
      <c r="Z29">
        <v>1.671265</v>
      </c>
      <c r="AA29">
        <v>1.675969</v>
      </c>
      <c r="AB29">
        <v>1.6797249999999999</v>
      </c>
      <c r="AC29">
        <v>1.6849730000000001</v>
      </c>
      <c r="AD29">
        <v>1.6947239999999999</v>
      </c>
      <c r="AE29" s="6">
        <v>0.22920367268989933</v>
      </c>
    </row>
    <row r="30" spans="1:31" x14ac:dyDescent="0.25">
      <c r="A30" t="s">
        <v>76</v>
      </c>
      <c r="B30" t="s">
        <v>55</v>
      </c>
      <c r="C30" t="s">
        <v>47</v>
      </c>
      <c r="D30">
        <v>3.161165</v>
      </c>
      <c r="E30">
        <v>3.1545380000000001</v>
      </c>
      <c r="F30">
        <v>3.1779700000000002</v>
      </c>
      <c r="G30">
        <v>3.1910020000000001</v>
      </c>
      <c r="H30">
        <v>3.201006</v>
      </c>
      <c r="I30">
        <v>3.2112780000000001</v>
      </c>
      <c r="J30">
        <v>3.2145139999999999</v>
      </c>
      <c r="K30">
        <v>3.2129240000000001</v>
      </c>
      <c r="L30">
        <v>3.2063519999999999</v>
      </c>
      <c r="M30">
        <v>3.1978409999999999</v>
      </c>
      <c r="N30">
        <v>3.18885</v>
      </c>
      <c r="O30">
        <v>3.1794609999999999</v>
      </c>
      <c r="P30">
        <v>3.1588059999999998</v>
      </c>
      <c r="Q30">
        <v>3.147167</v>
      </c>
      <c r="R30">
        <v>3.1601309999999998</v>
      </c>
      <c r="S30">
        <v>3.1791109999999998</v>
      </c>
      <c r="T30">
        <v>3.1895549999999999</v>
      </c>
      <c r="U30">
        <v>3.1974610000000001</v>
      </c>
      <c r="V30">
        <v>3.2079900000000001</v>
      </c>
      <c r="W30">
        <v>3.221247</v>
      </c>
      <c r="X30">
        <v>3.2333189999999998</v>
      </c>
      <c r="Y30">
        <v>3.2463419999999998</v>
      </c>
      <c r="Z30">
        <v>3.2623250000000001</v>
      </c>
      <c r="AA30">
        <v>3.2783690000000001</v>
      </c>
      <c r="AB30">
        <v>3.2937560000000001</v>
      </c>
      <c r="AC30">
        <v>3.3081680000000002</v>
      </c>
      <c r="AD30">
        <v>3.3205749999999998</v>
      </c>
      <c r="AE30" s="6">
        <v>5.0427611339490294E-2</v>
      </c>
    </row>
    <row r="31" spans="1:31" x14ac:dyDescent="0.25">
      <c r="A31" t="s">
        <v>77</v>
      </c>
      <c r="B31" t="s">
        <v>53</v>
      </c>
      <c r="C31" t="s">
        <v>52</v>
      </c>
      <c r="D31">
        <v>7.532813</v>
      </c>
      <c r="E31">
        <v>7.3604000000000003</v>
      </c>
      <c r="F31">
        <v>6.7520009999999999</v>
      </c>
      <c r="G31">
        <v>6.2615109999999996</v>
      </c>
      <c r="H31">
        <v>5.9550749999999999</v>
      </c>
      <c r="I31">
        <v>5.942742</v>
      </c>
      <c r="J31">
        <v>6.0137929999999997</v>
      </c>
      <c r="K31">
        <v>6.143872</v>
      </c>
      <c r="L31">
        <v>6.4202149999999998</v>
      </c>
      <c r="M31">
        <v>6.5831720000000002</v>
      </c>
      <c r="N31">
        <v>6.5585509999999996</v>
      </c>
      <c r="O31">
        <v>6.5833009999999996</v>
      </c>
      <c r="P31">
        <v>6.5126020000000002</v>
      </c>
      <c r="Q31">
        <v>6.7376319999999996</v>
      </c>
      <c r="R31">
        <v>6.9716519999999997</v>
      </c>
      <c r="S31">
        <v>7.0885210000000001</v>
      </c>
      <c r="T31">
        <v>7.1679500000000003</v>
      </c>
      <c r="U31">
        <v>7.201193</v>
      </c>
      <c r="V31">
        <v>7.3170359999999999</v>
      </c>
      <c r="W31">
        <v>7.5301600000000004</v>
      </c>
      <c r="X31">
        <v>7.8326279999999997</v>
      </c>
      <c r="Y31">
        <v>8.1132760000000008</v>
      </c>
      <c r="Z31">
        <v>8.5177949999999996</v>
      </c>
      <c r="AA31">
        <v>8.7252430000000007</v>
      </c>
      <c r="AB31">
        <v>8.8739600000000003</v>
      </c>
      <c r="AC31">
        <v>8.9970859999999995</v>
      </c>
      <c r="AD31">
        <v>9.0657650000000007</v>
      </c>
      <c r="AE31" s="6" cm="1">
        <f t="array" ref="AE31:AE33">(AD31:AD33-D31:D33)/D31:D33</f>
        <v>0.20350325967205091</v>
      </c>
    </row>
    <row r="32" spans="1:31" x14ac:dyDescent="0.25">
      <c r="A32" t="s">
        <v>77</v>
      </c>
      <c r="B32" t="s">
        <v>54</v>
      </c>
      <c r="C32" t="s">
        <v>52</v>
      </c>
      <c r="D32">
        <v>1.378717</v>
      </c>
      <c r="E32">
        <v>1.4402740000000001</v>
      </c>
      <c r="F32">
        <v>1.544108</v>
      </c>
      <c r="G32">
        <v>1.612179</v>
      </c>
      <c r="H32">
        <v>1.648379</v>
      </c>
      <c r="I32">
        <v>1.6829080000000001</v>
      </c>
      <c r="J32">
        <v>1.718745</v>
      </c>
      <c r="K32">
        <v>1.787609</v>
      </c>
      <c r="L32">
        <v>1.8721620000000001</v>
      </c>
      <c r="M32">
        <v>1.9510559999999999</v>
      </c>
      <c r="N32">
        <v>2.0357069999999999</v>
      </c>
      <c r="O32">
        <v>2.1146440000000002</v>
      </c>
      <c r="P32">
        <v>2.1680229999999998</v>
      </c>
      <c r="Q32">
        <v>2.1970730000000001</v>
      </c>
      <c r="R32">
        <v>2.2424029999999999</v>
      </c>
      <c r="S32">
        <v>2.2855409999999998</v>
      </c>
      <c r="T32">
        <v>2.3286169999999999</v>
      </c>
      <c r="U32">
        <v>2.3798300000000001</v>
      </c>
      <c r="V32">
        <v>2.426123</v>
      </c>
      <c r="W32">
        <v>2.4785309999999998</v>
      </c>
      <c r="X32">
        <v>2.5341939999999998</v>
      </c>
      <c r="Y32">
        <v>2.591866</v>
      </c>
      <c r="Z32">
        <v>2.6522199999999998</v>
      </c>
      <c r="AA32">
        <v>2.7158880000000001</v>
      </c>
      <c r="AB32">
        <v>2.7805589999999998</v>
      </c>
      <c r="AC32">
        <v>2.8497569999999999</v>
      </c>
      <c r="AD32">
        <v>2.9294519999999999</v>
      </c>
      <c r="AE32" s="6">
        <v>1.1247667215244317</v>
      </c>
    </row>
    <row r="33" spans="1:31" x14ac:dyDescent="0.25">
      <c r="A33" t="s">
        <v>77</v>
      </c>
      <c r="B33" t="s">
        <v>55</v>
      </c>
      <c r="C33" t="s">
        <v>52</v>
      </c>
      <c r="D33">
        <v>3.161165</v>
      </c>
      <c r="E33">
        <v>3.220971</v>
      </c>
      <c r="F33">
        <v>3.304125</v>
      </c>
      <c r="G33">
        <v>3.3755500000000001</v>
      </c>
      <c r="H33">
        <v>3.4518939999999998</v>
      </c>
      <c r="I33">
        <v>3.5299160000000001</v>
      </c>
      <c r="J33">
        <v>3.6065480000000001</v>
      </c>
      <c r="K33">
        <v>3.6863459999999999</v>
      </c>
      <c r="L33">
        <v>3.7639680000000002</v>
      </c>
      <c r="M33">
        <v>3.8452069999999998</v>
      </c>
      <c r="N33">
        <v>3.9279809999999999</v>
      </c>
      <c r="O33">
        <v>4.0108699999999997</v>
      </c>
      <c r="P33">
        <v>4.0781349999999996</v>
      </c>
      <c r="Q33">
        <v>4.1552009999999999</v>
      </c>
      <c r="R33">
        <v>4.2624320000000004</v>
      </c>
      <c r="S33">
        <v>4.3772500000000001</v>
      </c>
      <c r="T33">
        <v>4.4823560000000002</v>
      </c>
      <c r="U33">
        <v>4.5853549999999998</v>
      </c>
      <c r="V33">
        <v>4.6940780000000002</v>
      </c>
      <c r="W33">
        <v>4.8096819999999996</v>
      </c>
      <c r="X33">
        <v>4.9258069999999998</v>
      </c>
      <c r="Y33">
        <v>5.0476229999999997</v>
      </c>
      <c r="Z33">
        <v>5.1771570000000002</v>
      </c>
      <c r="AA33">
        <v>5.3125590000000003</v>
      </c>
      <c r="AB33">
        <v>5.4523720000000004</v>
      </c>
      <c r="AC33">
        <v>5.5950280000000001</v>
      </c>
      <c r="AD33">
        <v>5.739852</v>
      </c>
      <c r="AE33" s="6">
        <v>0.81573945048739938</v>
      </c>
    </row>
    <row r="34" spans="1:31" x14ac:dyDescent="0.25">
      <c r="A34" t="s">
        <v>56</v>
      </c>
      <c r="B34" t="s">
        <v>57</v>
      </c>
      <c r="C34" t="s">
        <v>58</v>
      </c>
      <c r="D34">
        <v>13.528973000000001</v>
      </c>
      <c r="E34">
        <v>13.245765</v>
      </c>
      <c r="F34">
        <v>9.2070980000000002</v>
      </c>
      <c r="G34">
        <v>8.5961280000000002</v>
      </c>
      <c r="H34">
        <v>8.3610330000000008</v>
      </c>
      <c r="I34">
        <v>9.2250639999999997</v>
      </c>
      <c r="J34">
        <v>9.1252669999999991</v>
      </c>
      <c r="K34">
        <v>9.0063929999999992</v>
      </c>
      <c r="L34">
        <v>7.956734</v>
      </c>
      <c r="M34">
        <v>7.1281040000000004</v>
      </c>
      <c r="N34">
        <v>6.8110400000000002</v>
      </c>
      <c r="O34">
        <v>6.0646639999999996</v>
      </c>
      <c r="P34">
        <v>6.9184020000000004</v>
      </c>
      <c r="Q34">
        <v>6.8219079999999996</v>
      </c>
      <c r="R34">
        <v>6.0364000000000004</v>
      </c>
      <c r="S34">
        <v>4.955495</v>
      </c>
      <c r="T34">
        <v>5.0574909999999997</v>
      </c>
      <c r="U34">
        <v>5.1720889999999997</v>
      </c>
      <c r="V34">
        <v>4.9774219999999998</v>
      </c>
      <c r="W34">
        <v>5.023879</v>
      </c>
      <c r="X34">
        <v>5.3031600000000001</v>
      </c>
      <c r="Y34">
        <v>5.598827</v>
      </c>
      <c r="Z34">
        <v>5.9538399999999996</v>
      </c>
      <c r="AA34">
        <v>5.583653</v>
      </c>
      <c r="AB34">
        <v>6.2346310000000003</v>
      </c>
      <c r="AC34">
        <v>6.3455380000000003</v>
      </c>
      <c r="AD34">
        <v>6.9421239999999997</v>
      </c>
      <c r="AE34" s="6" cm="1">
        <f t="array" ref="AE34:AE38">(AD34:AD38-D34:D38)/D34:D38</f>
        <v>-0.48686984592252497</v>
      </c>
    </row>
    <row r="35" spans="1:31" x14ac:dyDescent="0.25">
      <c r="A35" t="s">
        <v>56</v>
      </c>
      <c r="B35" t="s">
        <v>59</v>
      </c>
      <c r="C35" t="s">
        <v>58</v>
      </c>
      <c r="D35">
        <v>49.606251</v>
      </c>
      <c r="E35">
        <v>48.567810000000001</v>
      </c>
      <c r="F35">
        <v>33.759365000000003</v>
      </c>
      <c r="G35">
        <v>31.519124999999999</v>
      </c>
      <c r="H35">
        <v>30.657119999999999</v>
      </c>
      <c r="I35">
        <v>33.825268000000001</v>
      </c>
      <c r="J35">
        <v>33.459327999999999</v>
      </c>
      <c r="K35">
        <v>33.023437999999999</v>
      </c>
      <c r="L35">
        <v>29.174686000000001</v>
      </c>
      <c r="M35">
        <v>26.136386999999999</v>
      </c>
      <c r="N35">
        <v>24.973821999999998</v>
      </c>
      <c r="O35">
        <v>22.237106000000001</v>
      </c>
      <c r="P35">
        <v>25.367483</v>
      </c>
      <c r="Q35">
        <v>25.013653000000001</v>
      </c>
      <c r="R35">
        <v>22.133472000000001</v>
      </c>
      <c r="S35">
        <v>18.170147</v>
      </c>
      <c r="T35">
        <v>18.544127</v>
      </c>
      <c r="U35">
        <v>18.964319</v>
      </c>
      <c r="V35">
        <v>18.250546</v>
      </c>
      <c r="W35">
        <v>18.420888999999999</v>
      </c>
      <c r="X35">
        <v>19.444925000000001</v>
      </c>
      <c r="Y35">
        <v>20.529029999999999</v>
      </c>
      <c r="Z35">
        <v>21.830746000000001</v>
      </c>
      <c r="AA35">
        <v>20.473403999999999</v>
      </c>
      <c r="AB35">
        <v>22.860308</v>
      </c>
      <c r="AC35">
        <v>23.266973</v>
      </c>
      <c r="AD35">
        <v>25.454457999999999</v>
      </c>
      <c r="AE35" s="6">
        <v>-0.4868699511277319</v>
      </c>
    </row>
    <row r="36" spans="1:31" x14ac:dyDescent="0.25">
      <c r="A36" t="s">
        <v>56</v>
      </c>
      <c r="B36" t="s">
        <v>60</v>
      </c>
      <c r="C36" t="s">
        <v>58</v>
      </c>
      <c r="D36">
        <v>3.9709999999999997E-3</v>
      </c>
      <c r="E36">
        <v>4.0070000000000001E-3</v>
      </c>
      <c r="F36">
        <v>1.5200000000000001E-3</v>
      </c>
      <c r="G36">
        <v>1.5839999999999999E-3</v>
      </c>
      <c r="H36">
        <v>1.8309999999999999E-3</v>
      </c>
      <c r="I36">
        <v>2.3259999999999999E-3</v>
      </c>
      <c r="J36">
        <v>1.678E-3</v>
      </c>
      <c r="K36">
        <v>8.1999999999999998E-4</v>
      </c>
      <c r="L36">
        <v>5.5000000000000002E-5</v>
      </c>
      <c r="M36">
        <v>6.6000000000000005E-5</v>
      </c>
      <c r="N36">
        <v>7.2000000000000002E-5</v>
      </c>
      <c r="O36">
        <v>8.3999999999999995E-5</v>
      </c>
      <c r="P36">
        <v>1.0399999999999999E-4</v>
      </c>
      <c r="Q36">
        <v>1.84E-4</v>
      </c>
      <c r="R36">
        <v>2.8400000000000002E-4</v>
      </c>
      <c r="S36">
        <v>7.0899999999999999E-4</v>
      </c>
      <c r="T36">
        <v>7.4399999999999998E-4</v>
      </c>
      <c r="U36">
        <v>7.7800000000000005E-4</v>
      </c>
      <c r="V36">
        <v>8.1499999999999997E-4</v>
      </c>
      <c r="W36">
        <v>8.5300000000000003E-4</v>
      </c>
      <c r="X36">
        <v>8.7299999999999997E-4</v>
      </c>
      <c r="Y36">
        <v>8.92E-4</v>
      </c>
      <c r="Z36">
        <v>9.1100000000000003E-4</v>
      </c>
      <c r="AA36">
        <v>9.2500000000000004E-4</v>
      </c>
      <c r="AB36">
        <v>9.3999999999999997E-4</v>
      </c>
      <c r="AC36">
        <v>9.41E-4</v>
      </c>
      <c r="AD36">
        <v>9.4799999999999995E-4</v>
      </c>
      <c r="AE36" s="6">
        <v>-0.76126920171241497</v>
      </c>
    </row>
    <row r="37" spans="1:31" x14ac:dyDescent="0.25">
      <c r="A37" t="s">
        <v>56</v>
      </c>
      <c r="B37" t="s">
        <v>61</v>
      </c>
      <c r="C37" t="s">
        <v>58</v>
      </c>
      <c r="D37">
        <v>3.9980000000000002E-2</v>
      </c>
      <c r="E37">
        <v>4.1401E-2</v>
      </c>
      <c r="F37">
        <v>2.0466000000000002E-2</v>
      </c>
      <c r="G37">
        <v>2.0944999999999998E-2</v>
      </c>
      <c r="H37">
        <v>2.0910999999999999E-2</v>
      </c>
      <c r="I37">
        <v>2.2877000000000002E-2</v>
      </c>
      <c r="J37">
        <v>2.3341000000000001E-2</v>
      </c>
      <c r="K37">
        <v>1.9913E-2</v>
      </c>
      <c r="L37">
        <v>1.2818E-2</v>
      </c>
      <c r="M37">
        <v>1.1508000000000001E-2</v>
      </c>
      <c r="N37">
        <v>1.0076E-2</v>
      </c>
      <c r="O37">
        <v>8.5159999999999993E-3</v>
      </c>
      <c r="P37">
        <v>1.0345E-2</v>
      </c>
      <c r="Q37">
        <v>9.8119999999999995E-3</v>
      </c>
      <c r="R37">
        <v>9.4769999999999993E-3</v>
      </c>
      <c r="S37">
        <v>7.8580000000000004E-3</v>
      </c>
      <c r="T37">
        <v>8.0960000000000008E-3</v>
      </c>
      <c r="U37">
        <v>8.0850000000000002E-3</v>
      </c>
      <c r="V37">
        <v>7.8630000000000002E-3</v>
      </c>
      <c r="W37">
        <v>7.8919999999999997E-3</v>
      </c>
      <c r="X37">
        <v>8.2920000000000008E-3</v>
      </c>
      <c r="Y37">
        <v>7.5799999999999999E-3</v>
      </c>
      <c r="Z37">
        <v>7.4539999999999997E-3</v>
      </c>
      <c r="AA37">
        <v>7.1910000000000003E-3</v>
      </c>
      <c r="AB37">
        <v>7.7200000000000003E-3</v>
      </c>
      <c r="AC37">
        <v>7.4650000000000003E-3</v>
      </c>
      <c r="AD37">
        <v>8.1200000000000005E-3</v>
      </c>
      <c r="AE37" s="6">
        <v>-0.79689844922461228</v>
      </c>
    </row>
    <row r="38" spans="1:31" x14ac:dyDescent="0.25">
      <c r="A38" t="s">
        <v>56</v>
      </c>
      <c r="B38" t="s">
        <v>62</v>
      </c>
      <c r="C38" t="s">
        <v>63</v>
      </c>
      <c r="D38">
        <v>5.6863999999999998E-2</v>
      </c>
      <c r="E38">
        <v>6.1955000000000003E-2</v>
      </c>
      <c r="F38">
        <v>1.5459000000000001E-2</v>
      </c>
      <c r="G38">
        <v>1.7260999999999999E-2</v>
      </c>
      <c r="H38">
        <v>2.1739000000000001E-2</v>
      </c>
      <c r="I38">
        <v>2.7185000000000001E-2</v>
      </c>
      <c r="J38">
        <v>1.9366000000000001E-2</v>
      </c>
      <c r="K38">
        <v>8.8889999999999993E-3</v>
      </c>
      <c r="L38">
        <v>3.0000000000000001E-6</v>
      </c>
      <c r="M38">
        <v>3.0000000000000001E-6</v>
      </c>
      <c r="N38">
        <v>3.0000000000000001E-6</v>
      </c>
      <c r="O38">
        <v>3.0000000000000001E-6</v>
      </c>
      <c r="P38">
        <v>3.0000000000000001E-6</v>
      </c>
      <c r="Q38">
        <v>1.9999999999999999E-6</v>
      </c>
      <c r="R38">
        <v>9.9999999999999995E-7</v>
      </c>
      <c r="S38">
        <v>3.0000000000000001E-6</v>
      </c>
      <c r="T38">
        <v>1.9999999999999999E-6</v>
      </c>
      <c r="U38">
        <v>1.9999999999999999E-6</v>
      </c>
      <c r="V38">
        <v>1.9999999999999999E-6</v>
      </c>
      <c r="W38">
        <v>1.9999999999999999E-6</v>
      </c>
      <c r="X38">
        <v>1.9999999999999999E-6</v>
      </c>
      <c r="Y38">
        <v>1.9999999999999999E-6</v>
      </c>
      <c r="Z38">
        <v>1.9999999999999999E-6</v>
      </c>
      <c r="AA38">
        <v>0</v>
      </c>
      <c r="AB38">
        <v>0</v>
      </c>
      <c r="AC38">
        <v>0</v>
      </c>
      <c r="AD38">
        <v>1.9999999999999999E-6</v>
      </c>
      <c r="AE38" s="6">
        <v>-0.99996482836240852</v>
      </c>
    </row>
    <row r="39" spans="1:31" x14ac:dyDescent="0.25">
      <c r="A39" t="s">
        <v>64</v>
      </c>
      <c r="B39" t="s">
        <v>65</v>
      </c>
      <c r="C39" t="s">
        <v>70</v>
      </c>
      <c r="D39" s="4" cm="1">
        <f t="array" ref="D39:D42">907185*D34:D37*10^6/(D17*10^9)</f>
        <v>80.095660538428632</v>
      </c>
      <c r="E39" s="4" cm="1">
        <f t="array" ref="E39:E42">907185*E34:E37*10^6/(E17*10^9)</f>
        <v>77.037936090294323</v>
      </c>
      <c r="F39" s="4" cm="1">
        <f t="array" ref="F39:F42">907185*F34:F37*10^6/(F17*10^9)</f>
        <v>53.370579045722017</v>
      </c>
      <c r="G39" s="4" cm="1">
        <f t="array" ref="G39:G42">907185*G34:G37*10^6/(G17*10^9)</f>
        <v>49.033466105745013</v>
      </c>
      <c r="H39" s="4" cm="1">
        <f t="array" ref="H39:H42">907185*H34:H37*10^6/(H17*10^9)</f>
        <v>48.575764236199838</v>
      </c>
      <c r="I39" s="4" cm="1">
        <f t="array" ref="I39:I42">907185*I34:I37*10^6/(I17*10^9)</f>
        <v>52.281983201250227</v>
      </c>
      <c r="J39" s="4" cm="1">
        <f t="array" ref="J39:J42">907185*J34:J37*10^6/(J17*10^9)</f>
        <v>50.418383719780834</v>
      </c>
      <c r="K39" s="4" cm="1">
        <f t="array" ref="K39:K42">907185*K34:K37*10^6/(K17*10^9)</f>
        <v>47.486292911967219</v>
      </c>
      <c r="L39" s="4" cm="1">
        <f t="array" ref="L39:L42">907185*L34:L37*10^6/(L17*10^9)</f>
        <v>40.588215373570918</v>
      </c>
      <c r="M39" s="4" cm="1">
        <f t="array" ref="M39:M42">907185*M34:M37*10^6/(M17*10^9)</f>
        <v>34.783977986024851</v>
      </c>
      <c r="N39" s="4" cm="1">
        <f t="array" ref="N39:N42">907185*N34:N37*10^6/(N17*10^9)</f>
        <v>31.446066624837808</v>
      </c>
      <c r="O39" s="4" cm="1">
        <f t="array" ref="O39:O42">907185*O34:O37*10^6/(O17*10^9)</f>
        <v>27.305325248425468</v>
      </c>
      <c r="P39" s="4" cm="1">
        <f t="array" ref="P39:P42">907185*P34:P37*10^6/(P17*10^9)</f>
        <v>30.055614609509902</v>
      </c>
      <c r="Q39" s="4" cm="1">
        <f t="array" ref="Q39:Q42">907185*Q34:Q37*10^6/(Q17*10^9)</f>
        <v>29.340346323493396</v>
      </c>
      <c r="R39" s="4" cm="1">
        <f t="array" ref="R39:R42">907185*R34:R37*10^6/(R17*10^9)</f>
        <v>26.493100776391277</v>
      </c>
      <c r="S39" s="4" cm="1">
        <f t="array" ref="S39:S42">907185*S34:S37*10^6/(S17*10^9)</f>
        <v>22.402439010178874</v>
      </c>
      <c r="T39" s="4" cm="1">
        <f t="array" ref="T39:T42">907185*T34:T37*10^6/(T17*10^9)</f>
        <v>22.216005031861641</v>
      </c>
      <c r="U39" s="4" cm="1">
        <f t="array" ref="U39:U42">907185*U34:U37*10^6/(U17*10^9)</f>
        <v>21.660317005279772</v>
      </c>
      <c r="V39" s="4" cm="1">
        <f t="array" ref="V39:V42">907185*V34:V37*10^6/(V17*10^9)</f>
        <v>20.962279890685579</v>
      </c>
      <c r="W39" s="4" cm="1">
        <f t="array" ref="W39:W42">907185*W34:W37*10^6/(W17*10^9)</f>
        <v>21.419265393697017</v>
      </c>
      <c r="X39" s="4" cm="1">
        <f t="array" ref="X39:X42">907185*X34:X37*10^6/(X17*10^9)</f>
        <v>21.475171015501989</v>
      </c>
      <c r="Y39" s="4" cm="1">
        <f t="array" ref="Y39:Y42">907185*Y34:Y37*10^6/(Y17*10^9)</f>
        <v>22.102280321994829</v>
      </c>
      <c r="Z39" s="4" cm="1">
        <f t="array" ref="Z39:Z42">907185*Z34:Z37*10^6/(Z17*10^9)</f>
        <v>23.011164733807007</v>
      </c>
      <c r="AA39" s="4" cm="1">
        <f t="array" ref="AA39:AA42">907185*AA34:AA37*10^6/(AA17*10^9)</f>
        <v>22.164851740498591</v>
      </c>
      <c r="AB39" s="4" cm="1">
        <f t="array" ref="AB39:AB42">907185*AB34:AB37*10^6/(AB17*10^9)</f>
        <v>24.287190951821977</v>
      </c>
      <c r="AC39" s="4" cm="1">
        <f t="array" ref="AC39:AC42">907185*AC34:AC37*10^6/(AC17*10^9)</f>
        <v>23.436181821051644</v>
      </c>
      <c r="AD39" s="4" cm="1">
        <f t="array" ref="AD39:AD42">907185*AD34:AD37*10^6/(AD17*10^9)</f>
        <v>24.55197840918197</v>
      </c>
      <c r="AE39" s="6" cm="1">
        <f t="array" ref="AE39:AE43">(AD39:AD43-D39:D43)/D39:D43</f>
        <v>-0.69346680901142799</v>
      </c>
    </row>
    <row r="40" spans="1:31" x14ac:dyDescent="0.25">
      <c r="A40" t="s">
        <v>64</v>
      </c>
      <c r="B40" t="s">
        <v>66</v>
      </c>
      <c r="C40" t="s">
        <v>70</v>
      </c>
      <c r="D40" s="4">
        <v>293.68418731267229</v>
      </c>
      <c r="E40" s="4">
        <v>282.47246141129318</v>
      </c>
      <c r="F40" s="4">
        <v>195.69215601548731</v>
      </c>
      <c r="G40" s="4">
        <v>179.78931297559089</v>
      </c>
      <c r="H40" s="4">
        <v>178.11112972295246</v>
      </c>
      <c r="I40" s="4">
        <v>191.70079398406202</v>
      </c>
      <c r="J40" s="4">
        <v>184.86749353306672</v>
      </c>
      <c r="K40" s="4">
        <v>174.11639152635124</v>
      </c>
      <c r="L40" s="4">
        <v>148.82342916381324</v>
      </c>
      <c r="M40" s="4">
        <v>127.541280267828</v>
      </c>
      <c r="N40" s="4">
        <v>115.30228430442929</v>
      </c>
      <c r="O40" s="4">
        <v>100.1195469219257</v>
      </c>
      <c r="P40" s="4">
        <v>110.20395933357067</v>
      </c>
      <c r="Q40" s="4">
        <v>107.58122827743932</v>
      </c>
      <c r="R40" s="4">
        <v>97.14139292085261</v>
      </c>
      <c r="S40" s="4">
        <v>82.142270343020158</v>
      </c>
      <c r="T40" s="4">
        <v>81.458655832206389</v>
      </c>
      <c r="U40" s="4">
        <v>79.421131641247911</v>
      </c>
      <c r="V40" s="4">
        <v>76.861687317216038</v>
      </c>
      <c r="W40" s="4">
        <v>78.537303601228075</v>
      </c>
      <c r="X40" s="4">
        <v>78.742313971030484</v>
      </c>
      <c r="Y40" s="4">
        <v>81.041685302768144</v>
      </c>
      <c r="Z40" s="4">
        <v>84.374268114006838</v>
      </c>
      <c r="AA40" s="4">
        <v>81.271161421265035</v>
      </c>
      <c r="AB40" s="4">
        <v>89.053011415344955</v>
      </c>
      <c r="AC40" s="4">
        <v>85.932667908300203</v>
      </c>
      <c r="AD40" s="4">
        <v>90.023932622556046</v>
      </c>
      <c r="AE40" s="6">
        <v>-0.69346687185881195</v>
      </c>
    </row>
    <row r="41" spans="1:31" x14ac:dyDescent="0.25">
      <c r="A41" t="s">
        <v>64</v>
      </c>
      <c r="B41" t="s">
        <v>67</v>
      </c>
      <c r="C41" t="s">
        <v>70</v>
      </c>
      <c r="D41" s="4">
        <v>2.3509535276484039E-2</v>
      </c>
      <c r="E41" s="4">
        <v>2.3304883478893774E-2</v>
      </c>
      <c r="F41" s="4">
        <v>8.8109500028670778E-3</v>
      </c>
      <c r="G41" s="4">
        <v>9.0353482767474031E-3</v>
      </c>
      <c r="H41" s="4">
        <v>1.0637707603412387E-2</v>
      </c>
      <c r="I41" s="4">
        <v>1.3182335962775764E-2</v>
      </c>
      <c r="J41" s="4">
        <v>9.2711860246710871E-3</v>
      </c>
      <c r="K41" s="4">
        <v>4.3234578135567846E-3</v>
      </c>
      <c r="L41" s="4">
        <v>2.8056132648727485E-4</v>
      </c>
      <c r="M41" s="4">
        <v>3.2206917113970844E-4</v>
      </c>
      <c r="N41" s="4">
        <v>3.3241866102508896E-4</v>
      </c>
      <c r="O41" s="4">
        <v>3.78198581301081E-4</v>
      </c>
      <c r="P41" s="4">
        <v>4.5180721203957636E-4</v>
      </c>
      <c r="Q41" s="4">
        <v>7.9136565950798288E-4</v>
      </c>
      <c r="R41" s="4">
        <v>1.2464450037265795E-3</v>
      </c>
      <c r="S41" s="4">
        <v>3.2051952949638377E-3</v>
      </c>
      <c r="T41" s="4">
        <v>3.2681635506034636E-3</v>
      </c>
      <c r="U41" s="4">
        <v>3.2582050753781817E-3</v>
      </c>
      <c r="V41" s="4">
        <v>3.4323507452068049E-3</v>
      </c>
      <c r="W41" s="4">
        <v>3.6367582461328302E-3</v>
      </c>
      <c r="X41" s="4">
        <v>3.5352175488827862E-3</v>
      </c>
      <c r="Y41" s="4">
        <v>3.5213150981838492E-3</v>
      </c>
      <c r="Z41" s="4">
        <v>3.5209496849929107E-3</v>
      </c>
      <c r="AA41" s="4">
        <v>3.6718771492356699E-3</v>
      </c>
      <c r="AB41" s="4">
        <v>3.6617980269742756E-3</v>
      </c>
      <c r="AC41" s="4">
        <v>3.4754258966867109E-3</v>
      </c>
      <c r="AD41" s="4">
        <v>3.3527599812254159E-3</v>
      </c>
      <c r="AE41" s="6">
        <v>-0.85738722855236127</v>
      </c>
    </row>
    <row r="42" spans="1:31" x14ac:dyDescent="0.25">
      <c r="A42" t="s">
        <v>64</v>
      </c>
      <c r="B42" t="s">
        <v>68</v>
      </c>
      <c r="C42" t="s">
        <v>70</v>
      </c>
      <c r="D42" s="4">
        <v>0.23669383539507224</v>
      </c>
      <c r="E42" s="4">
        <v>0.24078998774885976</v>
      </c>
      <c r="F42" s="4">
        <v>0.11863480444649845</v>
      </c>
      <c r="G42" s="4">
        <v>0.11947308690433985</v>
      </c>
      <c r="H42" s="4">
        <v>0.12148831441559609</v>
      </c>
      <c r="I42" s="4">
        <v>0.12965275142752414</v>
      </c>
      <c r="J42" s="4">
        <v>0.12896230810598799</v>
      </c>
      <c r="K42" s="4">
        <v>0.10499148224555639</v>
      </c>
      <c r="L42" s="4">
        <v>6.5386092416616165E-2</v>
      </c>
      <c r="M42" s="4">
        <v>5.6157151840541882E-2</v>
      </c>
      <c r="N42" s="4">
        <v>4.652014484012218E-2</v>
      </c>
      <c r="O42" s="4">
        <v>3.8342132361428645E-2</v>
      </c>
      <c r="P42" s="4">
        <v>4.4941784697590553E-2</v>
      </c>
      <c r="Q42" s="4">
        <v>4.2200433973327858E-2</v>
      </c>
      <c r="R42" s="4">
        <v>4.1593518663087296E-2</v>
      </c>
      <c r="S42" s="4">
        <v>3.5523871125283268E-2</v>
      </c>
      <c r="T42" s="4">
        <v>3.556324207753446E-2</v>
      </c>
      <c r="U42" s="4">
        <v>3.3859367653512343E-2</v>
      </c>
      <c r="V42" s="4">
        <v>3.3114814612958413E-2</v>
      </c>
      <c r="W42" s="4">
        <v>3.3647474886846766E-2</v>
      </c>
      <c r="X42" s="4">
        <v>3.357849245742963E-2</v>
      </c>
      <c r="Y42" s="4">
        <v>2.9923283009230469E-2</v>
      </c>
      <c r="Z42" s="4">
        <v>2.8809175578416189E-2</v>
      </c>
      <c r="AA42" s="4">
        <v>2.8545371438004008E-2</v>
      </c>
      <c r="AB42" s="4">
        <v>3.0073490178980224E-2</v>
      </c>
      <c r="AC42" s="4">
        <v>2.757072722504389E-2</v>
      </c>
      <c r="AD42" s="4">
        <v>2.8717733172521499E-2</v>
      </c>
      <c r="AE42" s="6">
        <v>-0.87867139368210445</v>
      </c>
    </row>
    <row r="43" spans="1:31" x14ac:dyDescent="0.25">
      <c r="A43" t="s">
        <v>64</v>
      </c>
      <c r="B43" t="s">
        <v>69</v>
      </c>
      <c r="C43" t="s">
        <v>70</v>
      </c>
      <c r="D43" s="5">
        <f>907185*D38/(D17*10^9)</f>
        <v>3.3665228253890413E-7</v>
      </c>
      <c r="E43" s="5">
        <f>907185*E38/(E17*10^9)</f>
        <v>3.6033293135384668E-7</v>
      </c>
      <c r="F43" s="5">
        <f>907185*F38/(F17*10^9)</f>
        <v>8.961083953573826E-8</v>
      </c>
      <c r="G43" s="5">
        <f>907185*G38/(G17*10^9)</f>
        <v>9.8459057200086431E-8</v>
      </c>
      <c r="H43" s="5">
        <f>907185*H38/(H17*10^9)</f>
        <v>1.2629881244706822E-7</v>
      </c>
      <c r="I43" s="5">
        <f>907185*I38/(I17*10^9)</f>
        <v>1.540678431418999E-7</v>
      </c>
      <c r="J43" s="5">
        <f>907185*J38/(J17*10^9)</f>
        <v>1.06999873989142E-7</v>
      </c>
      <c r="K43" s="5">
        <f>907185*K38/(K17*10^9)</f>
        <v>4.6867337200861287E-8</v>
      </c>
      <c r="L43" s="5">
        <f>907185*L38/(L17*10^9)</f>
        <v>1.5303345081124084E-11</v>
      </c>
      <c r="M43" s="5">
        <f>907185*M38/(M17*10^9)</f>
        <v>1.4639507779077653E-11</v>
      </c>
      <c r="N43" s="5">
        <f>907185*N38/(N17*10^9)</f>
        <v>1.3850777542712042E-11</v>
      </c>
      <c r="O43" s="5">
        <f>907185*O38/(O17*10^9)</f>
        <v>1.3507092189324323E-11</v>
      </c>
      <c r="P43" s="5">
        <f>907185*P38/(P17*10^9)</f>
        <v>1.3032900347295471E-11</v>
      </c>
      <c r="Q43" s="5">
        <f>907185*Q38/(Q17*10^9)</f>
        <v>8.6018006468258999E-12</v>
      </c>
      <c r="R43" s="5">
        <f>907185*R38/(R17*10^9)</f>
        <v>4.3888908581921803E-12</v>
      </c>
      <c r="S43" s="5">
        <f>907185*S38/(S17*10^9)</f>
        <v>1.3562180373612853E-11</v>
      </c>
      <c r="T43" s="5">
        <f>907185*T38/(T17*10^9)</f>
        <v>8.7853858887189868E-12</v>
      </c>
      <c r="U43" s="5">
        <f>907185*U38/(U17*10^9)</f>
        <v>8.3758485228230881E-12</v>
      </c>
      <c r="V43" s="5">
        <f>907185*V38/(V17*10^9)</f>
        <v>8.4229466140044293E-12</v>
      </c>
      <c r="W43" s="5">
        <f>907185*W38/(W17*10^9)</f>
        <v>8.5269829921051106E-12</v>
      </c>
      <c r="X43" s="5">
        <f>907185*X38/(X17*10^9)</f>
        <v>8.0990092757910325E-12</v>
      </c>
      <c r="Y43" s="5">
        <f>907185*Y38/(Y17*10^9)</f>
        <v>7.8953253322507827E-12</v>
      </c>
      <c r="Z43" s="5">
        <f>907185*Z38/(Z17*10^9)</f>
        <v>7.7298566081073765E-12</v>
      </c>
      <c r="AA43" s="5">
        <f>907185*AA38/(AA17*10^9)</f>
        <v>0</v>
      </c>
      <c r="AB43" s="5">
        <f>907185*AB38/(AB17*10^9)</f>
        <v>0</v>
      </c>
      <c r="AC43" s="5">
        <f>907185*AC38/(AC17*10^9)</f>
        <v>0</v>
      </c>
      <c r="AD43" s="5">
        <f>907185*AD38/(AD17*10^9)</f>
        <v>7.0733332937245066E-12</v>
      </c>
      <c r="AE43" s="6">
        <v>-0.99997898920143835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FRCC</vt:lpstr>
      <vt:lpstr>ISNE</vt:lpstr>
      <vt:lpstr>NYCW</vt:lpstr>
      <vt:lpstr>PJMC</vt:lpstr>
      <vt:lpstr>PJMD</vt:lpstr>
      <vt:lpstr>PJME</vt:lpstr>
      <vt:lpstr>SRCE</vt:lpstr>
      <vt:lpstr>SRSE</vt:lpstr>
      <vt:lpstr>TRE</vt:lpstr>
      <vt:lpstr>BASN</vt:lpstr>
      <vt:lpstr>CANO</vt:lpstr>
      <vt:lpstr>CASO</vt:lpstr>
      <vt:lpstr>RMRG</vt:lpstr>
      <vt:lpstr>SRSG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Aboud Beroual</cp:lastModifiedBy>
  <dcterms:created xsi:type="dcterms:W3CDTF">2025-06-17T15:59:50Z</dcterms:created>
  <dcterms:modified xsi:type="dcterms:W3CDTF">2025-07-07T23:04:50Z</dcterms:modified>
</cp:coreProperties>
</file>