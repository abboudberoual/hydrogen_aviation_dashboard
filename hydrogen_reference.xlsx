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boud\Desktop\hydrogen-dashboard\data\"/>
    </mc:Choice>
  </mc:AlternateContent>
  <xr:revisionPtr revIDLastSave="0" documentId="13_ncr:1_{935C3B86-2775-4246-AFAC-C0D85FB273D2}" xr6:coauthVersionLast="47" xr6:coauthVersionMax="47" xr10:uidLastSave="{00000000-0000-0000-0000-000000000000}"/>
  <bookViews>
    <workbookView xWindow="25500" yWindow="0" windowWidth="13005" windowHeight="20985" tabRatio="747" xr2:uid="{00000000-000D-0000-FFFF-FFFF00000000}"/>
  </bookViews>
  <sheets>
    <sheet name="East North Central" sheetId="1" r:id="rId1"/>
    <sheet name="East South Central" sheetId="2" r:id="rId2"/>
    <sheet name="Middle Atlantic" sheetId="3" r:id="rId3"/>
    <sheet name="Mountain" sheetId="4" r:id="rId4"/>
    <sheet name="New England" sheetId="5" r:id="rId5"/>
    <sheet name="Pacific" sheetId="6" r:id="rId6"/>
    <sheet name="South Atlantic" sheetId="7" r:id="rId7"/>
    <sheet name="West North Central" sheetId="8" r:id="rId8"/>
    <sheet name="West South Centr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2" i="2" l="1" a="1"/>
  <c r="AE22" i="2" s="1"/>
  <c r="AE21" i="2"/>
  <c r="AE16" i="2" a="1"/>
  <c r="AE16" i="2" s="1"/>
  <c r="AE15" i="2"/>
  <c r="AE10" i="2" a="1"/>
  <c r="AE10" i="2" s="1"/>
  <c r="AE7" i="2" a="1"/>
  <c r="AE7" i="2" s="1"/>
  <c r="AE2" i="2" a="1"/>
  <c r="AE2" i="2" s="1"/>
  <c r="AE22" i="3" a="1"/>
  <c r="AE22" i="3" s="1"/>
  <c r="AE21" i="3"/>
  <c r="AE16" i="3" a="1"/>
  <c r="AE16" i="3" s="1"/>
  <c r="AE15" i="3"/>
  <c r="AE10" i="3" a="1"/>
  <c r="AE10" i="3" s="1"/>
  <c r="AE7" i="3" a="1"/>
  <c r="AE7" i="3" s="1"/>
  <c r="AE2" i="3" a="1"/>
  <c r="AE2" i="3" s="1"/>
  <c r="AE22" i="4" a="1"/>
  <c r="AE22" i="4" s="1"/>
  <c r="AE21" i="4"/>
  <c r="AE16" i="4" a="1"/>
  <c r="AE16" i="4" s="1"/>
  <c r="AE15" i="4"/>
  <c r="AE10" i="4" a="1"/>
  <c r="AE10" i="4" s="1"/>
  <c r="AE7" i="4" a="1"/>
  <c r="AE7" i="4" s="1"/>
  <c r="AE2" i="4" a="1"/>
  <c r="AE2" i="4" s="1"/>
  <c r="AE22" i="5" a="1"/>
  <c r="AE22" i="5" s="1"/>
  <c r="AE21" i="5"/>
  <c r="AE16" i="5" a="1"/>
  <c r="AE16" i="5" s="1"/>
  <c r="AE15" i="5"/>
  <c r="AE10" i="5" a="1"/>
  <c r="AE10" i="5" s="1"/>
  <c r="AE7" i="5" a="1"/>
  <c r="AE7" i="5" s="1"/>
  <c r="AE2" i="5" a="1"/>
  <c r="AE2" i="5" s="1"/>
  <c r="AE22" i="6" a="1"/>
  <c r="AE22" i="6" s="1"/>
  <c r="AE21" i="6"/>
  <c r="AE16" i="6" a="1"/>
  <c r="AE16" i="6" s="1"/>
  <c r="AE15" i="6"/>
  <c r="AE10" i="6" a="1"/>
  <c r="AE10" i="6" s="1"/>
  <c r="AE7" i="6" a="1"/>
  <c r="AE7" i="6" s="1"/>
  <c r="AE2" i="6" a="1"/>
  <c r="AE2" i="6" s="1"/>
  <c r="AE22" i="7" a="1"/>
  <c r="AE22" i="7" s="1"/>
  <c r="AE21" i="7"/>
  <c r="AE16" i="7" a="1"/>
  <c r="AE16" i="7" s="1"/>
  <c r="AE15" i="7"/>
  <c r="AE10" i="7" a="1"/>
  <c r="AE10" i="7" s="1"/>
  <c r="AE7" i="7" a="1"/>
  <c r="AE7" i="7" s="1"/>
  <c r="AE2" i="7" a="1"/>
  <c r="AE2" i="7" s="1"/>
  <c r="AE22" i="8" a="1"/>
  <c r="AE22" i="8" s="1"/>
  <c r="AE21" i="8"/>
  <c r="AE16" i="8" a="1"/>
  <c r="AE16" i="8" s="1"/>
  <c r="AE15" i="8"/>
  <c r="AE10" i="8" a="1"/>
  <c r="AE10" i="8" s="1"/>
  <c r="AE7" i="8" a="1"/>
  <c r="AE7" i="8" s="1"/>
  <c r="AE2" i="8" a="1"/>
  <c r="AE2" i="8" s="1"/>
  <c r="AE22" i="9" a="1"/>
  <c r="AE22" i="9" s="1"/>
  <c r="AE21" i="9"/>
  <c r="AE16" i="9" a="1"/>
  <c r="AE16" i="9" s="1"/>
  <c r="AE15" i="9"/>
  <c r="AE10" i="9" a="1"/>
  <c r="AE10" i="9" s="1"/>
  <c r="AE7" i="9" a="1"/>
  <c r="AE7" i="9" s="1"/>
  <c r="AE2" i="9" a="1"/>
  <c r="AE2" i="9" s="1"/>
  <c r="AE22" i="1" a="1"/>
  <c r="AE22" i="1" s="1"/>
  <c r="AE21" i="1"/>
  <c r="AE16" i="1" a="1"/>
  <c r="AE16" i="1" s="1"/>
  <c r="AE15" i="1"/>
  <c r="AE10" i="1" a="1"/>
  <c r="AE10" i="1" s="1"/>
  <c r="AE7" i="1" a="1"/>
  <c r="AE7" i="1" s="1"/>
  <c r="AE2" i="1" a="1"/>
  <c r="A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<sst xmlns="http://schemas.openxmlformats.org/spreadsheetml/2006/main" count="656" uniqueCount="32">
  <si>
    <t>units</t>
  </si>
  <si>
    <t>Growth (2024-2050)</t>
  </si>
  <si>
    <t>Steam Methane Reforming</t>
  </si>
  <si>
    <t>TBtu</t>
  </si>
  <si>
    <t>Steam Methane Reforming with CCS</t>
  </si>
  <si>
    <t>Electrolysis</t>
  </si>
  <si>
    <t>Byproduct Hydrogen Supply to Market</t>
  </si>
  <si>
    <t>Total Hydrogen Supply</t>
  </si>
  <si>
    <t>Total Consumption by Fuel</t>
  </si>
  <si>
    <t>Natural Gas</t>
  </si>
  <si>
    <t>Purchased electricity</t>
  </si>
  <si>
    <t>Total Energy Consumed in H2 Production</t>
  </si>
  <si>
    <t>Feedstock</t>
  </si>
  <si>
    <t>Heat and Power</t>
  </si>
  <si>
    <t>Purchased Electricity</t>
  </si>
  <si>
    <t>Total-Steam Methane Reforming (with and without CCS)</t>
  </si>
  <si>
    <t>Consumption (H2) by Sector</t>
  </si>
  <si>
    <t>Industrial Feedstock</t>
  </si>
  <si>
    <t>Refinery</t>
  </si>
  <si>
    <t>Bulk Chemicals and Other Industrial</t>
  </si>
  <si>
    <t>Transportation</t>
  </si>
  <si>
    <t>Electric Power</t>
  </si>
  <si>
    <t>Prices</t>
  </si>
  <si>
    <t>2024 $/MMBtu</t>
  </si>
  <si>
    <t>H2 Average Market Spot Price ($/MMBtu)</t>
  </si>
  <si>
    <t>Delivered End-Use Prices ($/MMBtu)</t>
  </si>
  <si>
    <t>Industrial</t>
  </si>
  <si>
    <t>Energy Consumption by SMR (w &amp; w/o CCS) by fuel type</t>
  </si>
  <si>
    <t>Energy Consumption by electrolysis by fuel type</t>
  </si>
  <si>
    <t>Category</t>
  </si>
  <si>
    <t>Description</t>
  </si>
  <si>
    <t>H2 Production By Technology (Tbtu)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</si>
</sst>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 applyFont="1" applyBorder="1"/>
    <xf numFmtId="0" fontId="1" fillId="0" borderId="0" xfId="1" applyNumberFormat="1" applyFont="1" applyBorder="1"/>
    <xf numFmtId="0" fontId="2" fillId="0" borderId="0" xfId="0" applyNumberFormat="1" applyFont="1" applyBorder="1"/>
    <xf numFmtId="0" fontId="0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workbookViewId="0">
      <selection sqref="A1:XFD1"/>
    </sheetView>
  </sheetViews>
  <sheetFormatPr defaultColWidth="9.140625" defaultRowHeight="15" x14ac:dyDescent="0.25"/>
  <cols>
    <col min="1" max="1" width="51.5703125" style="1" bestFit="1" customWidth="1"/>
    <col min="2" max="2" width="65.7109375" style="1" bestFit="1" customWidth="1"/>
    <col min="3" max="3" width="13.85546875" style="1" bestFit="1" customWidth="1"/>
    <col min="4" max="4" width="11" style="1" bestFit="1" customWidth="1"/>
    <col min="5" max="5" width="9.140625" style="1"/>
    <col min="6" max="6" width="11" style="1" bestFit="1" customWidth="1"/>
    <col min="7" max="30" width="9.140625" style="1"/>
    <col min="31" max="31" width="17.5703125" style="1" bestFit="1" customWidth="1"/>
    <col min="32" max="16384" width="9.140625" style="1"/>
  </cols>
  <sheetData>
    <row r="1" spans="1:31" s="4" customFormat="1" ht="15.75" thickBot="1" x14ac:dyDescent="0.3">
      <c r="A1" s="4" t="s">
        <v>29</v>
      </c>
      <c r="B1" s="4" t="s">
        <v>30</v>
      </c>
      <c r="C1" s="4" t="s">
        <v>0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  <c r="O1" s="4">
        <v>2035</v>
      </c>
      <c r="P1" s="4">
        <v>2036</v>
      </c>
      <c r="Q1" s="4">
        <v>2037</v>
      </c>
      <c r="R1" s="4">
        <v>2038</v>
      </c>
      <c r="S1" s="4">
        <v>2039</v>
      </c>
      <c r="T1" s="4">
        <v>2040</v>
      </c>
      <c r="U1" s="4">
        <v>2041</v>
      </c>
      <c r="V1" s="4">
        <v>2042</v>
      </c>
      <c r="W1" s="4">
        <v>2043</v>
      </c>
      <c r="X1" s="4">
        <v>2044</v>
      </c>
      <c r="Y1" s="4">
        <v>2045</v>
      </c>
      <c r="Z1" s="4">
        <v>2046</v>
      </c>
      <c r="AA1" s="4">
        <v>2047</v>
      </c>
      <c r="AB1" s="4">
        <v>2048</v>
      </c>
      <c r="AC1" s="4">
        <v>2049</v>
      </c>
      <c r="AD1" s="4">
        <v>2050</v>
      </c>
      <c r="AE1" s="4" t="s">
        <v>1</v>
      </c>
    </row>
    <row r="2" spans="1:31" ht="15.75" thickTop="1" x14ac:dyDescent="0.25">
      <c r="A2" s="1" t="s">
        <v>31</v>
      </c>
      <c r="B2" s="1" t="s">
        <v>2</v>
      </c>
      <c r="C2" s="1" t="s">
        <v>3</v>
      </c>
      <c r="D2" s="1">
        <v>68.777503999999993</v>
      </c>
      <c r="E2" s="1">
        <v>71.756157000000002</v>
      </c>
      <c r="F2" s="1">
        <v>53.841816000000001</v>
      </c>
      <c r="G2" s="1">
        <v>56.176819000000002</v>
      </c>
      <c r="H2" s="1">
        <v>57.607154999999999</v>
      </c>
      <c r="I2" s="1">
        <v>60.290661</v>
      </c>
      <c r="J2" s="1">
        <v>63.19455</v>
      </c>
      <c r="K2" s="1">
        <v>68.535019000000005</v>
      </c>
      <c r="L2" s="1">
        <v>73.535438999999997</v>
      </c>
      <c r="M2" s="1">
        <v>72.565582000000006</v>
      </c>
      <c r="N2" s="1">
        <v>71.641457000000003</v>
      </c>
      <c r="O2" s="1">
        <v>70.819946000000002</v>
      </c>
      <c r="P2" s="1">
        <v>79.081230000000005</v>
      </c>
      <c r="Q2" s="1">
        <v>87.996948000000003</v>
      </c>
      <c r="R2" s="1">
        <v>116.58167299999999</v>
      </c>
      <c r="S2" s="1">
        <v>124.121269</v>
      </c>
      <c r="T2" s="1">
        <v>131.02732800000001</v>
      </c>
      <c r="U2" s="1">
        <v>136.82074</v>
      </c>
      <c r="V2" s="1">
        <v>142.540955</v>
      </c>
      <c r="W2" s="1">
        <v>147.006226</v>
      </c>
      <c r="X2" s="1">
        <v>156.62706</v>
      </c>
      <c r="Y2" s="1">
        <v>171.51998900000001</v>
      </c>
      <c r="Z2" s="1">
        <v>186.270309</v>
      </c>
      <c r="AA2" s="1">
        <v>199.972137</v>
      </c>
      <c r="AB2" s="1">
        <v>203.59504699999999</v>
      </c>
      <c r="AC2" s="1">
        <v>207.15837099999999</v>
      </c>
      <c r="AD2" s="1">
        <v>210.045197</v>
      </c>
      <c r="AE2" s="2" cm="1">
        <f t="array" ref="AE2:AE6">(AD2:AD6-D2:D6)/D2:D6</f>
        <v>2.0539810953302409</v>
      </c>
    </row>
    <row r="3" spans="1:31" x14ac:dyDescent="0.25">
      <c r="A3" s="1" t="s">
        <v>31</v>
      </c>
      <c r="B3" s="1" t="s">
        <v>4</v>
      </c>
      <c r="C3" s="1" t="s">
        <v>3</v>
      </c>
      <c r="D3" s="1">
        <v>0</v>
      </c>
      <c r="E3" s="1">
        <v>0</v>
      </c>
      <c r="F3" s="1">
        <v>22.532744999999998</v>
      </c>
      <c r="G3" s="1">
        <v>22.532744999999998</v>
      </c>
      <c r="H3" s="1">
        <v>22.532744999999998</v>
      </c>
      <c r="I3" s="1">
        <v>22.532744999999998</v>
      </c>
      <c r="J3" s="1">
        <v>22.532744999999998</v>
      </c>
      <c r="K3" s="1">
        <v>22.532744999999998</v>
      </c>
      <c r="L3" s="1">
        <v>28.267557</v>
      </c>
      <c r="M3" s="1">
        <v>39.856876</v>
      </c>
      <c r="N3" s="1">
        <v>51.649338</v>
      </c>
      <c r="O3" s="1">
        <v>61.868938</v>
      </c>
      <c r="P3" s="1">
        <v>61.868938</v>
      </c>
      <c r="Q3" s="1">
        <v>61.868938</v>
      </c>
      <c r="R3" s="1">
        <v>40.845275999999998</v>
      </c>
      <c r="S3" s="1">
        <v>40.180602999999998</v>
      </c>
      <c r="T3" s="1">
        <v>39.598861999999997</v>
      </c>
      <c r="U3" s="1">
        <v>39.336196999999999</v>
      </c>
      <c r="V3" s="1">
        <v>39.336196999999999</v>
      </c>
      <c r="W3" s="1">
        <v>39.336196999999999</v>
      </c>
      <c r="X3" s="1">
        <v>33.601382999999998</v>
      </c>
      <c r="Y3" s="1">
        <v>22.012063999999999</v>
      </c>
      <c r="Z3" s="1">
        <v>10.219602</v>
      </c>
      <c r="AA3" s="1">
        <v>0</v>
      </c>
      <c r="AB3" s="1">
        <v>0</v>
      </c>
      <c r="AC3" s="1">
        <v>0</v>
      </c>
      <c r="AD3" s="1">
        <v>0</v>
      </c>
      <c r="AE3" s="2" t="e">
        <v>#DIV/0!</v>
      </c>
    </row>
    <row r="4" spans="1:31" x14ac:dyDescent="0.25">
      <c r="A4" s="1" t="s">
        <v>31</v>
      </c>
      <c r="B4" s="1" t="s">
        <v>5</v>
      </c>
      <c r="C4" s="1" t="s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 t="e">
        <v>#DIV/0!</v>
      </c>
    </row>
    <row r="5" spans="1:31" x14ac:dyDescent="0.25">
      <c r="A5" s="1" t="s">
        <v>31</v>
      </c>
      <c r="B5" s="1" t="s">
        <v>6</v>
      </c>
      <c r="C5" s="1" t="s">
        <v>3</v>
      </c>
      <c r="D5" s="1">
        <v>60.016621000000001</v>
      </c>
      <c r="E5" s="1">
        <v>59.496746000000002</v>
      </c>
      <c r="F5" s="1">
        <v>59.309837000000002</v>
      </c>
      <c r="G5" s="1">
        <v>59.340691</v>
      </c>
      <c r="H5" s="1">
        <v>59.365498000000002</v>
      </c>
      <c r="I5" s="1">
        <v>59.422142000000001</v>
      </c>
      <c r="J5" s="1">
        <v>59.512656999999997</v>
      </c>
      <c r="K5" s="1">
        <v>59.563575999999998</v>
      </c>
      <c r="L5" s="1">
        <v>58.903008</v>
      </c>
      <c r="M5" s="1">
        <v>58.505603999999998</v>
      </c>
      <c r="N5" s="1">
        <v>56.694695000000003</v>
      </c>
      <c r="O5" s="1">
        <v>55.648738999999999</v>
      </c>
      <c r="P5" s="1">
        <v>54.942115999999999</v>
      </c>
      <c r="Q5" s="1">
        <v>53.316291999999997</v>
      </c>
      <c r="R5" s="1">
        <v>52.794331</v>
      </c>
      <c r="S5" s="1">
        <v>52.532547000000001</v>
      </c>
      <c r="T5" s="1">
        <v>52.069446999999997</v>
      </c>
      <c r="U5" s="1">
        <v>51.864609000000002</v>
      </c>
      <c r="V5" s="1">
        <v>51.393054999999997</v>
      </c>
      <c r="W5" s="1">
        <v>51.709735999999999</v>
      </c>
      <c r="X5" s="1">
        <v>52.071331000000001</v>
      </c>
      <c r="Y5" s="1">
        <v>52.623150000000003</v>
      </c>
      <c r="Z5" s="1">
        <v>52.764088000000001</v>
      </c>
      <c r="AA5" s="1">
        <v>52.334839000000002</v>
      </c>
      <c r="AB5" s="1">
        <v>51.855212999999999</v>
      </c>
      <c r="AC5" s="1">
        <v>51.137951000000001</v>
      </c>
      <c r="AD5" s="1">
        <v>50.602268000000002</v>
      </c>
      <c r="AE5" s="2">
        <v>-0.15686242982589771</v>
      </c>
    </row>
    <row r="6" spans="1:31" x14ac:dyDescent="0.25">
      <c r="A6" s="1" t="s">
        <v>31</v>
      </c>
      <c r="B6" s="1" t="s">
        <v>7</v>
      </c>
      <c r="C6" s="1" t="s">
        <v>3</v>
      </c>
      <c r="D6" s="1">
        <v>128.794128</v>
      </c>
      <c r="E6" s="1">
        <v>131.25289900000001</v>
      </c>
      <c r="F6" s="1">
        <v>135.68438699999999</v>
      </c>
      <c r="G6" s="1">
        <v>138.050262</v>
      </c>
      <c r="H6" s="1">
        <v>139.505402</v>
      </c>
      <c r="I6" s="1">
        <v>142.245544</v>
      </c>
      <c r="J6" s="1">
        <v>145.23996</v>
      </c>
      <c r="K6" s="1">
        <v>150.631348</v>
      </c>
      <c r="L6" s="1">
        <v>160.705994</v>
      </c>
      <c r="M6" s="1">
        <v>170.92806999999999</v>
      </c>
      <c r="N6" s="1">
        <v>179.98550399999999</v>
      </c>
      <c r="O6" s="1">
        <v>188.337616</v>
      </c>
      <c r="P6" s="1">
        <v>195.892303</v>
      </c>
      <c r="Q6" s="1">
        <v>203.18215900000001</v>
      </c>
      <c r="R6" s="1">
        <v>210.221283</v>
      </c>
      <c r="S6" s="1">
        <v>216.83442700000001</v>
      </c>
      <c r="T6" s="1">
        <v>222.69563299999999</v>
      </c>
      <c r="U6" s="1">
        <v>228.02153000000001</v>
      </c>
      <c r="V6" s="1">
        <v>233.270218</v>
      </c>
      <c r="W6" s="1">
        <v>238.052155</v>
      </c>
      <c r="X6" s="1">
        <v>242.299789</v>
      </c>
      <c r="Y6" s="1">
        <v>246.15519699999999</v>
      </c>
      <c r="Z6" s="1">
        <v>249.25401299999999</v>
      </c>
      <c r="AA6" s="1">
        <v>252.30697599999999</v>
      </c>
      <c r="AB6" s="1">
        <v>255.450256</v>
      </c>
      <c r="AC6" s="1">
        <v>258.29632600000002</v>
      </c>
      <c r="AD6" s="1">
        <v>260.64746100000002</v>
      </c>
      <c r="AE6" s="2">
        <v>1.0237526745008128</v>
      </c>
    </row>
    <row r="7" spans="1:31" x14ac:dyDescent="0.25">
      <c r="A7" s="1" t="s">
        <v>8</v>
      </c>
      <c r="B7" s="1" t="s">
        <v>9</v>
      </c>
      <c r="C7" s="1" t="s">
        <v>3</v>
      </c>
      <c r="D7" s="1">
        <v>94.433655000000002</v>
      </c>
      <c r="E7" s="1">
        <v>98.523444999999995</v>
      </c>
      <c r="F7" s="1">
        <v>106.96302</v>
      </c>
      <c r="G7" s="1">
        <v>110.169044</v>
      </c>
      <c r="H7" s="1">
        <v>112.132942</v>
      </c>
      <c r="I7" s="1">
        <v>115.817482</v>
      </c>
      <c r="J7" s="1">
        <v>119.80461099999999</v>
      </c>
      <c r="K7" s="1">
        <v>127.137253</v>
      </c>
      <c r="L7" s="1">
        <v>142.411102</v>
      </c>
      <c r="M7" s="1">
        <v>158.071213</v>
      </c>
      <c r="N7" s="1">
        <v>174.091949</v>
      </c>
      <c r="O7" s="1">
        <v>187.94752500000001</v>
      </c>
      <c r="P7" s="1">
        <v>199.290527</v>
      </c>
      <c r="Q7" s="1">
        <v>211.53207399999999</v>
      </c>
      <c r="R7" s="1">
        <v>219.955826</v>
      </c>
      <c r="S7" s="1">
        <v>229.33341999999999</v>
      </c>
      <c r="T7" s="1">
        <v>237.962738</v>
      </c>
      <c r="U7" s="1">
        <v>245.53213500000001</v>
      </c>
      <c r="V7" s="1">
        <v>253.3862</v>
      </c>
      <c r="W7" s="1">
        <v>259.51711999999998</v>
      </c>
      <c r="X7" s="1">
        <v>264.31872600000003</v>
      </c>
      <c r="Y7" s="1">
        <v>267.77542099999999</v>
      </c>
      <c r="Z7" s="1">
        <v>270.738495</v>
      </c>
      <c r="AA7" s="1">
        <v>274.567993</v>
      </c>
      <c r="AB7" s="1">
        <v>279.54235799999998</v>
      </c>
      <c r="AC7" s="1">
        <v>284.43490600000001</v>
      </c>
      <c r="AD7" s="1">
        <v>288.39865099999997</v>
      </c>
      <c r="AE7" s="2" cm="1">
        <f t="array" ref="AE7:AE9">(AD7:AD9-D7:D9)/D7:D9</f>
        <v>2.0539816657525325</v>
      </c>
    </row>
    <row r="8" spans="1:31" x14ac:dyDescent="0.25">
      <c r="A8" s="1" t="s">
        <v>8</v>
      </c>
      <c r="B8" s="1" t="s">
        <v>10</v>
      </c>
      <c r="C8" s="1" t="s">
        <v>3</v>
      </c>
      <c r="D8" s="1">
        <v>0.22937399999999999</v>
      </c>
      <c r="E8" s="1">
        <v>0.23930799999999999</v>
      </c>
      <c r="F8" s="1">
        <v>1.0404329999999999</v>
      </c>
      <c r="G8" s="1">
        <v>1.0482199999999999</v>
      </c>
      <c r="H8" s="1">
        <v>1.0529900000000001</v>
      </c>
      <c r="I8" s="1">
        <v>1.0619400000000001</v>
      </c>
      <c r="J8" s="1">
        <v>1.0716239999999999</v>
      </c>
      <c r="K8" s="1">
        <v>1.0894349999999999</v>
      </c>
      <c r="L8" s="1">
        <v>1.3252109999999999</v>
      </c>
      <c r="M8" s="1">
        <v>1.76475</v>
      </c>
      <c r="N8" s="1">
        <v>2.212202</v>
      </c>
      <c r="O8" s="1">
        <v>2.599904</v>
      </c>
      <c r="P8" s="1">
        <v>2.627456</v>
      </c>
      <c r="Q8" s="1">
        <v>2.6571899999999999</v>
      </c>
      <c r="R8" s="1">
        <v>1.949306</v>
      </c>
      <c r="S8" s="1">
        <v>1.949057</v>
      </c>
      <c r="T8" s="1">
        <v>1.9498629999999999</v>
      </c>
      <c r="U8" s="1">
        <v>1.959149</v>
      </c>
      <c r="V8" s="1">
        <v>1.978226</v>
      </c>
      <c r="W8" s="1">
        <v>1.993117</v>
      </c>
      <c r="X8" s="1">
        <v>1.806103</v>
      </c>
      <c r="Y8" s="1">
        <v>1.4129989999999999</v>
      </c>
      <c r="Z8" s="1">
        <v>1.011657</v>
      </c>
      <c r="AA8" s="1">
        <v>0.66691</v>
      </c>
      <c r="AB8" s="1">
        <v>0.67899299999999996</v>
      </c>
      <c r="AC8" s="1">
        <v>0.69087600000000005</v>
      </c>
      <c r="AD8" s="1">
        <v>0.70050400000000002</v>
      </c>
      <c r="AE8" s="2">
        <v>2.0539817067322366</v>
      </c>
    </row>
    <row r="9" spans="1:31" x14ac:dyDescent="0.25">
      <c r="A9" s="1" t="s">
        <v>8</v>
      </c>
      <c r="B9" s="1" t="s">
        <v>11</v>
      </c>
      <c r="C9" s="1" t="s">
        <v>3</v>
      </c>
      <c r="D9" s="1">
        <v>94.663032999999999</v>
      </c>
      <c r="E9" s="1">
        <v>98.762755999999996</v>
      </c>
      <c r="F9" s="1">
        <v>108.003456</v>
      </c>
      <c r="G9" s="1">
        <v>111.21726200000001</v>
      </c>
      <c r="H9" s="1">
        <v>113.185936</v>
      </c>
      <c r="I9" s="1">
        <v>116.879425</v>
      </c>
      <c r="J9" s="1">
        <v>120.87623600000001</v>
      </c>
      <c r="K9" s="1">
        <v>128.226685</v>
      </c>
      <c r="L9" s="1">
        <v>143.736313</v>
      </c>
      <c r="M9" s="1">
        <v>159.83596800000001</v>
      </c>
      <c r="N9" s="1">
        <v>176.30415300000001</v>
      </c>
      <c r="O9" s="1">
        <v>190.54742400000001</v>
      </c>
      <c r="P9" s="1">
        <v>201.91798399999999</v>
      </c>
      <c r="Q9" s="1">
        <v>214.18926999999999</v>
      </c>
      <c r="R9" s="1">
        <v>221.905136</v>
      </c>
      <c r="S9" s="1">
        <v>231.28247099999999</v>
      </c>
      <c r="T9" s="1">
        <v>239.912598</v>
      </c>
      <c r="U9" s="1">
        <v>247.491287</v>
      </c>
      <c r="V9" s="1">
        <v>255.36442600000001</v>
      </c>
      <c r="W9" s="1">
        <v>261.510223</v>
      </c>
      <c r="X9" s="1">
        <v>266.12481700000001</v>
      </c>
      <c r="Y9" s="1">
        <v>269.18841600000002</v>
      </c>
      <c r="Z9" s="1">
        <v>271.75015300000001</v>
      </c>
      <c r="AA9" s="1">
        <v>275.234894</v>
      </c>
      <c r="AB9" s="1">
        <v>280.22134399999999</v>
      </c>
      <c r="AC9" s="1">
        <v>285.12579299999999</v>
      </c>
      <c r="AD9" s="1">
        <v>289.099152</v>
      </c>
      <c r="AE9" s="2">
        <v>2.0539815051140398</v>
      </c>
    </row>
    <row r="10" spans="1:31" x14ac:dyDescent="0.25">
      <c r="A10" s="1" t="s">
        <v>27</v>
      </c>
      <c r="B10" s="1" t="s">
        <v>9</v>
      </c>
      <c r="C10" s="1" t="s">
        <v>3</v>
      </c>
      <c r="D10" s="1">
        <v>94.433655000000002</v>
      </c>
      <c r="E10" s="1">
        <v>98.523444999999995</v>
      </c>
      <c r="F10" s="1">
        <v>106.96302</v>
      </c>
      <c r="G10" s="1">
        <v>110.169044</v>
      </c>
      <c r="H10" s="1">
        <v>112.132942</v>
      </c>
      <c r="I10" s="1">
        <v>115.817482</v>
      </c>
      <c r="J10" s="1">
        <v>119.80461099999999</v>
      </c>
      <c r="K10" s="1">
        <v>127.137253</v>
      </c>
      <c r="L10" s="1">
        <v>142.411102</v>
      </c>
      <c r="M10" s="1">
        <v>158.071213</v>
      </c>
      <c r="N10" s="1">
        <v>174.091949</v>
      </c>
      <c r="O10" s="1">
        <v>187.94752500000001</v>
      </c>
      <c r="P10" s="1">
        <v>199.290527</v>
      </c>
      <c r="Q10" s="1">
        <v>211.53207399999999</v>
      </c>
      <c r="R10" s="1">
        <v>219.955826</v>
      </c>
      <c r="S10" s="1">
        <v>229.33341999999999</v>
      </c>
      <c r="T10" s="1">
        <v>237.962738</v>
      </c>
      <c r="U10" s="1">
        <v>245.53213500000001</v>
      </c>
      <c r="V10" s="1">
        <v>253.3862</v>
      </c>
      <c r="W10" s="1">
        <v>259.51711999999998</v>
      </c>
      <c r="X10" s="1">
        <v>264.31872600000003</v>
      </c>
      <c r="Y10" s="1">
        <v>267.77542099999999</v>
      </c>
      <c r="Z10" s="1">
        <v>270.738495</v>
      </c>
      <c r="AA10" s="1">
        <v>274.567993</v>
      </c>
      <c r="AB10" s="1">
        <v>279.54235799999998</v>
      </c>
      <c r="AC10" s="1">
        <v>284.43490600000001</v>
      </c>
      <c r="AD10" s="1">
        <v>288.39865099999997</v>
      </c>
      <c r="AE10" s="2" cm="1">
        <f t="array" ref="AE10:AE14">(AD10:AD14-D10:D14)/D10:D14</f>
        <v>2.0539816657525325</v>
      </c>
    </row>
    <row r="11" spans="1:31" x14ac:dyDescent="0.25">
      <c r="A11" s="1" t="s">
        <v>27</v>
      </c>
      <c r="B11" s="1" t="s">
        <v>12</v>
      </c>
      <c r="C11" s="1" t="s">
        <v>3</v>
      </c>
      <c r="D11" s="1">
        <v>80.599097999999998</v>
      </c>
      <c r="E11" s="1">
        <v>84.089729000000005</v>
      </c>
      <c r="F11" s="1">
        <v>91.264579999999995</v>
      </c>
      <c r="G11" s="1">
        <v>94.000923</v>
      </c>
      <c r="H11" s="1">
        <v>95.677109000000002</v>
      </c>
      <c r="I11" s="1">
        <v>98.821860999999998</v>
      </c>
      <c r="J11" s="1">
        <v>102.22487599999999</v>
      </c>
      <c r="K11" s="1">
        <v>108.483284</v>
      </c>
      <c r="L11" s="1">
        <v>121.512299</v>
      </c>
      <c r="M11" s="1">
        <v>134.863632</v>
      </c>
      <c r="N11" s="1">
        <v>148.52250699999999</v>
      </c>
      <c r="O11" s="1">
        <v>160.335373</v>
      </c>
      <c r="P11" s="1">
        <v>170.01663199999999</v>
      </c>
      <c r="Q11" s="1">
        <v>180.46478300000001</v>
      </c>
      <c r="R11" s="1">
        <v>187.680893</v>
      </c>
      <c r="S11" s="1">
        <v>195.68550099999999</v>
      </c>
      <c r="T11" s="1">
        <v>203.051346</v>
      </c>
      <c r="U11" s="1">
        <v>209.51216099999999</v>
      </c>
      <c r="V11" s="1">
        <v>216.21560700000001</v>
      </c>
      <c r="W11" s="1">
        <v>221.44834900000001</v>
      </c>
      <c r="X11" s="1">
        <v>225.55371099999999</v>
      </c>
      <c r="Y11" s="1">
        <v>228.518585</v>
      </c>
      <c r="Z11" s="1">
        <v>231.06239299999999</v>
      </c>
      <c r="AA11" s="1">
        <v>234.343704</v>
      </c>
      <c r="AB11" s="1">
        <v>238.589325</v>
      </c>
      <c r="AC11" s="1">
        <v>242.76512099999999</v>
      </c>
      <c r="AD11" s="1">
        <v>246.14816300000001</v>
      </c>
      <c r="AE11" s="2">
        <v>2.053981609074583</v>
      </c>
    </row>
    <row r="12" spans="1:31" x14ac:dyDescent="0.25">
      <c r="A12" s="1" t="s">
        <v>27</v>
      </c>
      <c r="B12" s="1" t="s">
        <v>13</v>
      </c>
      <c r="C12" s="1" t="s">
        <v>3</v>
      </c>
      <c r="D12" s="1">
        <v>13.834555999999999</v>
      </c>
      <c r="E12" s="1">
        <v>14.433711000000001</v>
      </c>
      <c r="F12" s="1">
        <v>15.698439</v>
      </c>
      <c r="G12" s="1">
        <v>16.168123000000001</v>
      </c>
      <c r="H12" s="1">
        <v>16.455832999999998</v>
      </c>
      <c r="I12" s="1">
        <v>16.995621</v>
      </c>
      <c r="J12" s="1">
        <v>17.579734999999999</v>
      </c>
      <c r="K12" s="1">
        <v>18.653970999999999</v>
      </c>
      <c r="L12" s="1">
        <v>20.898802</v>
      </c>
      <c r="M12" s="1">
        <v>23.207581999999999</v>
      </c>
      <c r="N12" s="1">
        <v>25.56945</v>
      </c>
      <c r="O12" s="1">
        <v>27.612141000000001</v>
      </c>
      <c r="P12" s="1">
        <v>29.273895</v>
      </c>
      <c r="Q12" s="1">
        <v>31.067285999999999</v>
      </c>
      <c r="R12" s="1">
        <v>32.274937000000001</v>
      </c>
      <c r="S12" s="1">
        <v>33.647922999999999</v>
      </c>
      <c r="T12" s="1">
        <v>34.911388000000002</v>
      </c>
      <c r="U12" s="1">
        <v>36.019978000000002</v>
      </c>
      <c r="V12" s="1">
        <v>37.170597000000001</v>
      </c>
      <c r="W12" s="1">
        <v>38.068783000000003</v>
      </c>
      <c r="X12" s="1">
        <v>38.765006999999997</v>
      </c>
      <c r="Y12" s="1">
        <v>39.256847</v>
      </c>
      <c r="Z12" s="1">
        <v>39.676113000000001</v>
      </c>
      <c r="AA12" s="1">
        <v>40.224285000000002</v>
      </c>
      <c r="AB12" s="1">
        <v>40.953029999999998</v>
      </c>
      <c r="AC12" s="1">
        <v>41.669792000000001</v>
      </c>
      <c r="AD12" s="1">
        <v>42.250481000000001</v>
      </c>
      <c r="AE12" s="2">
        <v>2.0539817107249414</v>
      </c>
    </row>
    <row r="13" spans="1:31" x14ac:dyDescent="0.25">
      <c r="A13" s="1" t="s">
        <v>27</v>
      </c>
      <c r="B13" s="1" t="s">
        <v>14</v>
      </c>
      <c r="C13" s="1" t="s">
        <v>3</v>
      </c>
      <c r="D13" s="1">
        <v>0.22937399999999999</v>
      </c>
      <c r="E13" s="1">
        <v>0.23930799999999999</v>
      </c>
      <c r="F13" s="1">
        <v>1.0404329999999999</v>
      </c>
      <c r="G13" s="1">
        <v>1.0482199999999999</v>
      </c>
      <c r="H13" s="1">
        <v>1.0529900000000001</v>
      </c>
      <c r="I13" s="1">
        <v>1.0619400000000001</v>
      </c>
      <c r="J13" s="1">
        <v>1.0716239999999999</v>
      </c>
      <c r="K13" s="1">
        <v>1.0894349999999999</v>
      </c>
      <c r="L13" s="1">
        <v>1.3252109999999999</v>
      </c>
      <c r="M13" s="1">
        <v>1.76475</v>
      </c>
      <c r="N13" s="1">
        <v>2.212202</v>
      </c>
      <c r="O13" s="1">
        <v>2.599904</v>
      </c>
      <c r="P13" s="1">
        <v>2.627456</v>
      </c>
      <c r="Q13" s="1">
        <v>2.6571899999999999</v>
      </c>
      <c r="R13" s="1">
        <v>1.949306</v>
      </c>
      <c r="S13" s="1">
        <v>1.949057</v>
      </c>
      <c r="T13" s="1">
        <v>1.9498629999999999</v>
      </c>
      <c r="U13" s="1">
        <v>1.959149</v>
      </c>
      <c r="V13" s="1">
        <v>1.978226</v>
      </c>
      <c r="W13" s="1">
        <v>1.993117</v>
      </c>
      <c r="X13" s="1">
        <v>1.806103</v>
      </c>
      <c r="Y13" s="1">
        <v>1.4129989999999999</v>
      </c>
      <c r="Z13" s="1">
        <v>1.011657</v>
      </c>
      <c r="AA13" s="1">
        <v>0.66691</v>
      </c>
      <c r="AB13" s="1">
        <v>0.67899299999999996</v>
      </c>
      <c r="AC13" s="1">
        <v>0.69087600000000005</v>
      </c>
      <c r="AD13" s="1">
        <v>0.70050400000000002</v>
      </c>
      <c r="AE13" s="2">
        <v>2.0539817067322366</v>
      </c>
    </row>
    <row r="14" spans="1:31" x14ac:dyDescent="0.25">
      <c r="A14" s="1" t="s">
        <v>27</v>
      </c>
      <c r="B14" s="1" t="s">
        <v>15</v>
      </c>
      <c r="C14" s="1" t="s">
        <v>3</v>
      </c>
      <c r="D14" s="1">
        <v>94.663032999999999</v>
      </c>
      <c r="E14" s="1">
        <v>98.762755999999996</v>
      </c>
      <c r="F14" s="1">
        <v>108.003456</v>
      </c>
      <c r="G14" s="1">
        <v>111.21726200000001</v>
      </c>
      <c r="H14" s="1">
        <v>113.185936</v>
      </c>
      <c r="I14" s="1">
        <v>116.879425</v>
      </c>
      <c r="J14" s="1">
        <v>120.87623600000001</v>
      </c>
      <c r="K14" s="1">
        <v>128.226685</v>
      </c>
      <c r="L14" s="1">
        <v>143.736313</v>
      </c>
      <c r="M14" s="1">
        <v>159.83596800000001</v>
      </c>
      <c r="N14" s="1">
        <v>176.30415300000001</v>
      </c>
      <c r="O14" s="1">
        <v>190.54742400000001</v>
      </c>
      <c r="P14" s="1">
        <v>201.91798399999999</v>
      </c>
      <c r="Q14" s="1">
        <v>214.18926999999999</v>
      </c>
      <c r="R14" s="1">
        <v>221.905136</v>
      </c>
      <c r="S14" s="1">
        <v>231.28247099999999</v>
      </c>
      <c r="T14" s="1">
        <v>239.912598</v>
      </c>
      <c r="U14" s="1">
        <v>247.491287</v>
      </c>
      <c r="V14" s="1">
        <v>255.36442600000001</v>
      </c>
      <c r="W14" s="1">
        <v>261.510223</v>
      </c>
      <c r="X14" s="1">
        <v>266.12481700000001</v>
      </c>
      <c r="Y14" s="1">
        <v>269.18841600000002</v>
      </c>
      <c r="Z14" s="1">
        <v>271.75015300000001</v>
      </c>
      <c r="AA14" s="1">
        <v>275.234894</v>
      </c>
      <c r="AB14" s="1">
        <v>280.22134399999999</v>
      </c>
      <c r="AC14" s="1">
        <v>285.12579299999999</v>
      </c>
      <c r="AD14" s="1">
        <v>289.099152</v>
      </c>
      <c r="AE14" s="2">
        <v>2.0539815051140398</v>
      </c>
    </row>
    <row r="15" spans="1:31" x14ac:dyDescent="0.25">
      <c r="A15" s="1" t="s">
        <v>28</v>
      </c>
      <c r="B15" s="1" t="s">
        <v>14</v>
      </c>
      <c r="C15" s="1" t="s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" t="e">
        <f>(AD15-D15)/D15</f>
        <v>#DIV/0!</v>
      </c>
    </row>
    <row r="16" spans="1:31" x14ac:dyDescent="0.25">
      <c r="A16" s="1" t="s">
        <v>16</v>
      </c>
      <c r="B16" s="1" t="s">
        <v>17</v>
      </c>
      <c r="C16" s="1" t="s">
        <v>3</v>
      </c>
      <c r="D16" s="1">
        <v>128.725098</v>
      </c>
      <c r="E16" s="1">
        <v>130.828644</v>
      </c>
      <c r="F16" s="1">
        <v>134.68377699999999</v>
      </c>
      <c r="G16" s="1">
        <v>135.93817100000001</v>
      </c>
      <c r="H16" s="1">
        <v>136.47981300000001</v>
      </c>
      <c r="I16" s="1">
        <v>137.44451900000001</v>
      </c>
      <c r="J16" s="1">
        <v>138.704285</v>
      </c>
      <c r="K16" s="1">
        <v>139.88760400000001</v>
      </c>
      <c r="L16" s="1">
        <v>141.064774</v>
      </c>
      <c r="M16" s="1">
        <v>141.95082099999999</v>
      </c>
      <c r="N16" s="1">
        <v>143.540344</v>
      </c>
      <c r="O16" s="1">
        <v>144.56196600000001</v>
      </c>
      <c r="P16" s="1">
        <v>145.550568</v>
      </c>
      <c r="Q16" s="1">
        <v>146.73683199999999</v>
      </c>
      <c r="R16" s="1">
        <v>147.932693</v>
      </c>
      <c r="S16" s="1">
        <v>149.05985999999999</v>
      </c>
      <c r="T16" s="1">
        <v>149.64129600000001</v>
      </c>
      <c r="U16" s="1">
        <v>150.18315100000001</v>
      </c>
      <c r="V16" s="1">
        <v>150.97422800000001</v>
      </c>
      <c r="W16" s="1">
        <v>151.760727</v>
      </c>
      <c r="X16" s="1">
        <v>152.540314</v>
      </c>
      <c r="Y16" s="1">
        <v>153.18691999999999</v>
      </c>
      <c r="Z16" s="1">
        <v>153.67434700000001</v>
      </c>
      <c r="AA16" s="1">
        <v>154.14299</v>
      </c>
      <c r="AB16" s="1">
        <v>154.98246800000001</v>
      </c>
      <c r="AC16" s="1">
        <v>155.68240399999999</v>
      </c>
      <c r="AD16" s="1">
        <v>156.308807</v>
      </c>
      <c r="AE16" s="2" cm="1">
        <f t="array" ref="AE16:AE20">(AD16:AD20-D16:D20)/D16:D20</f>
        <v>0.2142838454082979</v>
      </c>
    </row>
    <row r="17" spans="1:31" x14ac:dyDescent="0.25">
      <c r="A17" s="1" t="s">
        <v>16</v>
      </c>
      <c r="B17" s="1" t="s">
        <v>18</v>
      </c>
      <c r="C17" s="1" t="s">
        <v>3</v>
      </c>
      <c r="D17" s="1">
        <v>62.953136000000001</v>
      </c>
      <c r="E17" s="1">
        <v>62.953136000000001</v>
      </c>
      <c r="F17" s="1">
        <v>62.953136000000001</v>
      </c>
      <c r="G17" s="1">
        <v>62.953136000000001</v>
      </c>
      <c r="H17" s="1">
        <v>62.953136000000001</v>
      </c>
      <c r="I17" s="1">
        <v>62.953136000000001</v>
      </c>
      <c r="J17" s="1">
        <v>62.953136000000001</v>
      </c>
      <c r="K17" s="1">
        <v>62.953136000000001</v>
      </c>
      <c r="L17" s="1">
        <v>62.953136000000001</v>
      </c>
      <c r="M17" s="1">
        <v>62.953136000000001</v>
      </c>
      <c r="N17" s="1">
        <v>62.953136000000001</v>
      </c>
      <c r="O17" s="1">
        <v>62.953136000000001</v>
      </c>
      <c r="P17" s="1">
        <v>62.953136000000001</v>
      </c>
      <c r="Q17" s="1">
        <v>62.953136000000001</v>
      </c>
      <c r="R17" s="1">
        <v>62.953136000000001</v>
      </c>
      <c r="S17" s="1">
        <v>62.953136000000001</v>
      </c>
      <c r="T17" s="1">
        <v>62.953136000000001</v>
      </c>
      <c r="U17" s="1">
        <v>62.953136000000001</v>
      </c>
      <c r="V17" s="1">
        <v>62.953136000000001</v>
      </c>
      <c r="W17" s="1">
        <v>62.953136000000001</v>
      </c>
      <c r="X17" s="1">
        <v>62.953136000000001</v>
      </c>
      <c r="Y17" s="1">
        <v>62.953136000000001</v>
      </c>
      <c r="Z17" s="1">
        <v>62.953136000000001</v>
      </c>
      <c r="AA17" s="1">
        <v>62.953136000000001</v>
      </c>
      <c r="AB17" s="1">
        <v>62.953136000000001</v>
      </c>
      <c r="AC17" s="1">
        <v>62.953136000000001</v>
      </c>
      <c r="AD17" s="1">
        <v>62.953136000000001</v>
      </c>
      <c r="AE17" s="2">
        <v>0</v>
      </c>
    </row>
    <row r="18" spans="1:31" x14ac:dyDescent="0.25">
      <c r="A18" s="1" t="s">
        <v>16</v>
      </c>
      <c r="B18" s="1" t="s">
        <v>19</v>
      </c>
      <c r="C18" s="1" t="s">
        <v>3</v>
      </c>
      <c r="D18" s="1">
        <v>65.771957</v>
      </c>
      <c r="E18" s="1">
        <v>67.875504000000006</v>
      </c>
      <c r="F18" s="1">
        <v>71.730637000000002</v>
      </c>
      <c r="G18" s="1">
        <v>72.985031000000006</v>
      </c>
      <c r="H18" s="1">
        <v>73.526672000000005</v>
      </c>
      <c r="I18" s="1">
        <v>74.491378999999995</v>
      </c>
      <c r="J18" s="1">
        <v>75.751143999999996</v>
      </c>
      <c r="K18" s="1">
        <v>76.934464000000006</v>
      </c>
      <c r="L18" s="1">
        <v>78.111632999999998</v>
      </c>
      <c r="M18" s="1">
        <v>78.997681</v>
      </c>
      <c r="N18" s="1">
        <v>80.587204</v>
      </c>
      <c r="O18" s="1">
        <v>81.608825999999993</v>
      </c>
      <c r="P18" s="1">
        <v>82.597426999999996</v>
      </c>
      <c r="Q18" s="1">
        <v>83.783691000000005</v>
      </c>
      <c r="R18" s="1">
        <v>84.979552999999996</v>
      </c>
      <c r="S18" s="1">
        <v>86.106719999999996</v>
      </c>
      <c r="T18" s="1">
        <v>86.688156000000006</v>
      </c>
      <c r="U18" s="1">
        <v>87.230011000000005</v>
      </c>
      <c r="V18" s="1">
        <v>88.021088000000006</v>
      </c>
      <c r="W18" s="1">
        <v>88.807586999999998</v>
      </c>
      <c r="X18" s="1">
        <v>89.587173000000007</v>
      </c>
      <c r="Y18" s="1">
        <v>90.233779999999996</v>
      </c>
      <c r="Z18" s="1">
        <v>90.721207000000007</v>
      </c>
      <c r="AA18" s="1">
        <v>91.189850000000007</v>
      </c>
      <c r="AB18" s="1">
        <v>92.029326999999995</v>
      </c>
      <c r="AC18" s="1">
        <v>92.729263000000003</v>
      </c>
      <c r="AD18" s="1">
        <v>93.355666999999997</v>
      </c>
      <c r="AE18" s="2">
        <v>0.41938405451429694</v>
      </c>
    </row>
    <row r="19" spans="1:31" x14ac:dyDescent="0.25">
      <c r="A19" s="1" t="s">
        <v>16</v>
      </c>
      <c r="B19" s="1" t="s">
        <v>20</v>
      </c>
      <c r="C19" s="1" t="s">
        <v>3</v>
      </c>
      <c r="D19" s="1">
        <v>6.9004999999999997E-2</v>
      </c>
      <c r="E19" s="1">
        <v>0.42071999999999998</v>
      </c>
      <c r="F19" s="1">
        <v>1.005136</v>
      </c>
      <c r="G19" s="1">
        <v>1.891165</v>
      </c>
      <c r="H19" s="1">
        <v>3.22126</v>
      </c>
      <c r="I19" s="1">
        <v>4.7991460000000004</v>
      </c>
      <c r="J19" s="1">
        <v>6.6059489999999998</v>
      </c>
      <c r="K19" s="1">
        <v>10.679947</v>
      </c>
      <c r="L19" s="1">
        <v>19.950949000000001</v>
      </c>
      <c r="M19" s="1">
        <v>28.455877000000001</v>
      </c>
      <c r="N19" s="1">
        <v>36.253307</v>
      </c>
      <c r="O19" s="1">
        <v>43.358139000000001</v>
      </c>
      <c r="P19" s="1">
        <v>50.011569999999999</v>
      </c>
      <c r="Q19" s="1">
        <v>56.348419</v>
      </c>
      <c r="R19" s="1">
        <v>62.271416000000002</v>
      </c>
      <c r="S19" s="1">
        <v>67.808143999999999</v>
      </c>
      <c r="T19" s="1">
        <v>73.000518999999997</v>
      </c>
      <c r="U19" s="1">
        <v>77.740875000000003</v>
      </c>
      <c r="V19" s="1">
        <v>82.142150999999998</v>
      </c>
      <c r="W19" s="1">
        <v>86.050308000000001</v>
      </c>
      <c r="X19" s="1">
        <v>89.536781000000005</v>
      </c>
      <c r="Y19" s="1">
        <v>92.726935999999995</v>
      </c>
      <c r="Z19" s="1">
        <v>95.424400000000006</v>
      </c>
      <c r="AA19" s="1">
        <v>97.816604999999996</v>
      </c>
      <c r="AB19" s="1">
        <v>100.074028</v>
      </c>
      <c r="AC19" s="1">
        <v>102.16793800000001</v>
      </c>
      <c r="AD19" s="1">
        <v>103.957352</v>
      </c>
      <c r="AE19" s="2">
        <v>1505.5191218027678</v>
      </c>
    </row>
    <row r="20" spans="1:31" x14ac:dyDescent="0.25">
      <c r="A20" s="1" t="s">
        <v>16</v>
      </c>
      <c r="B20" s="1" t="s">
        <v>21</v>
      </c>
      <c r="C20" s="1" t="s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 t="e">
        <v>#DIV/0!</v>
      </c>
    </row>
    <row r="21" spans="1:31" x14ac:dyDescent="0.25">
      <c r="A21" s="1" t="s">
        <v>22</v>
      </c>
      <c r="B21" s="1" t="s">
        <v>24</v>
      </c>
      <c r="C21" s="1" t="s">
        <v>23</v>
      </c>
      <c r="D21" s="1">
        <v>7.8238289999999999</v>
      </c>
      <c r="E21" s="1">
        <v>8.7875770000000006</v>
      </c>
      <c r="F21" s="1">
        <v>8.9917730000000002</v>
      </c>
      <c r="G21" s="1">
        <v>8.802816</v>
      </c>
      <c r="H21" s="1">
        <v>8.8424560000000003</v>
      </c>
      <c r="I21" s="1">
        <v>8.9512499999999999</v>
      </c>
      <c r="J21" s="1">
        <v>9.0875920000000008</v>
      </c>
      <c r="K21" s="1">
        <v>9.2002509999999997</v>
      </c>
      <c r="L21" s="1">
        <v>9.6834729999999993</v>
      </c>
      <c r="M21" s="1">
        <v>10.191212</v>
      </c>
      <c r="N21" s="1">
        <v>10.501771</v>
      </c>
      <c r="O21" s="1">
        <v>10.678637999999999</v>
      </c>
      <c r="P21" s="1">
        <v>10.625287</v>
      </c>
      <c r="Q21" s="1">
        <v>10.467806</v>
      </c>
      <c r="R21" s="1">
        <v>12.087844</v>
      </c>
      <c r="S21" s="1">
        <v>11.956187</v>
      </c>
      <c r="T21" s="1">
        <v>11.877725</v>
      </c>
      <c r="U21" s="1">
        <v>10.155279</v>
      </c>
      <c r="V21" s="1">
        <v>10.185667</v>
      </c>
      <c r="W21" s="1">
        <v>10.215070000000001</v>
      </c>
      <c r="X21" s="1">
        <v>10.219011</v>
      </c>
      <c r="Y21" s="1">
        <v>10.220283999999999</v>
      </c>
      <c r="Z21" s="1">
        <v>10.257942</v>
      </c>
      <c r="AA21" s="1">
        <v>10.227072</v>
      </c>
      <c r="AB21" s="1">
        <v>10.179401</v>
      </c>
      <c r="AC21" s="1">
        <v>10.101143</v>
      </c>
      <c r="AD21" s="1">
        <v>10.027374999999999</v>
      </c>
      <c r="AE21" s="2">
        <f>(AD21-D21)/D21</f>
        <v>0.28164547052344824</v>
      </c>
    </row>
    <row r="22" spans="1:31" x14ac:dyDescent="0.25">
      <c r="A22" s="1" t="s">
        <v>25</v>
      </c>
      <c r="B22" s="1" t="s">
        <v>26</v>
      </c>
      <c r="C22" s="1" t="s">
        <v>23</v>
      </c>
      <c r="D22" s="1">
        <v>10.287350999999999</v>
      </c>
      <c r="E22" s="1">
        <v>11.251099</v>
      </c>
      <c r="F22" s="1">
        <v>11.455295</v>
      </c>
      <c r="G22" s="1">
        <v>11.266337999999999</v>
      </c>
      <c r="H22" s="1">
        <v>11.305978</v>
      </c>
      <c r="I22" s="1">
        <v>11.414771999999999</v>
      </c>
      <c r="J22" s="1">
        <v>11.551114</v>
      </c>
      <c r="K22" s="1">
        <v>11.663773000000001</v>
      </c>
      <c r="L22" s="1">
        <v>12.146993999999999</v>
      </c>
      <c r="M22" s="1">
        <v>12.654733999999999</v>
      </c>
      <c r="N22" s="1">
        <v>12.965293000000001</v>
      </c>
      <c r="O22" s="1">
        <v>13.142158999999999</v>
      </c>
      <c r="P22" s="1">
        <v>13.088808999999999</v>
      </c>
      <c r="Q22" s="1">
        <v>12.931328000000001</v>
      </c>
      <c r="R22" s="1">
        <v>14.551366</v>
      </c>
      <c r="S22" s="1">
        <v>14.419708999999999</v>
      </c>
      <c r="T22" s="1">
        <v>14.341246999999999</v>
      </c>
      <c r="U22" s="1">
        <v>12.618800999999999</v>
      </c>
      <c r="V22" s="1">
        <v>12.649188000000001</v>
      </c>
      <c r="W22" s="1">
        <v>12.678592</v>
      </c>
      <c r="X22" s="1">
        <v>12.682532999999999</v>
      </c>
      <c r="Y22" s="1">
        <v>12.683805</v>
      </c>
      <c r="Z22" s="1">
        <v>12.721463999999999</v>
      </c>
      <c r="AA22" s="1">
        <v>12.690594000000001</v>
      </c>
      <c r="AB22" s="1">
        <v>12.642923</v>
      </c>
      <c r="AC22" s="1">
        <v>12.564665</v>
      </c>
      <c r="AD22" s="1">
        <v>12.490897</v>
      </c>
      <c r="AE22" s="2" cm="1">
        <f t="array" ref="AE22:AE24">(AD22:AD24-D22:D24)/D22:D24</f>
        <v>0.21419955438479754</v>
      </c>
    </row>
    <row r="23" spans="1:31" x14ac:dyDescent="0.25">
      <c r="A23" s="1" t="s">
        <v>25</v>
      </c>
      <c r="B23" s="1" t="s">
        <v>20</v>
      </c>
      <c r="C23" s="1" t="s">
        <v>23</v>
      </c>
      <c r="D23" s="1">
        <v>60.377383999999999</v>
      </c>
      <c r="E23" s="1">
        <v>61.341808</v>
      </c>
      <c r="F23" s="1">
        <v>61.546925000000002</v>
      </c>
      <c r="G23" s="1">
        <v>61.357967000000002</v>
      </c>
      <c r="H23" s="1">
        <v>61.397606000000003</v>
      </c>
      <c r="I23" s="1">
        <v>61.506390000000003</v>
      </c>
      <c r="J23" s="1">
        <v>61.642761</v>
      </c>
      <c r="K23" s="1">
        <v>61.755412999999997</v>
      </c>
      <c r="L23" s="1">
        <v>62.238608999999997</v>
      </c>
      <c r="M23" s="1">
        <v>62.746346000000003</v>
      </c>
      <c r="N23" s="1">
        <v>63.056919000000001</v>
      </c>
      <c r="O23" s="1">
        <v>63.233790999999997</v>
      </c>
      <c r="P23" s="1">
        <v>63.180427999999999</v>
      </c>
      <c r="Q23" s="1">
        <v>63.022938000000003</v>
      </c>
      <c r="R23" s="1">
        <v>64.643051</v>
      </c>
      <c r="S23" s="1">
        <v>64.511307000000002</v>
      </c>
      <c r="T23" s="1">
        <v>64.432822999999999</v>
      </c>
      <c r="U23" s="1">
        <v>62.710414999999998</v>
      </c>
      <c r="V23" s="1">
        <v>62.740791000000002</v>
      </c>
      <c r="W23" s="1">
        <v>62.770203000000002</v>
      </c>
      <c r="X23" s="1">
        <v>62.774146999999999</v>
      </c>
      <c r="Y23" s="1">
        <v>62.775421000000001</v>
      </c>
      <c r="Z23" s="1">
        <v>62.813084000000003</v>
      </c>
      <c r="AA23" s="1">
        <v>62.782223000000002</v>
      </c>
      <c r="AB23" s="1">
        <v>62.734549999999999</v>
      </c>
      <c r="AC23" s="1">
        <v>62.656288000000004</v>
      </c>
      <c r="AD23" s="1">
        <v>62.582526999999999</v>
      </c>
      <c r="AE23" s="2">
        <v>3.6522665506673817E-2</v>
      </c>
    </row>
    <row r="24" spans="1:31" x14ac:dyDescent="0.25">
      <c r="A24" s="1" t="s">
        <v>25</v>
      </c>
      <c r="B24" s="1" t="s">
        <v>21</v>
      </c>
      <c r="C24" s="1" t="s">
        <v>23</v>
      </c>
      <c r="D24" s="1">
        <v>10.287350999999999</v>
      </c>
      <c r="E24" s="1">
        <v>11.251099</v>
      </c>
      <c r="F24" s="1">
        <v>11.455295</v>
      </c>
      <c r="G24" s="1">
        <v>11.266337999999999</v>
      </c>
      <c r="H24" s="1">
        <v>11.305978</v>
      </c>
      <c r="I24" s="1">
        <v>11.414771999999999</v>
      </c>
      <c r="J24" s="1">
        <v>11.551114</v>
      </c>
      <c r="K24" s="1">
        <v>11.663773000000001</v>
      </c>
      <c r="L24" s="1">
        <v>12.146993999999999</v>
      </c>
      <c r="M24" s="1">
        <v>12.654733999999999</v>
      </c>
      <c r="N24" s="1">
        <v>12.965293000000001</v>
      </c>
      <c r="O24" s="1">
        <v>13.142158999999999</v>
      </c>
      <c r="P24" s="1">
        <v>13.088808999999999</v>
      </c>
      <c r="Q24" s="1">
        <v>12.931328000000001</v>
      </c>
      <c r="R24" s="1">
        <v>14.551366</v>
      </c>
      <c r="S24" s="1">
        <v>14.419708999999999</v>
      </c>
      <c r="T24" s="1">
        <v>14.341246999999999</v>
      </c>
      <c r="U24" s="1">
        <v>12.618800999999999</v>
      </c>
      <c r="V24" s="1">
        <v>12.649188000000001</v>
      </c>
      <c r="W24" s="1">
        <v>12.678592</v>
      </c>
      <c r="X24" s="1">
        <v>12.682532999999999</v>
      </c>
      <c r="Y24" s="1">
        <v>12.683805</v>
      </c>
      <c r="Z24" s="1">
        <v>12.721463999999999</v>
      </c>
      <c r="AA24" s="1">
        <v>12.690594000000001</v>
      </c>
      <c r="AB24" s="1">
        <v>12.642923</v>
      </c>
      <c r="AC24" s="1">
        <v>12.564665</v>
      </c>
      <c r="AD24" s="1">
        <v>12.490897</v>
      </c>
      <c r="AE24" s="2">
        <v>0.21419955438479754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4"/>
  <sheetViews>
    <sheetView tabSelected="1" workbookViewId="0">
      <selection sqref="A1:XFD1"/>
    </sheetView>
  </sheetViews>
  <sheetFormatPr defaultColWidth="8.7109375" defaultRowHeight="15" x14ac:dyDescent="0.25"/>
  <cols>
    <col min="1" max="1" width="51.5703125" style="1" bestFit="1" customWidth="1"/>
    <col min="2" max="2" width="65.7109375" style="1" bestFit="1" customWidth="1"/>
    <col min="3" max="30" width="8.7109375" style="1"/>
    <col min="31" max="31" width="17.5703125" style="1" bestFit="1" customWidth="1"/>
    <col min="32" max="16384" width="8.7109375" style="1"/>
  </cols>
  <sheetData>
    <row r="1" spans="1:31" s="4" customFormat="1" ht="15.75" thickBot="1" x14ac:dyDescent="0.3">
      <c r="A1" s="4" t="s">
        <v>29</v>
      </c>
      <c r="B1" s="4" t="s">
        <v>30</v>
      </c>
      <c r="C1" s="4" t="s">
        <v>0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  <c r="O1" s="4">
        <v>2035</v>
      </c>
      <c r="P1" s="4">
        <v>2036</v>
      </c>
      <c r="Q1" s="4">
        <v>2037</v>
      </c>
      <c r="R1" s="4">
        <v>2038</v>
      </c>
      <c r="S1" s="4">
        <v>2039</v>
      </c>
      <c r="T1" s="4">
        <v>2040</v>
      </c>
      <c r="U1" s="4">
        <v>2041</v>
      </c>
      <c r="V1" s="4">
        <v>2042</v>
      </c>
      <c r="W1" s="4">
        <v>2043</v>
      </c>
      <c r="X1" s="4">
        <v>2044</v>
      </c>
      <c r="Y1" s="4">
        <v>2045</v>
      </c>
      <c r="Z1" s="4">
        <v>2046</v>
      </c>
      <c r="AA1" s="4">
        <v>2047</v>
      </c>
      <c r="AB1" s="4">
        <v>2048</v>
      </c>
      <c r="AC1" s="4">
        <v>2049</v>
      </c>
      <c r="AD1" s="4">
        <v>2050</v>
      </c>
      <c r="AE1" s="4" t="s">
        <v>1</v>
      </c>
    </row>
    <row r="2" spans="1:31" ht="15.75" thickTop="1" x14ac:dyDescent="0.25">
      <c r="A2" s="1" t="s">
        <v>31</v>
      </c>
      <c r="B2" s="1" t="s">
        <v>2</v>
      </c>
      <c r="C2" s="1" t="s">
        <v>3</v>
      </c>
      <c r="D2" s="1">
        <v>81.828361999999998</v>
      </c>
      <c r="E2" s="1">
        <v>83.483390999999997</v>
      </c>
      <c r="F2" s="1">
        <v>85.449691999999999</v>
      </c>
      <c r="G2" s="1">
        <v>86.366837000000004</v>
      </c>
      <c r="H2" s="1">
        <v>86.502364999999998</v>
      </c>
      <c r="I2" s="1">
        <v>87.594504999999998</v>
      </c>
      <c r="J2" s="1">
        <v>89.254585000000006</v>
      </c>
      <c r="K2" s="1">
        <v>92.191733999999997</v>
      </c>
      <c r="L2" s="1">
        <v>97.385536000000002</v>
      </c>
      <c r="M2" s="1">
        <v>102.194153</v>
      </c>
      <c r="N2" s="1">
        <v>106.86994199999999</v>
      </c>
      <c r="O2" s="1">
        <v>111.166748</v>
      </c>
      <c r="P2" s="1">
        <v>115.410912</v>
      </c>
      <c r="Q2" s="1">
        <v>119.392921</v>
      </c>
      <c r="R2" s="1">
        <v>123.215324</v>
      </c>
      <c r="S2" s="1">
        <v>126.82897199999999</v>
      </c>
      <c r="T2" s="1">
        <v>130.29432700000001</v>
      </c>
      <c r="U2" s="1">
        <v>133.452316</v>
      </c>
      <c r="V2" s="1">
        <v>136.39227299999999</v>
      </c>
      <c r="W2" s="1">
        <v>139.11003099999999</v>
      </c>
      <c r="X2" s="1">
        <v>141.554047</v>
      </c>
      <c r="Y2" s="1">
        <v>143.79452499999999</v>
      </c>
      <c r="Z2" s="1">
        <v>145.66304</v>
      </c>
      <c r="AA2" s="1">
        <v>147.54492200000001</v>
      </c>
      <c r="AB2" s="1">
        <v>149.59433000000001</v>
      </c>
      <c r="AC2" s="1">
        <v>151.43911700000001</v>
      </c>
      <c r="AD2" s="1">
        <v>153.0513</v>
      </c>
      <c r="AE2" s="2" cm="1">
        <f t="array" ref="AE2:AE6">(AD2:AD6-D2:D6)/D2:D6</f>
        <v>0.87039427723116347</v>
      </c>
    </row>
    <row r="3" spans="1:31" x14ac:dyDescent="0.25">
      <c r="A3" s="1" t="s">
        <v>31</v>
      </c>
      <c r="B3" s="1" t="s">
        <v>4</v>
      </c>
      <c r="C3" s="1" t="s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" t="e">
        <v>#DIV/0!</v>
      </c>
    </row>
    <row r="4" spans="1:31" x14ac:dyDescent="0.25">
      <c r="A4" s="1" t="s">
        <v>31</v>
      </c>
      <c r="B4" s="1" t="s">
        <v>5</v>
      </c>
      <c r="C4" s="1" t="s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5.1325000000000003E-2</v>
      </c>
      <c r="Q4" s="1">
        <v>5.1325000000000003E-2</v>
      </c>
      <c r="R4" s="1">
        <v>5.1325000000000003E-2</v>
      </c>
      <c r="S4" s="1">
        <v>5.1325000000000003E-2</v>
      </c>
      <c r="T4" s="1">
        <v>5.1325000000000003E-2</v>
      </c>
      <c r="U4" s="1">
        <v>5.1325000000000003E-2</v>
      </c>
      <c r="V4" s="1">
        <v>5.1325000000000003E-2</v>
      </c>
      <c r="W4" s="1">
        <v>5.1325000000000003E-2</v>
      </c>
      <c r="X4" s="1">
        <v>5.1325000000000003E-2</v>
      </c>
      <c r="Y4" s="1">
        <v>5.1325000000000003E-2</v>
      </c>
      <c r="Z4" s="1">
        <v>1.6039000000000001E-2</v>
      </c>
      <c r="AA4" s="1">
        <v>2.8509999999999998E-3</v>
      </c>
      <c r="AB4" s="1">
        <v>2.8509999999999998E-3</v>
      </c>
      <c r="AC4" s="1">
        <v>2.8509999999999998E-3</v>
      </c>
      <c r="AD4" s="1">
        <v>2.8509999999999998E-3</v>
      </c>
      <c r="AE4" s="2" t="e">
        <v>#DIV/0!</v>
      </c>
    </row>
    <row r="5" spans="1:31" x14ac:dyDescent="0.25">
      <c r="A5" s="1" t="s">
        <v>31</v>
      </c>
      <c r="B5" s="1" t="s">
        <v>6</v>
      </c>
      <c r="C5" s="1" t="s">
        <v>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2" t="e">
        <v>#DIV/0!</v>
      </c>
    </row>
    <row r="6" spans="1:31" x14ac:dyDescent="0.25">
      <c r="A6" s="1" t="s">
        <v>31</v>
      </c>
      <c r="B6" s="3" t="s">
        <v>7</v>
      </c>
      <c r="C6" s="1" t="s">
        <v>3</v>
      </c>
      <c r="D6" s="1">
        <v>81.828361999999998</v>
      </c>
      <c r="E6" s="1">
        <v>83.483390999999997</v>
      </c>
      <c r="F6" s="1">
        <v>85.449691999999999</v>
      </c>
      <c r="G6" s="1">
        <v>86.366837000000004</v>
      </c>
      <c r="H6" s="1">
        <v>86.502364999999998</v>
      </c>
      <c r="I6" s="1">
        <v>87.594504999999998</v>
      </c>
      <c r="J6" s="1">
        <v>89.254585000000006</v>
      </c>
      <c r="K6" s="1">
        <v>92.191733999999997</v>
      </c>
      <c r="L6" s="1">
        <v>97.385536000000002</v>
      </c>
      <c r="M6" s="1">
        <v>102.194153</v>
      </c>
      <c r="N6" s="1">
        <v>106.86994199999999</v>
      </c>
      <c r="O6" s="1">
        <v>111.166748</v>
      </c>
      <c r="P6" s="1">
        <v>115.462227</v>
      </c>
      <c r="Q6" s="1">
        <v>119.44425200000001</v>
      </c>
      <c r="R6" s="1">
        <v>123.266655</v>
      </c>
      <c r="S6" s="1">
        <v>126.880302</v>
      </c>
      <c r="T6" s="1">
        <v>130.345642</v>
      </c>
      <c r="U6" s="1">
        <v>133.50363200000001</v>
      </c>
      <c r="V6" s="1">
        <v>136.44360399999999</v>
      </c>
      <c r="W6" s="1">
        <v>139.161362</v>
      </c>
      <c r="X6" s="1">
        <v>141.605377</v>
      </c>
      <c r="Y6" s="1">
        <v>143.845856</v>
      </c>
      <c r="Z6" s="1">
        <v>145.67907700000001</v>
      </c>
      <c r="AA6" s="1">
        <v>147.54776000000001</v>
      </c>
      <c r="AB6" s="1">
        <v>149.597183</v>
      </c>
      <c r="AC6" s="1">
        <v>151.441956</v>
      </c>
      <c r="AD6" s="1">
        <v>153.05415300000001</v>
      </c>
      <c r="AE6" s="2">
        <v>0.87042914289302309</v>
      </c>
    </row>
    <row r="7" spans="1:31" x14ac:dyDescent="0.25">
      <c r="A7" s="1" t="s">
        <v>8</v>
      </c>
      <c r="B7" s="1" t="s">
        <v>9</v>
      </c>
      <c r="C7" s="1" t="s">
        <v>3</v>
      </c>
      <c r="D7" s="1">
        <v>112.352913</v>
      </c>
      <c r="E7" s="1">
        <v>114.625305</v>
      </c>
      <c r="F7" s="1">
        <v>117.325104</v>
      </c>
      <c r="G7" s="1">
        <v>118.584366</v>
      </c>
      <c r="H7" s="1">
        <v>118.770454</v>
      </c>
      <c r="I7" s="1">
        <v>120.269997</v>
      </c>
      <c r="J7" s="1">
        <v>122.549347</v>
      </c>
      <c r="K7" s="1">
        <v>126.58213000000001</v>
      </c>
      <c r="L7" s="1">
        <v>133.713379</v>
      </c>
      <c r="M7" s="1">
        <v>140.315765</v>
      </c>
      <c r="N7" s="1">
        <v>146.73577900000001</v>
      </c>
      <c r="O7" s="1">
        <v>152.63542200000001</v>
      </c>
      <c r="P7" s="1">
        <v>158.462784</v>
      </c>
      <c r="Q7" s="1">
        <v>163.93022199999999</v>
      </c>
      <c r="R7" s="1">
        <v>169.17849699999999</v>
      </c>
      <c r="S7" s="1">
        <v>174.14013700000001</v>
      </c>
      <c r="T7" s="1">
        <v>178.898178</v>
      </c>
      <c r="U7" s="1">
        <v>183.23419200000001</v>
      </c>
      <c r="V7" s="1">
        <v>187.27082799999999</v>
      </c>
      <c r="W7" s="1">
        <v>191.002441</v>
      </c>
      <c r="X7" s="1">
        <v>194.35810900000001</v>
      </c>
      <c r="Y7" s="1">
        <v>197.43438699999999</v>
      </c>
      <c r="Z7" s="1">
        <v>199.999908</v>
      </c>
      <c r="AA7" s="1">
        <v>202.583755</v>
      </c>
      <c r="AB7" s="1">
        <v>205.397705</v>
      </c>
      <c r="AC7" s="1">
        <v>207.930634</v>
      </c>
      <c r="AD7" s="1">
        <v>210.144226</v>
      </c>
      <c r="AE7" s="2" cm="1">
        <f t="array" ref="AE7:AE9">(AD7:AD9-D7:D9)/D7:D9</f>
        <v>0.87039410362239567</v>
      </c>
    </row>
    <row r="8" spans="1:31" x14ac:dyDescent="0.25">
      <c r="A8" s="1" t="s">
        <v>8</v>
      </c>
      <c r="B8" s="1" t="s">
        <v>10</v>
      </c>
      <c r="C8" s="1" t="s">
        <v>3</v>
      </c>
      <c r="D8" s="1">
        <v>0.272899</v>
      </c>
      <c r="E8" s="1">
        <v>0.278418</v>
      </c>
      <c r="F8" s="1">
        <v>0.28497600000000001</v>
      </c>
      <c r="G8" s="1">
        <v>0.28803499999999999</v>
      </c>
      <c r="H8" s="1">
        <v>0.28848699999999999</v>
      </c>
      <c r="I8" s="1">
        <v>0.29212900000000003</v>
      </c>
      <c r="J8" s="1">
        <v>0.29766599999999999</v>
      </c>
      <c r="K8" s="1">
        <v>0.30746099999999998</v>
      </c>
      <c r="L8" s="1">
        <v>0.32478200000000002</v>
      </c>
      <c r="M8" s="1">
        <v>0.34081899999999998</v>
      </c>
      <c r="N8" s="1">
        <v>0.35641299999999998</v>
      </c>
      <c r="O8" s="1">
        <v>0.37074299999999999</v>
      </c>
      <c r="P8" s="1">
        <v>0.45573999999999998</v>
      </c>
      <c r="Q8" s="1">
        <v>0.46901999999999999</v>
      </c>
      <c r="R8" s="1">
        <v>0.48176799999999997</v>
      </c>
      <c r="S8" s="1">
        <v>0.49381999999999998</v>
      </c>
      <c r="T8" s="1">
        <v>0.50537699999999997</v>
      </c>
      <c r="U8" s="1">
        <v>0.51590899999999995</v>
      </c>
      <c r="V8" s="1">
        <v>0.52571299999999999</v>
      </c>
      <c r="W8" s="1">
        <v>0.53477699999999995</v>
      </c>
      <c r="X8" s="1">
        <v>0.54292799999999997</v>
      </c>
      <c r="Y8" s="1">
        <v>0.5504</v>
      </c>
      <c r="Z8" s="1">
        <v>0.50792700000000002</v>
      </c>
      <c r="AA8" s="1">
        <v>0.496</v>
      </c>
      <c r="AB8" s="1">
        <v>0.50283500000000003</v>
      </c>
      <c r="AC8" s="1">
        <v>0.508988</v>
      </c>
      <c r="AD8" s="1">
        <v>0.51436400000000004</v>
      </c>
      <c r="AE8" s="2">
        <v>0.88481452845191821</v>
      </c>
    </row>
    <row r="9" spans="1:31" x14ac:dyDescent="0.25">
      <c r="A9" s="1" t="s">
        <v>8</v>
      </c>
      <c r="B9" s="1" t="s">
        <v>11</v>
      </c>
      <c r="C9" s="1" t="s">
        <v>3</v>
      </c>
      <c r="D9" s="1">
        <v>112.625809</v>
      </c>
      <c r="E9" s="1">
        <v>114.90372499999999</v>
      </c>
      <c r="F9" s="1">
        <v>117.610077</v>
      </c>
      <c r="G9" s="1">
        <v>118.872398</v>
      </c>
      <c r="H9" s="1">
        <v>119.05894499999999</v>
      </c>
      <c r="I9" s="1">
        <v>120.56212600000001</v>
      </c>
      <c r="J9" s="1">
        <v>122.847015</v>
      </c>
      <c r="K9" s="1">
        <v>126.889595</v>
      </c>
      <c r="L9" s="1">
        <v>134.038162</v>
      </c>
      <c r="M9" s="1">
        <v>140.656586</v>
      </c>
      <c r="N9" s="1">
        <v>147.09219400000001</v>
      </c>
      <c r="O9" s="1">
        <v>153.00616500000001</v>
      </c>
      <c r="P9" s="1">
        <v>158.91851800000001</v>
      </c>
      <c r="Q9" s="1">
        <v>164.39924600000001</v>
      </c>
      <c r="R9" s="1">
        <v>169.66026299999999</v>
      </c>
      <c r="S9" s="1">
        <v>174.63395700000001</v>
      </c>
      <c r="T9" s="1">
        <v>179.403549</v>
      </c>
      <c r="U9" s="1">
        <v>183.75010700000001</v>
      </c>
      <c r="V9" s="1">
        <v>187.796539</v>
      </c>
      <c r="W9" s="1">
        <v>191.537216</v>
      </c>
      <c r="X9" s="1">
        <v>194.90103099999999</v>
      </c>
      <c r="Y9" s="1">
        <v>197.98478700000001</v>
      </c>
      <c r="Z9" s="1">
        <v>200.50784300000001</v>
      </c>
      <c r="AA9" s="1">
        <v>203.079758</v>
      </c>
      <c r="AB9" s="1">
        <v>205.900543</v>
      </c>
      <c r="AC9" s="1">
        <v>208.43962099999999</v>
      </c>
      <c r="AD9" s="1">
        <v>210.65858499999999</v>
      </c>
      <c r="AE9" s="2">
        <v>0.87042905059176956</v>
      </c>
    </row>
    <row r="10" spans="1:31" x14ac:dyDescent="0.25">
      <c r="A10" s="1" t="s">
        <v>27</v>
      </c>
      <c r="B10" s="1" t="s">
        <v>9</v>
      </c>
      <c r="C10" s="1" t="s">
        <v>3</v>
      </c>
      <c r="D10" s="1">
        <v>112.352913</v>
      </c>
      <c r="E10" s="1">
        <v>114.625305</v>
      </c>
      <c r="F10" s="1">
        <v>117.325104</v>
      </c>
      <c r="G10" s="1">
        <v>118.584366</v>
      </c>
      <c r="H10" s="1">
        <v>118.770454</v>
      </c>
      <c r="I10" s="1">
        <v>120.269997</v>
      </c>
      <c r="J10" s="1">
        <v>122.549347</v>
      </c>
      <c r="K10" s="1">
        <v>126.58213000000001</v>
      </c>
      <c r="L10" s="1">
        <v>133.713379</v>
      </c>
      <c r="M10" s="1">
        <v>140.315765</v>
      </c>
      <c r="N10" s="1">
        <v>146.73577900000001</v>
      </c>
      <c r="O10" s="1">
        <v>152.63542200000001</v>
      </c>
      <c r="P10" s="1">
        <v>158.462784</v>
      </c>
      <c r="Q10" s="1">
        <v>163.93022199999999</v>
      </c>
      <c r="R10" s="1">
        <v>169.17849699999999</v>
      </c>
      <c r="S10" s="1">
        <v>174.14013700000001</v>
      </c>
      <c r="T10" s="1">
        <v>178.898178</v>
      </c>
      <c r="U10" s="1">
        <v>183.23419200000001</v>
      </c>
      <c r="V10" s="1">
        <v>187.27082799999999</v>
      </c>
      <c r="W10" s="1">
        <v>191.002441</v>
      </c>
      <c r="X10" s="1">
        <v>194.35810900000001</v>
      </c>
      <c r="Y10" s="1">
        <v>197.43438699999999</v>
      </c>
      <c r="Z10" s="1">
        <v>199.999908</v>
      </c>
      <c r="AA10" s="1">
        <v>202.583755</v>
      </c>
      <c r="AB10" s="1">
        <v>205.397705</v>
      </c>
      <c r="AC10" s="1">
        <v>207.930634</v>
      </c>
      <c r="AD10" s="1">
        <v>210.144226</v>
      </c>
      <c r="AE10" s="2" cm="1">
        <f t="array" ref="AE10:AE14">(AD10:AD14-D10:D14)/D10:D14</f>
        <v>0.87039410362239567</v>
      </c>
    </row>
    <row r="11" spans="1:31" x14ac:dyDescent="0.25">
      <c r="A11" s="1" t="s">
        <v>27</v>
      </c>
      <c r="B11" s="1" t="s">
        <v>12</v>
      </c>
      <c r="C11" s="1" t="s">
        <v>3</v>
      </c>
      <c r="D11" s="1">
        <v>95.893180999999998</v>
      </c>
      <c r="E11" s="1">
        <v>97.832663999999994</v>
      </c>
      <c r="F11" s="1">
        <v>100.136948</v>
      </c>
      <c r="G11" s="1">
        <v>101.21172300000001</v>
      </c>
      <c r="H11" s="1">
        <v>101.370552</v>
      </c>
      <c r="I11" s="1">
        <v>102.650406</v>
      </c>
      <c r="J11" s="1">
        <v>104.595833</v>
      </c>
      <c r="K11" s="1">
        <v>108.037811</v>
      </c>
      <c r="L11" s="1">
        <v>114.124336</v>
      </c>
      <c r="M11" s="1">
        <v>119.759468</v>
      </c>
      <c r="N11" s="1">
        <v>125.238945</v>
      </c>
      <c r="O11" s="1">
        <v>130.274292</v>
      </c>
      <c r="P11" s="1">
        <v>135.24794</v>
      </c>
      <c r="Q11" s="1">
        <v>139.91439800000001</v>
      </c>
      <c r="R11" s="1">
        <v>144.39381399999999</v>
      </c>
      <c r="S11" s="1">
        <v>148.62857099999999</v>
      </c>
      <c r="T11" s="1">
        <v>152.68954500000001</v>
      </c>
      <c r="U11" s="1">
        <v>156.39033499999999</v>
      </c>
      <c r="V11" s="1">
        <v>159.83560199999999</v>
      </c>
      <c r="W11" s="1">
        <v>163.020523</v>
      </c>
      <c r="X11" s="1">
        <v>165.88459800000001</v>
      </c>
      <c r="Y11" s="1">
        <v>168.51019299999999</v>
      </c>
      <c r="Z11" s="1">
        <v>170.69986</v>
      </c>
      <c r="AA11" s="1">
        <v>172.90521200000001</v>
      </c>
      <c r="AB11" s="1">
        <v>175.30688499999999</v>
      </c>
      <c r="AC11" s="1">
        <v>177.46873500000001</v>
      </c>
      <c r="AD11" s="1">
        <v>179.35803200000001</v>
      </c>
      <c r="AE11" s="2">
        <v>0.87039401685923856</v>
      </c>
    </row>
    <row r="12" spans="1:31" x14ac:dyDescent="0.25">
      <c r="A12" s="1" t="s">
        <v>27</v>
      </c>
      <c r="B12" s="1" t="s">
        <v>13</v>
      </c>
      <c r="C12" s="1" t="s">
        <v>3</v>
      </c>
      <c r="D12" s="1">
        <v>16.459731999999999</v>
      </c>
      <c r="E12" s="1">
        <v>16.792639000000001</v>
      </c>
      <c r="F12" s="1">
        <v>17.18816</v>
      </c>
      <c r="G12" s="1">
        <v>17.372643</v>
      </c>
      <c r="H12" s="1">
        <v>17.399903999999999</v>
      </c>
      <c r="I12" s="1">
        <v>17.619586999999999</v>
      </c>
      <c r="J12" s="1">
        <v>17.953512</v>
      </c>
      <c r="K12" s="1">
        <v>18.544315000000001</v>
      </c>
      <c r="L12" s="1">
        <v>19.589046</v>
      </c>
      <c r="M12" s="1">
        <v>20.556297000000001</v>
      </c>
      <c r="N12" s="1">
        <v>21.496832000000001</v>
      </c>
      <c r="O12" s="1">
        <v>22.361132000000001</v>
      </c>
      <c r="P12" s="1">
        <v>23.214839999999999</v>
      </c>
      <c r="Q12" s="1">
        <v>24.015820999999999</v>
      </c>
      <c r="R12" s="1">
        <v>24.784697000000001</v>
      </c>
      <c r="S12" s="1">
        <v>25.511578</v>
      </c>
      <c r="T12" s="1">
        <v>26.208632000000001</v>
      </c>
      <c r="U12" s="1">
        <v>26.843858999999998</v>
      </c>
      <c r="V12" s="1">
        <v>27.435227999999999</v>
      </c>
      <c r="W12" s="1">
        <v>27.981909000000002</v>
      </c>
      <c r="X12" s="1">
        <v>28.473516</v>
      </c>
      <c r="Y12" s="1">
        <v>28.924191</v>
      </c>
      <c r="Z12" s="1">
        <v>29.300041</v>
      </c>
      <c r="AA12" s="1">
        <v>29.678578999999999</v>
      </c>
      <c r="AB12" s="1">
        <v>30.090820000000001</v>
      </c>
      <c r="AC12" s="1">
        <v>30.461893</v>
      </c>
      <c r="AD12" s="1">
        <v>30.786183999999999</v>
      </c>
      <c r="AE12" s="2">
        <v>0.87039400155482483</v>
      </c>
    </row>
    <row r="13" spans="1:31" x14ac:dyDescent="0.25">
      <c r="A13" s="1" t="s">
        <v>27</v>
      </c>
      <c r="B13" s="1" t="s">
        <v>14</v>
      </c>
      <c r="C13" s="1" t="s">
        <v>3</v>
      </c>
      <c r="D13" s="1">
        <v>0.272899</v>
      </c>
      <c r="E13" s="1">
        <v>0.278418</v>
      </c>
      <c r="F13" s="1">
        <v>0.28497600000000001</v>
      </c>
      <c r="G13" s="1">
        <v>0.28803499999999999</v>
      </c>
      <c r="H13" s="1">
        <v>0.28848699999999999</v>
      </c>
      <c r="I13" s="1">
        <v>0.29212900000000003</v>
      </c>
      <c r="J13" s="1">
        <v>0.29766599999999999</v>
      </c>
      <c r="K13" s="1">
        <v>0.30746099999999998</v>
      </c>
      <c r="L13" s="1">
        <v>0.32478200000000002</v>
      </c>
      <c r="M13" s="1">
        <v>0.34081899999999998</v>
      </c>
      <c r="N13" s="1">
        <v>0.35641299999999998</v>
      </c>
      <c r="O13" s="1">
        <v>0.37074299999999999</v>
      </c>
      <c r="P13" s="1">
        <v>0.38489699999999999</v>
      </c>
      <c r="Q13" s="1">
        <v>0.398177</v>
      </c>
      <c r="R13" s="1">
        <v>0.41092499999999998</v>
      </c>
      <c r="S13" s="1">
        <v>0.42297699999999999</v>
      </c>
      <c r="T13" s="1">
        <v>0.43453399999999998</v>
      </c>
      <c r="U13" s="1">
        <v>0.44506600000000002</v>
      </c>
      <c r="V13" s="1">
        <v>0.45487</v>
      </c>
      <c r="W13" s="1">
        <v>0.46393400000000001</v>
      </c>
      <c r="X13" s="1">
        <v>0.47208499999999998</v>
      </c>
      <c r="Y13" s="1">
        <v>0.47955700000000001</v>
      </c>
      <c r="Z13" s="1">
        <v>0.48578900000000003</v>
      </c>
      <c r="AA13" s="1">
        <v>0.49206499999999997</v>
      </c>
      <c r="AB13" s="1">
        <v>0.49890000000000001</v>
      </c>
      <c r="AC13" s="1">
        <v>0.50505199999999995</v>
      </c>
      <c r="AD13" s="1">
        <v>0.51042900000000002</v>
      </c>
      <c r="AE13" s="2">
        <v>0.870395274442193</v>
      </c>
    </row>
    <row r="14" spans="1:31" x14ac:dyDescent="0.25">
      <c r="A14" s="1" t="s">
        <v>27</v>
      </c>
      <c r="B14" s="1" t="s">
        <v>15</v>
      </c>
      <c r="C14" s="1" t="s">
        <v>3</v>
      </c>
      <c r="D14" s="1">
        <v>112.625809</v>
      </c>
      <c r="E14" s="1">
        <v>114.90372499999999</v>
      </c>
      <c r="F14" s="1">
        <v>117.610077</v>
      </c>
      <c r="G14" s="1">
        <v>118.872398</v>
      </c>
      <c r="H14" s="1">
        <v>119.05894499999999</v>
      </c>
      <c r="I14" s="1">
        <v>120.56212600000001</v>
      </c>
      <c r="J14" s="1">
        <v>122.847015</v>
      </c>
      <c r="K14" s="1">
        <v>126.889595</v>
      </c>
      <c r="L14" s="1">
        <v>134.038162</v>
      </c>
      <c r="M14" s="1">
        <v>140.656586</v>
      </c>
      <c r="N14" s="1">
        <v>147.09219400000001</v>
      </c>
      <c r="O14" s="1">
        <v>153.00616500000001</v>
      </c>
      <c r="P14" s="1">
        <v>158.84768700000001</v>
      </c>
      <c r="Q14" s="1">
        <v>164.32839999999999</v>
      </c>
      <c r="R14" s="1">
        <v>169.589417</v>
      </c>
      <c r="S14" s="1">
        <v>174.56310999999999</v>
      </c>
      <c r="T14" s="1">
        <v>179.332718</v>
      </c>
      <c r="U14" s="1">
        <v>183.67926</v>
      </c>
      <c r="V14" s="1">
        <v>187.72569300000001</v>
      </c>
      <c r="W14" s="1">
        <v>191.46637000000001</v>
      </c>
      <c r="X14" s="1">
        <v>194.83019999999999</v>
      </c>
      <c r="Y14" s="1">
        <v>197.91394</v>
      </c>
      <c r="Z14" s="1">
        <v>200.485703</v>
      </c>
      <c r="AA14" s="1">
        <v>203.07582099999999</v>
      </c>
      <c r="AB14" s="1">
        <v>205.89660599999999</v>
      </c>
      <c r="AC14" s="1">
        <v>208.43568400000001</v>
      </c>
      <c r="AD14" s="1">
        <v>210.65464800000001</v>
      </c>
      <c r="AE14" s="2">
        <v>0.8703940941281052</v>
      </c>
    </row>
    <row r="15" spans="1:31" x14ac:dyDescent="0.25">
      <c r="A15" s="1" t="s">
        <v>28</v>
      </c>
      <c r="B15" s="1" t="s">
        <v>14</v>
      </c>
      <c r="C15" s="1" t="s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7.0843000000000003E-2</v>
      </c>
      <c r="Q15" s="1">
        <v>7.0843000000000003E-2</v>
      </c>
      <c r="R15" s="1">
        <v>7.0843000000000003E-2</v>
      </c>
      <c r="S15" s="1">
        <v>7.0843000000000003E-2</v>
      </c>
      <c r="T15" s="1">
        <v>7.0843000000000003E-2</v>
      </c>
      <c r="U15" s="1">
        <v>7.0843000000000003E-2</v>
      </c>
      <c r="V15" s="1">
        <v>7.0843000000000003E-2</v>
      </c>
      <c r="W15" s="1">
        <v>7.0843000000000003E-2</v>
      </c>
      <c r="X15" s="1">
        <v>7.0843000000000003E-2</v>
      </c>
      <c r="Y15" s="1">
        <v>7.0843000000000003E-2</v>
      </c>
      <c r="Z15" s="1">
        <v>2.2138000000000001E-2</v>
      </c>
      <c r="AA15" s="1">
        <v>3.9360000000000003E-3</v>
      </c>
      <c r="AB15" s="1">
        <v>3.9360000000000003E-3</v>
      </c>
      <c r="AC15" s="1">
        <v>3.9360000000000003E-3</v>
      </c>
      <c r="AD15" s="1">
        <v>3.9360000000000003E-3</v>
      </c>
      <c r="AE15" s="2" t="e">
        <f>(AD15-D15)/D15</f>
        <v>#DIV/0!</v>
      </c>
    </row>
    <row r="16" spans="1:31" x14ac:dyDescent="0.25">
      <c r="A16" s="1" t="s">
        <v>16</v>
      </c>
      <c r="B16" s="1" t="s">
        <v>17</v>
      </c>
      <c r="C16" s="1" t="s">
        <v>3</v>
      </c>
      <c r="D16" s="1">
        <v>81.798491999999996</v>
      </c>
      <c r="E16" s="1">
        <v>83.283493000000007</v>
      </c>
      <c r="F16" s="1">
        <v>84.981178</v>
      </c>
      <c r="G16" s="1">
        <v>85.265326999999999</v>
      </c>
      <c r="H16" s="1">
        <v>85.080916999999999</v>
      </c>
      <c r="I16" s="1">
        <v>85.357192999999995</v>
      </c>
      <c r="J16" s="1">
        <v>86.133788999999993</v>
      </c>
      <c r="K16" s="1">
        <v>86.965560999999994</v>
      </c>
      <c r="L16" s="1">
        <v>87.795776000000004</v>
      </c>
      <c r="M16" s="1">
        <v>88.244797000000005</v>
      </c>
      <c r="N16" s="1">
        <v>89.082176000000004</v>
      </c>
      <c r="O16" s="1">
        <v>89.809685000000002</v>
      </c>
      <c r="P16" s="1">
        <v>90.752746999999999</v>
      </c>
      <c r="Q16" s="1">
        <v>91.582061999999993</v>
      </c>
      <c r="R16" s="1">
        <v>92.440010000000001</v>
      </c>
      <c r="S16" s="1">
        <v>93.223350999999994</v>
      </c>
      <c r="T16" s="1">
        <v>93.986007999999998</v>
      </c>
      <c r="U16" s="1">
        <v>94.712233999999995</v>
      </c>
      <c r="V16" s="1">
        <v>95.377433999999994</v>
      </c>
      <c r="W16" s="1">
        <v>96.076462000000006</v>
      </c>
      <c r="X16" s="1">
        <v>96.719230999999994</v>
      </c>
      <c r="Y16" s="1">
        <v>97.256698999999998</v>
      </c>
      <c r="Z16" s="1">
        <v>97.664733999999996</v>
      </c>
      <c r="AA16" s="1">
        <v>98.131073000000001</v>
      </c>
      <c r="AB16" s="1">
        <v>98.863945000000001</v>
      </c>
      <c r="AC16" s="1">
        <v>99.514977000000002</v>
      </c>
      <c r="AD16" s="1">
        <v>100.10849</v>
      </c>
      <c r="AE16" s="2" cm="1">
        <f t="array" ref="AE16:AE20">(AD16:AD20-D16:D20)/D16:D20</f>
        <v>0.22384273294427004</v>
      </c>
    </row>
    <row r="17" spans="1:31" x14ac:dyDescent="0.25">
      <c r="A17" s="1" t="s">
        <v>16</v>
      </c>
      <c r="B17" s="1" t="s">
        <v>18</v>
      </c>
      <c r="C17" s="1" t="s">
        <v>3</v>
      </c>
      <c r="D17" s="1">
        <v>20.834489999999999</v>
      </c>
      <c r="E17" s="1">
        <v>20.834489999999999</v>
      </c>
      <c r="F17" s="1">
        <v>20.834489999999999</v>
      </c>
      <c r="G17" s="1">
        <v>20.834489999999999</v>
      </c>
      <c r="H17" s="1">
        <v>20.834489999999999</v>
      </c>
      <c r="I17" s="1">
        <v>20.834489999999999</v>
      </c>
      <c r="J17" s="1">
        <v>20.834489999999999</v>
      </c>
      <c r="K17" s="1">
        <v>20.834489999999999</v>
      </c>
      <c r="L17" s="1">
        <v>20.834489999999999</v>
      </c>
      <c r="M17" s="1">
        <v>20.834489999999999</v>
      </c>
      <c r="N17" s="1">
        <v>20.834489999999999</v>
      </c>
      <c r="O17" s="1">
        <v>20.834489999999999</v>
      </c>
      <c r="P17" s="1">
        <v>20.834489999999999</v>
      </c>
      <c r="Q17" s="1">
        <v>20.834489999999999</v>
      </c>
      <c r="R17" s="1">
        <v>20.834489999999999</v>
      </c>
      <c r="S17" s="1">
        <v>20.834489999999999</v>
      </c>
      <c r="T17" s="1">
        <v>20.834489999999999</v>
      </c>
      <c r="U17" s="1">
        <v>20.834489999999999</v>
      </c>
      <c r="V17" s="1">
        <v>20.834489999999999</v>
      </c>
      <c r="W17" s="1">
        <v>20.834489999999999</v>
      </c>
      <c r="X17" s="1">
        <v>20.834489999999999</v>
      </c>
      <c r="Y17" s="1">
        <v>20.834489999999999</v>
      </c>
      <c r="Z17" s="1">
        <v>20.834489999999999</v>
      </c>
      <c r="AA17" s="1">
        <v>20.834489999999999</v>
      </c>
      <c r="AB17" s="1">
        <v>20.834489999999999</v>
      </c>
      <c r="AC17" s="1">
        <v>20.834489999999999</v>
      </c>
      <c r="AD17" s="1">
        <v>20.834489999999999</v>
      </c>
      <c r="AE17" s="2">
        <v>0</v>
      </c>
    </row>
    <row r="18" spans="1:31" x14ac:dyDescent="0.25">
      <c r="A18" s="1" t="s">
        <v>16</v>
      </c>
      <c r="B18" s="1" t="s">
        <v>19</v>
      </c>
      <c r="C18" s="1" t="s">
        <v>3</v>
      </c>
      <c r="D18" s="1">
        <v>60.964005</v>
      </c>
      <c r="E18" s="1">
        <v>62.449005</v>
      </c>
      <c r="F18" s="1">
        <v>64.146690000000007</v>
      </c>
      <c r="G18" s="1">
        <v>64.430840000000003</v>
      </c>
      <c r="H18" s="1">
        <v>64.246429000000006</v>
      </c>
      <c r="I18" s="1">
        <v>64.522705000000002</v>
      </c>
      <c r="J18" s="1">
        <v>65.299301</v>
      </c>
      <c r="K18" s="1">
        <v>66.131073000000001</v>
      </c>
      <c r="L18" s="1">
        <v>66.961287999999996</v>
      </c>
      <c r="M18" s="1">
        <v>67.410308999999998</v>
      </c>
      <c r="N18" s="1">
        <v>68.247687999999997</v>
      </c>
      <c r="O18" s="1">
        <v>68.975196999999994</v>
      </c>
      <c r="P18" s="1">
        <v>69.918259000000006</v>
      </c>
      <c r="Q18" s="1">
        <v>70.747574</v>
      </c>
      <c r="R18" s="1">
        <v>71.605521999999993</v>
      </c>
      <c r="S18" s="1">
        <v>72.388863000000001</v>
      </c>
      <c r="T18" s="1">
        <v>73.151520000000005</v>
      </c>
      <c r="U18" s="1">
        <v>73.877746999999999</v>
      </c>
      <c r="V18" s="1">
        <v>74.542946000000001</v>
      </c>
      <c r="W18" s="1">
        <v>75.241973999999999</v>
      </c>
      <c r="X18" s="1">
        <v>75.884743</v>
      </c>
      <c r="Y18" s="1">
        <v>76.422211000000004</v>
      </c>
      <c r="Z18" s="1">
        <v>76.830246000000002</v>
      </c>
      <c r="AA18" s="1">
        <v>77.296584999999993</v>
      </c>
      <c r="AB18" s="1">
        <v>78.029456999999994</v>
      </c>
      <c r="AC18" s="1">
        <v>78.680488999999994</v>
      </c>
      <c r="AD18" s="1">
        <v>79.274001999999996</v>
      </c>
      <c r="AE18" s="2">
        <v>0.300341111119586</v>
      </c>
    </row>
    <row r="19" spans="1:31" x14ac:dyDescent="0.25">
      <c r="A19" s="1" t="s">
        <v>16</v>
      </c>
      <c r="B19" s="1" t="s">
        <v>20</v>
      </c>
      <c r="C19" s="1" t="s">
        <v>3</v>
      </c>
      <c r="D19" s="1">
        <v>2.9860999999999999E-2</v>
      </c>
      <c r="E19" s="1">
        <v>0.19675200000000001</v>
      </c>
      <c r="F19" s="1">
        <v>0.47546699999999997</v>
      </c>
      <c r="G19" s="1">
        <v>0.89840600000000004</v>
      </c>
      <c r="H19" s="1">
        <v>1.537385</v>
      </c>
      <c r="I19" s="1">
        <v>2.3012440000000001</v>
      </c>
      <c r="J19" s="1">
        <v>3.1783190000000001</v>
      </c>
      <c r="K19" s="1">
        <v>5.1654840000000002</v>
      </c>
      <c r="L19" s="1">
        <v>9.6803050000000006</v>
      </c>
      <c r="M19" s="1">
        <v>13.834540000000001</v>
      </c>
      <c r="N19" s="1">
        <v>17.694137999999999</v>
      </c>
      <c r="O19" s="1">
        <v>21.244022000000001</v>
      </c>
      <c r="P19" s="1">
        <v>24.607882</v>
      </c>
      <c r="Q19" s="1">
        <v>27.805983999999999</v>
      </c>
      <c r="R19" s="1">
        <v>30.807734</v>
      </c>
      <c r="S19" s="1">
        <v>33.652203</v>
      </c>
      <c r="T19" s="1">
        <v>36.327927000000003</v>
      </c>
      <c r="U19" s="1">
        <v>38.749447000000004</v>
      </c>
      <c r="V19" s="1">
        <v>41.016396</v>
      </c>
      <c r="W19" s="1">
        <v>43.000317000000003</v>
      </c>
      <c r="X19" s="1">
        <v>44.791840000000001</v>
      </c>
      <c r="Y19" s="1">
        <v>46.480567999999998</v>
      </c>
      <c r="Z19" s="1">
        <v>47.930366999999997</v>
      </c>
      <c r="AA19" s="1">
        <v>49.248722000000001</v>
      </c>
      <c r="AB19" s="1">
        <v>50.522472</v>
      </c>
      <c r="AC19" s="1">
        <v>51.726799</v>
      </c>
      <c r="AD19" s="1">
        <v>52.779952999999999</v>
      </c>
      <c r="AE19" s="2">
        <v>1766.5212819396538</v>
      </c>
    </row>
    <row r="20" spans="1:31" x14ac:dyDescent="0.25">
      <c r="A20" s="1" t="s">
        <v>16</v>
      </c>
      <c r="B20" s="1" t="s">
        <v>21</v>
      </c>
      <c r="C20" s="1" t="s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 t="e">
        <v>#DIV/0!</v>
      </c>
    </row>
    <row r="21" spans="1:31" x14ac:dyDescent="0.25">
      <c r="A21" s="1" t="s">
        <v>22</v>
      </c>
      <c r="B21" s="1" t="s">
        <v>24</v>
      </c>
      <c r="C21" s="1" t="s">
        <v>23</v>
      </c>
      <c r="D21" s="1">
        <v>7.0617260000000002</v>
      </c>
      <c r="E21" s="1">
        <v>7.9738990000000003</v>
      </c>
      <c r="F21" s="1">
        <v>7.7893359999999996</v>
      </c>
      <c r="G21" s="1">
        <v>7.6103300000000003</v>
      </c>
      <c r="H21" s="1">
        <v>7.7137289999999998</v>
      </c>
      <c r="I21" s="1">
        <v>7.8732410000000002</v>
      </c>
      <c r="J21" s="1">
        <v>8.066103</v>
      </c>
      <c r="K21" s="1">
        <v>8.1809189999999994</v>
      </c>
      <c r="L21" s="1">
        <v>8.6101360000000007</v>
      </c>
      <c r="M21" s="1">
        <v>9.0507150000000003</v>
      </c>
      <c r="N21" s="1">
        <v>9.3271650000000008</v>
      </c>
      <c r="O21" s="1">
        <v>9.4751169999999991</v>
      </c>
      <c r="P21" s="1">
        <v>9.4825800000000005</v>
      </c>
      <c r="Q21" s="1">
        <v>9.392652</v>
      </c>
      <c r="R21" s="1">
        <v>9.2884609999999999</v>
      </c>
      <c r="S21" s="1">
        <v>9.170636</v>
      </c>
      <c r="T21" s="1">
        <v>9.1417149999999996</v>
      </c>
      <c r="U21" s="1">
        <v>9.1660590000000006</v>
      </c>
      <c r="V21" s="1">
        <v>9.2194540000000007</v>
      </c>
      <c r="W21" s="1">
        <v>9.3372419999999998</v>
      </c>
      <c r="X21" s="1">
        <v>9.4161990000000007</v>
      </c>
      <c r="Y21" s="1">
        <v>9.4597099999999994</v>
      </c>
      <c r="Z21" s="1">
        <v>9.5014190000000003</v>
      </c>
      <c r="AA21" s="1">
        <v>9.4498359999999995</v>
      </c>
      <c r="AB21" s="1">
        <v>9.3180150000000008</v>
      </c>
      <c r="AC21" s="1">
        <v>9.1527180000000001</v>
      </c>
      <c r="AD21" s="1">
        <v>9.0003480000000007</v>
      </c>
      <c r="AE21" s="2">
        <f>(AD21-D21)/D21</f>
        <v>0.274525236464853</v>
      </c>
    </row>
    <row r="22" spans="1:31" x14ac:dyDescent="0.25">
      <c r="A22" s="1" t="s">
        <v>25</v>
      </c>
      <c r="B22" s="1" t="s">
        <v>26</v>
      </c>
      <c r="C22" s="1" t="s">
        <v>23</v>
      </c>
      <c r="D22" s="1">
        <v>9.5252479999999995</v>
      </c>
      <c r="E22" s="1">
        <v>10.437421000000001</v>
      </c>
      <c r="F22" s="1">
        <v>10.252858</v>
      </c>
      <c r="G22" s="1">
        <v>10.073852</v>
      </c>
      <c r="H22" s="1">
        <v>10.177251</v>
      </c>
      <c r="I22" s="1">
        <v>10.336762999999999</v>
      </c>
      <c r="J22" s="1">
        <v>10.529624</v>
      </c>
      <c r="K22" s="1">
        <v>10.644441</v>
      </c>
      <c r="L22" s="1">
        <v>11.073658</v>
      </c>
      <c r="M22" s="1">
        <v>11.514237</v>
      </c>
      <c r="N22" s="1">
        <v>11.790687999999999</v>
      </c>
      <c r="O22" s="1">
        <v>11.938637</v>
      </c>
      <c r="P22" s="1">
        <v>11.946103000000001</v>
      </c>
      <c r="Q22" s="1">
        <v>11.856173</v>
      </c>
      <c r="R22" s="1">
        <v>11.751982999999999</v>
      </c>
      <c r="S22" s="1">
        <v>11.634157999999999</v>
      </c>
      <c r="T22" s="1">
        <v>11.605237000000001</v>
      </c>
      <c r="U22" s="1">
        <v>11.629581</v>
      </c>
      <c r="V22" s="1">
        <v>11.682976</v>
      </c>
      <c r="W22" s="1">
        <v>11.800763999999999</v>
      </c>
      <c r="X22" s="1">
        <v>11.879720000000001</v>
      </c>
      <c r="Y22" s="1">
        <v>11.923232</v>
      </c>
      <c r="Z22" s="1">
        <v>11.964941</v>
      </c>
      <c r="AA22" s="1">
        <v>11.913358000000001</v>
      </c>
      <c r="AB22" s="1">
        <v>11.781537</v>
      </c>
      <c r="AC22" s="1">
        <v>11.616239999999999</v>
      </c>
      <c r="AD22" s="1">
        <v>11.46387</v>
      </c>
      <c r="AE22" s="2" cm="1">
        <f t="array" ref="AE22:AE24">(AD22:AD24-D22:D24)/D22:D24</f>
        <v>0.20352456964900029</v>
      </c>
    </row>
    <row r="23" spans="1:31" x14ac:dyDescent="0.25">
      <c r="A23" s="1" t="s">
        <v>25</v>
      </c>
      <c r="B23" s="1" t="s">
        <v>20</v>
      </c>
      <c r="C23" s="1" t="s">
        <v>23</v>
      </c>
      <c r="D23" s="1">
        <v>59.615307000000001</v>
      </c>
      <c r="E23" s="1">
        <v>60.527904999999997</v>
      </c>
      <c r="F23" s="1">
        <v>60.344462999999998</v>
      </c>
      <c r="G23" s="1">
        <v>60.165461999999998</v>
      </c>
      <c r="H23" s="1">
        <v>60.268859999999997</v>
      </c>
      <c r="I23" s="1">
        <v>60.428370999999999</v>
      </c>
      <c r="J23" s="1">
        <v>60.621245999999999</v>
      </c>
      <c r="K23" s="1">
        <v>60.736052999999998</v>
      </c>
      <c r="L23" s="1">
        <v>61.165260000000004</v>
      </c>
      <c r="M23" s="1">
        <v>61.605843</v>
      </c>
      <c r="N23" s="1">
        <v>61.882289999999998</v>
      </c>
      <c r="O23" s="1">
        <v>62.030247000000003</v>
      </c>
      <c r="P23" s="1">
        <v>62.037711999999999</v>
      </c>
      <c r="Q23" s="1">
        <v>61.947780999999999</v>
      </c>
      <c r="R23" s="1">
        <v>61.843589999999999</v>
      </c>
      <c r="S23" s="1">
        <v>61.725765000000003</v>
      </c>
      <c r="T23" s="1">
        <v>61.696846000000001</v>
      </c>
      <c r="U23" s="1">
        <v>61.721195000000002</v>
      </c>
      <c r="V23" s="1">
        <v>61.774585999999999</v>
      </c>
      <c r="W23" s="1">
        <v>61.892367999999998</v>
      </c>
      <c r="X23" s="1">
        <v>61.971328999999997</v>
      </c>
      <c r="Y23" s="1">
        <v>62.014842999999999</v>
      </c>
      <c r="Z23" s="1">
        <v>62.056548999999997</v>
      </c>
      <c r="AA23" s="1">
        <v>62.004962999999996</v>
      </c>
      <c r="AB23" s="1">
        <v>61.873145999999998</v>
      </c>
      <c r="AC23" s="1">
        <v>61.707847999999998</v>
      </c>
      <c r="AD23" s="1">
        <v>61.555477000000003</v>
      </c>
      <c r="AE23" s="2">
        <v>3.2544829468042526E-2</v>
      </c>
    </row>
    <row r="24" spans="1:31" x14ac:dyDescent="0.25">
      <c r="A24" s="1" t="s">
        <v>25</v>
      </c>
      <c r="B24" s="1" t="s">
        <v>21</v>
      </c>
      <c r="C24" s="1" t="s">
        <v>23</v>
      </c>
      <c r="D24" s="1">
        <v>9.5252479999999995</v>
      </c>
      <c r="E24" s="1">
        <v>10.437421000000001</v>
      </c>
      <c r="F24" s="1">
        <v>10.252858</v>
      </c>
      <c r="G24" s="1">
        <v>10.073852</v>
      </c>
      <c r="H24" s="1">
        <v>10.177251</v>
      </c>
      <c r="I24" s="1">
        <v>10.336762999999999</v>
      </c>
      <c r="J24" s="1">
        <v>10.529624</v>
      </c>
      <c r="K24" s="1">
        <v>10.644441</v>
      </c>
      <c r="L24" s="1">
        <v>11.073658</v>
      </c>
      <c r="M24" s="1">
        <v>11.514237</v>
      </c>
      <c r="N24" s="1">
        <v>11.790687999999999</v>
      </c>
      <c r="O24" s="1">
        <v>11.938637</v>
      </c>
      <c r="P24" s="1">
        <v>11.946103000000001</v>
      </c>
      <c r="Q24" s="1">
        <v>11.856173</v>
      </c>
      <c r="R24" s="1">
        <v>11.751982999999999</v>
      </c>
      <c r="S24" s="1">
        <v>11.634157999999999</v>
      </c>
      <c r="T24" s="1">
        <v>11.605237000000001</v>
      </c>
      <c r="U24" s="1">
        <v>11.629581</v>
      </c>
      <c r="V24" s="1">
        <v>11.682976</v>
      </c>
      <c r="W24" s="1">
        <v>11.800763999999999</v>
      </c>
      <c r="X24" s="1">
        <v>11.879720000000001</v>
      </c>
      <c r="Y24" s="1">
        <v>11.923232</v>
      </c>
      <c r="Z24" s="1">
        <v>11.964941</v>
      </c>
      <c r="AA24" s="1">
        <v>11.913358000000001</v>
      </c>
      <c r="AB24" s="1">
        <v>11.781537</v>
      </c>
      <c r="AC24" s="1">
        <v>11.616239999999999</v>
      </c>
      <c r="AD24" s="1">
        <v>11.46387</v>
      </c>
      <c r="AE24" s="2">
        <v>0.20352456964900029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4"/>
  <sheetViews>
    <sheetView tabSelected="1" workbookViewId="0">
      <selection sqref="A1:XFD1"/>
    </sheetView>
  </sheetViews>
  <sheetFormatPr defaultColWidth="8.7109375" defaultRowHeight="15" x14ac:dyDescent="0.25"/>
  <cols>
    <col min="1" max="1" width="51.5703125" style="1" bestFit="1" customWidth="1"/>
    <col min="2" max="2" width="65.7109375" style="1" bestFit="1" customWidth="1"/>
    <col min="3" max="30" width="8.7109375" style="1"/>
    <col min="31" max="31" width="17.5703125" style="1" bestFit="1" customWidth="1"/>
    <col min="32" max="16384" width="8.7109375" style="1"/>
  </cols>
  <sheetData>
    <row r="1" spans="1:31" s="4" customFormat="1" ht="15.75" thickBot="1" x14ac:dyDescent="0.3">
      <c r="A1" s="4" t="s">
        <v>29</v>
      </c>
      <c r="B1" s="4" t="s">
        <v>30</v>
      </c>
      <c r="C1" s="4" t="s">
        <v>0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  <c r="O1" s="4">
        <v>2035</v>
      </c>
      <c r="P1" s="4">
        <v>2036</v>
      </c>
      <c r="Q1" s="4">
        <v>2037</v>
      </c>
      <c r="R1" s="4">
        <v>2038</v>
      </c>
      <c r="S1" s="4">
        <v>2039</v>
      </c>
      <c r="T1" s="4">
        <v>2040</v>
      </c>
      <c r="U1" s="4">
        <v>2041</v>
      </c>
      <c r="V1" s="4">
        <v>2042</v>
      </c>
      <c r="W1" s="4">
        <v>2043</v>
      </c>
      <c r="X1" s="4">
        <v>2044</v>
      </c>
      <c r="Y1" s="4">
        <v>2045</v>
      </c>
      <c r="Z1" s="4">
        <v>2046</v>
      </c>
      <c r="AA1" s="4">
        <v>2047</v>
      </c>
      <c r="AB1" s="4">
        <v>2048</v>
      </c>
      <c r="AC1" s="4">
        <v>2049</v>
      </c>
      <c r="AD1" s="4">
        <v>2050</v>
      </c>
      <c r="AE1" s="4" t="s">
        <v>1</v>
      </c>
    </row>
    <row r="2" spans="1:31" ht="15.75" thickTop="1" x14ac:dyDescent="0.25">
      <c r="A2" s="1" t="s">
        <v>31</v>
      </c>
      <c r="B2" s="1" t="s">
        <v>2</v>
      </c>
      <c r="C2" s="1" t="s">
        <v>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0.81442999999999999</v>
      </c>
      <c r="L2" s="1">
        <v>3.9979339999999999</v>
      </c>
      <c r="M2" s="1">
        <v>6.179697</v>
      </c>
      <c r="N2" s="1">
        <v>9.423368</v>
      </c>
      <c r="O2" s="1">
        <v>12.403631000000001</v>
      </c>
      <c r="P2" s="1">
        <v>15.202572</v>
      </c>
      <c r="Q2" s="1">
        <v>17.872339</v>
      </c>
      <c r="R2" s="1">
        <v>20.414065999999998</v>
      </c>
      <c r="S2" s="1">
        <v>22.807286999999999</v>
      </c>
      <c r="T2" s="1">
        <v>25.108515000000001</v>
      </c>
      <c r="U2" s="1">
        <v>27.265898</v>
      </c>
      <c r="V2" s="1">
        <v>29.285440000000001</v>
      </c>
      <c r="W2" s="1">
        <v>31.100460000000002</v>
      </c>
      <c r="X2" s="1">
        <v>32.737437999999997</v>
      </c>
      <c r="Y2" s="1">
        <v>34.226157999999998</v>
      </c>
      <c r="Z2" s="1">
        <v>35.52552</v>
      </c>
      <c r="AA2" s="1">
        <v>36.729210000000002</v>
      </c>
      <c r="AB2" s="1">
        <v>37.868374000000003</v>
      </c>
      <c r="AC2" s="1">
        <v>38.948723000000001</v>
      </c>
      <c r="AD2" s="1">
        <v>39.902324999999998</v>
      </c>
      <c r="AE2" s="2" t="e" cm="1">
        <f t="array" ref="AE2:AE6">(AD2:AD6-D2:D6)/D2:D6</f>
        <v>#DIV/0!</v>
      </c>
    </row>
    <row r="3" spans="1:31" x14ac:dyDescent="0.25">
      <c r="A3" s="1" t="s">
        <v>31</v>
      </c>
      <c r="B3" s="1" t="s">
        <v>4</v>
      </c>
      <c r="C3" s="1" t="s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" t="e">
        <v>#DIV/0!</v>
      </c>
    </row>
    <row r="4" spans="1:31" x14ac:dyDescent="0.25">
      <c r="A4" s="1" t="s">
        <v>31</v>
      </c>
      <c r="B4" s="1" t="s">
        <v>5</v>
      </c>
      <c r="C4" s="1" t="s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 t="e">
        <v>#DIV/0!</v>
      </c>
    </row>
    <row r="5" spans="1:31" x14ac:dyDescent="0.25">
      <c r="A5" s="1" t="s">
        <v>31</v>
      </c>
      <c r="B5" s="1" t="s">
        <v>6</v>
      </c>
      <c r="C5" s="1" t="s">
        <v>3</v>
      </c>
      <c r="D5" s="1">
        <v>10.886903</v>
      </c>
      <c r="E5" s="1">
        <v>10.290274999999999</v>
      </c>
      <c r="F5" s="1">
        <v>10.290274999999999</v>
      </c>
      <c r="G5" s="1">
        <v>10.290274999999999</v>
      </c>
      <c r="H5" s="1">
        <v>10.290274999999999</v>
      </c>
      <c r="I5" s="1">
        <v>10.290274999999999</v>
      </c>
      <c r="J5" s="1">
        <v>10.290274999999999</v>
      </c>
      <c r="K5" s="1">
        <v>10.290274999999999</v>
      </c>
      <c r="L5" s="1">
        <v>10.290274999999999</v>
      </c>
      <c r="M5" s="1">
        <v>10.290274999999999</v>
      </c>
      <c r="N5" s="1">
        <v>10.290274999999999</v>
      </c>
      <c r="O5" s="1">
        <v>10.290274999999999</v>
      </c>
      <c r="P5" s="1">
        <v>10.290274999999999</v>
      </c>
      <c r="Q5" s="1">
        <v>10.290274999999999</v>
      </c>
      <c r="R5" s="1">
        <v>10.290274999999999</v>
      </c>
      <c r="S5" s="1">
        <v>10.290274999999999</v>
      </c>
      <c r="T5" s="1">
        <v>10.290274999999999</v>
      </c>
      <c r="U5" s="1">
        <v>10.290274999999999</v>
      </c>
      <c r="V5" s="1">
        <v>10.290274999999999</v>
      </c>
      <c r="W5" s="1">
        <v>10.290274999999999</v>
      </c>
      <c r="X5" s="1">
        <v>10.290274999999999</v>
      </c>
      <c r="Y5" s="1">
        <v>10.290274999999999</v>
      </c>
      <c r="Z5" s="1">
        <v>10.290274999999999</v>
      </c>
      <c r="AA5" s="1">
        <v>10.290274999999999</v>
      </c>
      <c r="AB5" s="1">
        <v>10.290274999999999</v>
      </c>
      <c r="AC5" s="1">
        <v>10.290274999999999</v>
      </c>
      <c r="AD5" s="1">
        <v>10.290274999999999</v>
      </c>
      <c r="AE5" s="2">
        <v>-5.4802362067522856E-2</v>
      </c>
    </row>
    <row r="6" spans="1:31" x14ac:dyDescent="0.25">
      <c r="A6" s="1" t="s">
        <v>31</v>
      </c>
      <c r="B6" s="3" t="s">
        <v>7</v>
      </c>
      <c r="C6" s="1" t="s">
        <v>3</v>
      </c>
      <c r="D6" s="1">
        <v>10.886903</v>
      </c>
      <c r="E6" s="1">
        <v>10.290274999999999</v>
      </c>
      <c r="F6" s="1">
        <v>10.290274999999999</v>
      </c>
      <c r="G6" s="1">
        <v>10.290274999999999</v>
      </c>
      <c r="H6" s="1">
        <v>10.290274999999999</v>
      </c>
      <c r="I6" s="1">
        <v>10.290274999999999</v>
      </c>
      <c r="J6" s="1">
        <v>10.290274999999999</v>
      </c>
      <c r="K6" s="1">
        <v>11.104704999999999</v>
      </c>
      <c r="L6" s="1">
        <v>14.288207999999999</v>
      </c>
      <c r="M6" s="1">
        <v>16.469971000000001</v>
      </c>
      <c r="N6" s="1">
        <v>19.713642</v>
      </c>
      <c r="O6" s="1">
        <v>22.693905000000001</v>
      </c>
      <c r="P6" s="1">
        <v>25.492847000000001</v>
      </c>
      <c r="Q6" s="1">
        <v>28.162613</v>
      </c>
      <c r="R6" s="1">
        <v>30.704342</v>
      </c>
      <c r="S6" s="1">
        <v>33.097560999999999</v>
      </c>
      <c r="T6" s="1">
        <v>35.398788000000003</v>
      </c>
      <c r="U6" s="1">
        <v>37.556170999999999</v>
      </c>
      <c r="V6" s="1">
        <v>39.575713999999998</v>
      </c>
      <c r="W6" s="1">
        <v>41.390735999999997</v>
      </c>
      <c r="X6" s="1">
        <v>43.027714000000003</v>
      </c>
      <c r="Y6" s="1">
        <v>44.516433999999997</v>
      </c>
      <c r="Z6" s="1">
        <v>45.815795999999999</v>
      </c>
      <c r="AA6" s="1">
        <v>47.019485000000003</v>
      </c>
      <c r="AB6" s="1">
        <v>48.158648999999997</v>
      </c>
      <c r="AC6" s="1">
        <v>49.238998000000002</v>
      </c>
      <c r="AD6" s="1">
        <v>50.192599999999999</v>
      </c>
      <c r="AE6" s="2">
        <v>3.6103653169317291</v>
      </c>
    </row>
    <row r="7" spans="1:31" x14ac:dyDescent="0.25">
      <c r="A7" s="1" t="s">
        <v>8</v>
      </c>
      <c r="B7" s="1" t="s">
        <v>9</v>
      </c>
      <c r="C7" s="1" t="s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1.1182380000000001</v>
      </c>
      <c r="L7" s="1">
        <v>5.4892880000000002</v>
      </c>
      <c r="M7" s="1">
        <v>8.4849169999999994</v>
      </c>
      <c r="N7" s="1">
        <v>12.938580999999999</v>
      </c>
      <c r="O7" s="1">
        <v>17.030573</v>
      </c>
      <c r="P7" s="1">
        <v>20.873605999999999</v>
      </c>
      <c r="Q7" s="1">
        <v>24.539280000000002</v>
      </c>
      <c r="R7" s="1">
        <v>28.029152</v>
      </c>
      <c r="S7" s="1">
        <v>31.315118999999999</v>
      </c>
      <c r="T7" s="1">
        <v>34.474777000000003</v>
      </c>
      <c r="U7" s="1">
        <v>37.436928000000002</v>
      </c>
      <c r="V7" s="1">
        <v>40.209823999999998</v>
      </c>
      <c r="W7" s="1">
        <v>42.701903999999999</v>
      </c>
      <c r="X7" s="1">
        <v>44.949528000000001</v>
      </c>
      <c r="Y7" s="1">
        <v>46.993580000000001</v>
      </c>
      <c r="Z7" s="1">
        <v>48.777653000000001</v>
      </c>
      <c r="AA7" s="1">
        <v>50.430354999999999</v>
      </c>
      <c r="AB7" s="1">
        <v>51.994461000000001</v>
      </c>
      <c r="AC7" s="1">
        <v>53.477809999999998</v>
      </c>
      <c r="AD7" s="1">
        <v>54.787140000000001</v>
      </c>
      <c r="AE7" s="2" t="e" cm="1">
        <f t="array" ref="AE7:AE9">(AD7:AD9-D7:D9)/D7:D9</f>
        <v>#DIV/0!</v>
      </c>
    </row>
    <row r="8" spans="1:31" x14ac:dyDescent="0.25">
      <c r="A8" s="1" t="s">
        <v>8</v>
      </c>
      <c r="B8" s="1" t="s">
        <v>10</v>
      </c>
      <c r="C8" s="1" t="s">
        <v>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2.7160000000000001E-3</v>
      </c>
      <c r="L8" s="1">
        <v>1.3332999999999999E-2</v>
      </c>
      <c r="M8" s="1">
        <v>2.0608999999999999E-2</v>
      </c>
      <c r="N8" s="1">
        <v>3.1426999999999997E-2</v>
      </c>
      <c r="O8" s="1">
        <v>4.1366E-2</v>
      </c>
      <c r="P8" s="1">
        <v>5.0701000000000003E-2</v>
      </c>
      <c r="Q8" s="1">
        <v>5.9604999999999998E-2</v>
      </c>
      <c r="R8" s="1">
        <v>6.8081000000000003E-2</v>
      </c>
      <c r="S8" s="1">
        <v>7.6063000000000006E-2</v>
      </c>
      <c r="T8" s="1">
        <v>8.3737000000000006E-2</v>
      </c>
      <c r="U8" s="1">
        <v>9.0931999999999999E-2</v>
      </c>
      <c r="V8" s="1">
        <v>9.7667000000000004E-2</v>
      </c>
      <c r="W8" s="1">
        <v>0.10372099999999999</v>
      </c>
      <c r="X8" s="1">
        <v>0.10918</v>
      </c>
      <c r="Y8" s="1">
        <v>0.114145</v>
      </c>
      <c r="Z8" s="1">
        <v>0.118478</v>
      </c>
      <c r="AA8" s="1">
        <v>0.122493</v>
      </c>
      <c r="AB8" s="1">
        <v>0.12629199999999999</v>
      </c>
      <c r="AC8" s="1">
        <v>0.12989500000000001</v>
      </c>
      <c r="AD8" s="1">
        <v>0.133075</v>
      </c>
      <c r="AE8" s="2" t="e">
        <v>#DIV/0!</v>
      </c>
    </row>
    <row r="9" spans="1:31" x14ac:dyDescent="0.25">
      <c r="A9" s="1" t="s">
        <v>8</v>
      </c>
      <c r="B9" s="1" t="s">
        <v>11</v>
      </c>
      <c r="C9" s="1" t="s">
        <v>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1.120954</v>
      </c>
      <c r="L9" s="1">
        <v>5.5026210000000004</v>
      </c>
      <c r="M9" s="1">
        <v>8.5055270000000007</v>
      </c>
      <c r="N9" s="1">
        <v>12.970008</v>
      </c>
      <c r="O9" s="1">
        <v>17.071939</v>
      </c>
      <c r="P9" s="1">
        <v>20.924306999999999</v>
      </c>
      <c r="Q9" s="1">
        <v>24.598884999999999</v>
      </c>
      <c r="R9" s="1">
        <v>28.097232999999999</v>
      </c>
      <c r="S9" s="1">
        <v>31.391182000000001</v>
      </c>
      <c r="T9" s="1">
        <v>34.558514000000002</v>
      </c>
      <c r="U9" s="1">
        <v>37.527858999999999</v>
      </c>
      <c r="V9" s="1">
        <v>40.307490999999999</v>
      </c>
      <c r="W9" s="1">
        <v>42.805625999999997</v>
      </c>
      <c r="X9" s="1">
        <v>45.058708000000003</v>
      </c>
      <c r="Y9" s="1">
        <v>47.107723</v>
      </c>
      <c r="Z9" s="1">
        <v>48.896129999999999</v>
      </c>
      <c r="AA9" s="1">
        <v>50.552849000000002</v>
      </c>
      <c r="AB9" s="1">
        <v>52.120753999999998</v>
      </c>
      <c r="AC9" s="1">
        <v>53.607703999999998</v>
      </c>
      <c r="AD9" s="1">
        <v>54.920216000000003</v>
      </c>
      <c r="AE9" s="2" t="e">
        <v>#DIV/0!</v>
      </c>
    </row>
    <row r="10" spans="1:31" x14ac:dyDescent="0.25">
      <c r="A10" s="1" t="s">
        <v>27</v>
      </c>
      <c r="B10" s="1" t="s">
        <v>9</v>
      </c>
      <c r="C10" s="1" t="s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1.1182380000000001</v>
      </c>
      <c r="L10" s="1">
        <v>5.4892880000000002</v>
      </c>
      <c r="M10" s="1">
        <v>8.4849169999999994</v>
      </c>
      <c r="N10" s="1">
        <v>12.938580999999999</v>
      </c>
      <c r="O10" s="1">
        <v>17.030573</v>
      </c>
      <c r="P10" s="1">
        <v>20.873605999999999</v>
      </c>
      <c r="Q10" s="1">
        <v>24.539280000000002</v>
      </c>
      <c r="R10" s="1">
        <v>28.029152</v>
      </c>
      <c r="S10" s="1">
        <v>31.315118999999999</v>
      </c>
      <c r="T10" s="1">
        <v>34.474777000000003</v>
      </c>
      <c r="U10" s="1">
        <v>37.436928000000002</v>
      </c>
      <c r="V10" s="1">
        <v>40.209823999999998</v>
      </c>
      <c r="W10" s="1">
        <v>42.701903999999999</v>
      </c>
      <c r="X10" s="1">
        <v>44.949528000000001</v>
      </c>
      <c r="Y10" s="1">
        <v>46.993580000000001</v>
      </c>
      <c r="Z10" s="1">
        <v>48.777653000000001</v>
      </c>
      <c r="AA10" s="1">
        <v>50.430354999999999</v>
      </c>
      <c r="AB10" s="1">
        <v>51.994461000000001</v>
      </c>
      <c r="AC10" s="1">
        <v>53.477809999999998</v>
      </c>
      <c r="AD10" s="1">
        <v>54.787140000000001</v>
      </c>
      <c r="AE10" s="2" t="e" cm="1">
        <f t="array" ref="AE10:AE14">(AD10:AD14-D10:D14)/D10:D14</f>
        <v>#DIV/0!</v>
      </c>
    </row>
    <row r="11" spans="1:31" x14ac:dyDescent="0.25">
      <c r="A11" s="1" t="s">
        <v>27</v>
      </c>
      <c r="B11" s="1" t="s">
        <v>12</v>
      </c>
      <c r="C11" s="1" t="s">
        <v>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0.95441600000000004</v>
      </c>
      <c r="L11" s="1">
        <v>4.6851060000000002</v>
      </c>
      <c r="M11" s="1">
        <v>7.2418740000000001</v>
      </c>
      <c r="N11" s="1">
        <v>11.043075</v>
      </c>
      <c r="O11" s="1">
        <v>14.535589999999999</v>
      </c>
      <c r="P11" s="1">
        <v>17.815617</v>
      </c>
      <c r="Q11" s="1">
        <v>20.944268999999998</v>
      </c>
      <c r="R11" s="1">
        <v>23.922872999999999</v>
      </c>
      <c r="S11" s="1">
        <v>26.727446</v>
      </c>
      <c r="T11" s="1">
        <v>29.424212000000001</v>
      </c>
      <c r="U11" s="1">
        <v>31.952407999999998</v>
      </c>
      <c r="V11" s="1">
        <v>34.319073000000003</v>
      </c>
      <c r="W11" s="1">
        <v>36.446064</v>
      </c>
      <c r="X11" s="1">
        <v>38.364409999999999</v>
      </c>
      <c r="Y11" s="1">
        <v>40.109009</v>
      </c>
      <c r="Z11" s="1">
        <v>41.631714000000002</v>
      </c>
      <c r="AA11" s="1">
        <v>43.042293999999998</v>
      </c>
      <c r="AB11" s="1">
        <v>44.377257999999998</v>
      </c>
      <c r="AC11" s="1">
        <v>45.643295000000002</v>
      </c>
      <c r="AD11" s="1">
        <v>46.760810999999997</v>
      </c>
      <c r="AE11" s="2" t="e">
        <v>#DIV/0!</v>
      </c>
    </row>
    <row r="12" spans="1:31" x14ac:dyDescent="0.25">
      <c r="A12" s="1" t="s">
        <v>27</v>
      </c>
      <c r="B12" s="1" t="s">
        <v>13</v>
      </c>
      <c r="C12" s="1" t="s">
        <v>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0.163822</v>
      </c>
      <c r="L12" s="1">
        <v>0.80418199999999995</v>
      </c>
      <c r="M12" s="1">
        <v>1.2430429999999999</v>
      </c>
      <c r="N12" s="1">
        <v>1.8955059999999999</v>
      </c>
      <c r="O12" s="1">
        <v>2.4949840000000001</v>
      </c>
      <c r="P12" s="1">
        <v>3.0579890000000001</v>
      </c>
      <c r="Q12" s="1">
        <v>3.595011</v>
      </c>
      <c r="R12" s="1">
        <v>4.1062779999999997</v>
      </c>
      <c r="S12" s="1">
        <v>4.5876729999999997</v>
      </c>
      <c r="T12" s="1">
        <v>5.0505639999999996</v>
      </c>
      <c r="U12" s="1">
        <v>5.4845199999999998</v>
      </c>
      <c r="V12" s="1">
        <v>5.8907499999999997</v>
      </c>
      <c r="W12" s="1">
        <v>6.2558410000000002</v>
      </c>
      <c r="X12" s="1">
        <v>6.5851179999999996</v>
      </c>
      <c r="Y12" s="1">
        <v>6.8845729999999996</v>
      </c>
      <c r="Z12" s="1">
        <v>7.1459390000000003</v>
      </c>
      <c r="AA12" s="1">
        <v>7.3880610000000004</v>
      </c>
      <c r="AB12" s="1">
        <v>7.6172029999999999</v>
      </c>
      <c r="AC12" s="1">
        <v>7.8345140000000004</v>
      </c>
      <c r="AD12" s="1">
        <v>8.0263310000000008</v>
      </c>
      <c r="AE12" s="2" t="e">
        <v>#DIV/0!</v>
      </c>
    </row>
    <row r="13" spans="1:31" x14ac:dyDescent="0.25">
      <c r="A13" s="1" t="s">
        <v>27</v>
      </c>
      <c r="B13" s="1" t="s">
        <v>14</v>
      </c>
      <c r="C13" s="1" t="s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2.7160000000000001E-3</v>
      </c>
      <c r="L13" s="1">
        <v>1.3332999999999999E-2</v>
      </c>
      <c r="M13" s="1">
        <v>2.0608999999999999E-2</v>
      </c>
      <c r="N13" s="1">
        <v>3.1426999999999997E-2</v>
      </c>
      <c r="O13" s="1">
        <v>4.1366E-2</v>
      </c>
      <c r="P13" s="1">
        <v>5.0701000000000003E-2</v>
      </c>
      <c r="Q13" s="1">
        <v>5.9604999999999998E-2</v>
      </c>
      <c r="R13" s="1">
        <v>6.8081000000000003E-2</v>
      </c>
      <c r="S13" s="1">
        <v>7.6063000000000006E-2</v>
      </c>
      <c r="T13" s="1">
        <v>8.3737000000000006E-2</v>
      </c>
      <c r="U13" s="1">
        <v>9.0931999999999999E-2</v>
      </c>
      <c r="V13" s="1">
        <v>9.7667000000000004E-2</v>
      </c>
      <c r="W13" s="1">
        <v>0.10372099999999999</v>
      </c>
      <c r="X13" s="1">
        <v>0.10918</v>
      </c>
      <c r="Y13" s="1">
        <v>0.114145</v>
      </c>
      <c r="Z13" s="1">
        <v>0.118478</v>
      </c>
      <c r="AA13" s="1">
        <v>0.122493</v>
      </c>
      <c r="AB13" s="1">
        <v>0.12629199999999999</v>
      </c>
      <c r="AC13" s="1">
        <v>0.12989500000000001</v>
      </c>
      <c r="AD13" s="1">
        <v>0.133075</v>
      </c>
      <c r="AE13" s="2" t="e">
        <v>#DIV/0!</v>
      </c>
    </row>
    <row r="14" spans="1:31" x14ac:dyDescent="0.25">
      <c r="A14" s="1" t="s">
        <v>27</v>
      </c>
      <c r="B14" s="1" t="s">
        <v>15</v>
      </c>
      <c r="C14" s="1" t="s">
        <v>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1.120954</v>
      </c>
      <c r="L14" s="1">
        <v>5.5026210000000004</v>
      </c>
      <c r="M14" s="1">
        <v>8.5055270000000007</v>
      </c>
      <c r="N14" s="1">
        <v>12.970008</v>
      </c>
      <c r="O14" s="1">
        <v>17.071939</v>
      </c>
      <c r="P14" s="1">
        <v>20.924306999999999</v>
      </c>
      <c r="Q14" s="1">
        <v>24.598884999999999</v>
      </c>
      <c r="R14" s="1">
        <v>28.097232999999999</v>
      </c>
      <c r="S14" s="1">
        <v>31.391182000000001</v>
      </c>
      <c r="T14" s="1">
        <v>34.558514000000002</v>
      </c>
      <c r="U14" s="1">
        <v>37.527858999999999</v>
      </c>
      <c r="V14" s="1">
        <v>40.307490999999999</v>
      </c>
      <c r="W14" s="1">
        <v>42.805625999999997</v>
      </c>
      <c r="X14" s="1">
        <v>45.058708000000003</v>
      </c>
      <c r="Y14" s="1">
        <v>47.107723</v>
      </c>
      <c r="Z14" s="1">
        <v>48.896129999999999</v>
      </c>
      <c r="AA14" s="1">
        <v>50.552849000000002</v>
      </c>
      <c r="AB14" s="1">
        <v>52.120753999999998</v>
      </c>
      <c r="AC14" s="1">
        <v>53.607703999999998</v>
      </c>
      <c r="AD14" s="1">
        <v>54.920216000000003</v>
      </c>
      <c r="AE14" s="2" t="e">
        <v>#DIV/0!</v>
      </c>
    </row>
    <row r="15" spans="1:31" x14ac:dyDescent="0.25">
      <c r="A15" s="1" t="s">
        <v>28</v>
      </c>
      <c r="B15" s="1" t="s">
        <v>14</v>
      </c>
      <c r="C15" s="1" t="s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" t="e">
        <f>(AD15-D15)/D15</f>
        <v>#DIV/0!</v>
      </c>
    </row>
    <row r="16" spans="1:31" x14ac:dyDescent="0.25">
      <c r="A16" s="1" t="s">
        <v>16</v>
      </c>
      <c r="B16" s="1" t="s">
        <v>17</v>
      </c>
      <c r="C16" s="1" t="s">
        <v>3</v>
      </c>
      <c r="D16" s="1">
        <v>4.7252109999999998</v>
      </c>
      <c r="E16" s="1">
        <v>4.7252109999999998</v>
      </c>
      <c r="F16" s="1">
        <v>4.7252109999999998</v>
      </c>
      <c r="G16" s="1">
        <v>4.7252109999999998</v>
      </c>
      <c r="H16" s="1">
        <v>4.7252109999999998</v>
      </c>
      <c r="I16" s="1">
        <v>4.7252109999999998</v>
      </c>
      <c r="J16" s="1">
        <v>4.7252109999999998</v>
      </c>
      <c r="K16" s="1">
        <v>4.7252109999999998</v>
      </c>
      <c r="L16" s="1">
        <v>4.7252109999999998</v>
      </c>
      <c r="M16" s="1">
        <v>4.7252109999999998</v>
      </c>
      <c r="N16" s="1">
        <v>4.7252109999999998</v>
      </c>
      <c r="O16" s="1">
        <v>4.7252109999999998</v>
      </c>
      <c r="P16" s="1">
        <v>4.7252109999999998</v>
      </c>
      <c r="Q16" s="1">
        <v>4.7252109999999998</v>
      </c>
      <c r="R16" s="1">
        <v>4.7252109999999998</v>
      </c>
      <c r="S16" s="1">
        <v>4.7252109999999998</v>
      </c>
      <c r="T16" s="1">
        <v>4.7252109999999998</v>
      </c>
      <c r="U16" s="1">
        <v>4.7252109999999998</v>
      </c>
      <c r="V16" s="1">
        <v>4.7252109999999998</v>
      </c>
      <c r="W16" s="1">
        <v>4.7252109999999998</v>
      </c>
      <c r="X16" s="1">
        <v>4.7252109999999998</v>
      </c>
      <c r="Y16" s="1">
        <v>4.7252109999999998</v>
      </c>
      <c r="Z16" s="1">
        <v>4.7252109999999998</v>
      </c>
      <c r="AA16" s="1">
        <v>4.7252109999999998</v>
      </c>
      <c r="AB16" s="1">
        <v>4.7252109999999998</v>
      </c>
      <c r="AC16" s="1">
        <v>4.7252109999999998</v>
      </c>
      <c r="AD16" s="1">
        <v>4.7252109999999998</v>
      </c>
      <c r="AE16" s="2" cm="1">
        <f t="array" ref="AE16:AE20">(AD16:AD20-D16:D20)/D16:D20</f>
        <v>0</v>
      </c>
    </row>
    <row r="17" spans="1:31" x14ac:dyDescent="0.25">
      <c r="A17" s="1" t="s">
        <v>16</v>
      </c>
      <c r="B17" s="1" t="s">
        <v>18</v>
      </c>
      <c r="C17" s="1" t="s">
        <v>3</v>
      </c>
      <c r="D17" s="1">
        <v>4.7252109999999998</v>
      </c>
      <c r="E17" s="1">
        <v>4.7252109999999998</v>
      </c>
      <c r="F17" s="1">
        <v>4.7252109999999998</v>
      </c>
      <c r="G17" s="1">
        <v>4.7252109999999998</v>
      </c>
      <c r="H17" s="1">
        <v>4.7252109999999998</v>
      </c>
      <c r="I17" s="1">
        <v>4.7252109999999998</v>
      </c>
      <c r="J17" s="1">
        <v>4.7252109999999998</v>
      </c>
      <c r="K17" s="1">
        <v>4.7252109999999998</v>
      </c>
      <c r="L17" s="1">
        <v>4.7252109999999998</v>
      </c>
      <c r="M17" s="1">
        <v>4.7252109999999998</v>
      </c>
      <c r="N17" s="1">
        <v>4.7252109999999998</v>
      </c>
      <c r="O17" s="1">
        <v>4.7252109999999998</v>
      </c>
      <c r="P17" s="1">
        <v>4.7252109999999998</v>
      </c>
      <c r="Q17" s="1">
        <v>4.7252109999999998</v>
      </c>
      <c r="R17" s="1">
        <v>4.7252109999999998</v>
      </c>
      <c r="S17" s="1">
        <v>4.7252109999999998</v>
      </c>
      <c r="T17" s="1">
        <v>4.7252109999999998</v>
      </c>
      <c r="U17" s="1">
        <v>4.7252109999999998</v>
      </c>
      <c r="V17" s="1">
        <v>4.7252109999999998</v>
      </c>
      <c r="W17" s="1">
        <v>4.7252109999999998</v>
      </c>
      <c r="X17" s="1">
        <v>4.7252109999999998</v>
      </c>
      <c r="Y17" s="1">
        <v>4.7252109999999998</v>
      </c>
      <c r="Z17" s="1">
        <v>4.7252109999999998</v>
      </c>
      <c r="AA17" s="1">
        <v>4.7252109999999998</v>
      </c>
      <c r="AB17" s="1">
        <v>4.7252109999999998</v>
      </c>
      <c r="AC17" s="1">
        <v>4.7252109999999998</v>
      </c>
      <c r="AD17" s="1">
        <v>4.7252109999999998</v>
      </c>
      <c r="AE17" s="2">
        <v>0</v>
      </c>
    </row>
    <row r="18" spans="1:31" x14ac:dyDescent="0.25">
      <c r="A18" s="1" t="s">
        <v>16</v>
      </c>
      <c r="B18" s="1" t="s">
        <v>19</v>
      </c>
      <c r="C18" s="1" t="s">
        <v>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2" t="e">
        <v>#DIV/0!</v>
      </c>
    </row>
    <row r="19" spans="1:31" x14ac:dyDescent="0.25">
      <c r="A19" s="1" t="s">
        <v>16</v>
      </c>
      <c r="B19" s="1" t="s">
        <v>20</v>
      </c>
      <c r="C19" s="1" t="s">
        <v>3</v>
      </c>
      <c r="D19" s="1">
        <v>2.4804E-2</v>
      </c>
      <c r="E19" s="1">
        <v>0.163684</v>
      </c>
      <c r="F19" s="1">
        <v>0.39497900000000002</v>
      </c>
      <c r="G19" s="1">
        <v>0.74917900000000004</v>
      </c>
      <c r="H19" s="1">
        <v>1.286462</v>
      </c>
      <c r="I19" s="1">
        <v>1.9300759999999999</v>
      </c>
      <c r="J19" s="1">
        <v>2.676199</v>
      </c>
      <c r="K19" s="1">
        <v>4.3542839999999998</v>
      </c>
      <c r="L19" s="1">
        <v>8.2043689999999998</v>
      </c>
      <c r="M19" s="1">
        <v>11.741440000000001</v>
      </c>
      <c r="N19" s="1">
        <v>14.991762</v>
      </c>
      <c r="O19" s="1">
        <v>17.969740000000002</v>
      </c>
      <c r="P19" s="1">
        <v>20.759134</v>
      </c>
      <c r="Q19" s="1">
        <v>23.431639000000001</v>
      </c>
      <c r="R19" s="1">
        <v>25.976236</v>
      </c>
      <c r="S19" s="1">
        <v>28.367075</v>
      </c>
      <c r="T19" s="1">
        <v>30.660834999999999</v>
      </c>
      <c r="U19" s="1">
        <v>32.806679000000003</v>
      </c>
      <c r="V19" s="1">
        <v>34.815632000000001</v>
      </c>
      <c r="W19" s="1">
        <v>36.605286</v>
      </c>
      <c r="X19" s="1">
        <v>38.215954000000004</v>
      </c>
      <c r="Y19" s="1">
        <v>39.694603000000001</v>
      </c>
      <c r="Z19" s="1">
        <v>41.007603000000003</v>
      </c>
      <c r="AA19" s="1">
        <v>42.179287000000002</v>
      </c>
      <c r="AB19" s="1">
        <v>43.315128000000001</v>
      </c>
      <c r="AC19" s="1">
        <v>44.397522000000002</v>
      </c>
      <c r="AD19" s="1">
        <v>45.371428999999999</v>
      </c>
      <c r="AE19" s="2">
        <v>1828.1980728914689</v>
      </c>
    </row>
    <row r="20" spans="1:31" x14ac:dyDescent="0.25">
      <c r="A20" s="1" t="s">
        <v>16</v>
      </c>
      <c r="B20" s="1" t="s">
        <v>21</v>
      </c>
      <c r="C20" s="1" t="s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 t="e">
        <v>#DIV/0!</v>
      </c>
    </row>
    <row r="21" spans="1:31" x14ac:dyDescent="0.25">
      <c r="A21" s="1" t="s">
        <v>22</v>
      </c>
      <c r="B21" s="1" t="s">
        <v>24</v>
      </c>
      <c r="C21" s="1" t="s">
        <v>23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9.4714600000000004</v>
      </c>
      <c r="L21" s="1">
        <v>9.8078570000000003</v>
      </c>
      <c r="M21" s="1">
        <v>10.18599</v>
      </c>
      <c r="N21" s="1">
        <v>10.393044</v>
      </c>
      <c r="O21" s="1">
        <v>10.472403</v>
      </c>
      <c r="P21" s="1">
        <v>10.442221</v>
      </c>
      <c r="Q21" s="1">
        <v>10.324614</v>
      </c>
      <c r="R21" s="1">
        <v>10.152918</v>
      </c>
      <c r="S21" s="1">
        <v>10.017585</v>
      </c>
      <c r="T21" s="1">
        <v>9.9635130000000007</v>
      </c>
      <c r="U21" s="1">
        <v>9.9881089999999997</v>
      </c>
      <c r="V21" s="1">
        <v>10.036436999999999</v>
      </c>
      <c r="W21" s="1">
        <v>10.081187</v>
      </c>
      <c r="X21" s="1">
        <v>10.057274</v>
      </c>
      <c r="Y21" s="1">
        <v>10.023742</v>
      </c>
      <c r="Z21" s="1">
        <v>10.035561</v>
      </c>
      <c r="AA21" s="1">
        <v>10.01261</v>
      </c>
      <c r="AB21" s="1">
        <v>9.9535730000000004</v>
      </c>
      <c r="AC21" s="1">
        <v>9.8839819999999996</v>
      </c>
      <c r="AD21" s="1">
        <v>9.7963620000000002</v>
      </c>
      <c r="AE21" s="2" t="e">
        <f>(AD21-D21)/D21</f>
        <v>#DIV/0!</v>
      </c>
    </row>
    <row r="22" spans="1:31" x14ac:dyDescent="0.25">
      <c r="A22" s="1" t="s">
        <v>25</v>
      </c>
      <c r="B22" s="1" t="s">
        <v>26</v>
      </c>
      <c r="C22" s="1" t="s">
        <v>23</v>
      </c>
      <c r="D22" s="1">
        <v>2.4635220000000002</v>
      </c>
      <c r="E22" s="1">
        <v>2.4635220000000002</v>
      </c>
      <c r="F22" s="1">
        <v>2.4635220000000002</v>
      </c>
      <c r="G22" s="1">
        <v>2.4635220000000002</v>
      </c>
      <c r="H22" s="1">
        <v>2.4635220000000002</v>
      </c>
      <c r="I22" s="1">
        <v>2.4635220000000002</v>
      </c>
      <c r="J22" s="1">
        <v>2.4635220000000002</v>
      </c>
      <c r="K22" s="1">
        <v>11.934982</v>
      </c>
      <c r="L22" s="1">
        <v>12.271379</v>
      </c>
      <c r="M22" s="1">
        <v>12.649513000000001</v>
      </c>
      <c r="N22" s="1">
        <v>12.856566000000001</v>
      </c>
      <c r="O22" s="1">
        <v>12.935924999999999</v>
      </c>
      <c r="P22" s="1">
        <v>12.905742999999999</v>
      </c>
      <c r="Q22" s="1">
        <v>12.788135</v>
      </c>
      <c r="R22" s="1">
        <v>12.616439</v>
      </c>
      <c r="S22" s="1">
        <v>12.481106</v>
      </c>
      <c r="T22" s="1">
        <v>12.427035</v>
      </c>
      <c r="U22" s="1">
        <v>12.451632</v>
      </c>
      <c r="V22" s="1">
        <v>12.499959</v>
      </c>
      <c r="W22" s="1">
        <v>12.544708999999999</v>
      </c>
      <c r="X22" s="1">
        <v>12.520796000000001</v>
      </c>
      <c r="Y22" s="1">
        <v>12.487264</v>
      </c>
      <c r="Z22" s="1">
        <v>12.499082</v>
      </c>
      <c r="AA22" s="1">
        <v>12.476132</v>
      </c>
      <c r="AB22" s="1">
        <v>12.417095</v>
      </c>
      <c r="AC22" s="1">
        <v>12.347504000000001</v>
      </c>
      <c r="AD22" s="1">
        <v>12.259885000000001</v>
      </c>
      <c r="AE22" s="2" cm="1">
        <f t="array" ref="AE22:AE24">(AD22:AD24-D22:D24)/D22:D24</f>
        <v>3.9765681004675413</v>
      </c>
    </row>
    <row r="23" spans="1:31" x14ac:dyDescent="0.25">
      <c r="A23" s="1" t="s">
        <v>25</v>
      </c>
      <c r="B23" s="1" t="s">
        <v>20</v>
      </c>
      <c r="C23" s="1" t="s">
        <v>23</v>
      </c>
      <c r="D23" s="1">
        <v>52.555137999999999</v>
      </c>
      <c r="E23" s="1">
        <v>52.555137999999999</v>
      </c>
      <c r="F23" s="1">
        <v>52.555137999999999</v>
      </c>
      <c r="G23" s="1">
        <v>52.555137999999999</v>
      </c>
      <c r="H23" s="1">
        <v>52.555137999999999</v>
      </c>
      <c r="I23" s="1">
        <v>52.555137999999999</v>
      </c>
      <c r="J23" s="1">
        <v>52.555137999999999</v>
      </c>
      <c r="K23" s="1">
        <v>62.026637999999998</v>
      </c>
      <c r="L23" s="1">
        <v>62.362999000000002</v>
      </c>
      <c r="M23" s="1">
        <v>62.741126999999999</v>
      </c>
      <c r="N23" s="1">
        <v>62.9482</v>
      </c>
      <c r="O23" s="1">
        <v>63.027569</v>
      </c>
      <c r="P23" s="1">
        <v>62.99736</v>
      </c>
      <c r="Q23" s="1">
        <v>62.879756999999998</v>
      </c>
      <c r="R23" s="1">
        <v>62.708072999999999</v>
      </c>
      <c r="S23" s="1">
        <v>62.572727</v>
      </c>
      <c r="T23" s="1">
        <v>62.518642</v>
      </c>
      <c r="U23" s="1">
        <v>62.543250999999998</v>
      </c>
      <c r="V23" s="1">
        <v>62.591552999999998</v>
      </c>
      <c r="W23" s="1">
        <v>62.636302999999998</v>
      </c>
      <c r="X23" s="1">
        <v>62.612395999999997</v>
      </c>
      <c r="Y23" s="1">
        <v>62.578876000000001</v>
      </c>
      <c r="Z23" s="1">
        <v>62.590691</v>
      </c>
      <c r="AA23" s="1">
        <v>62.567768000000001</v>
      </c>
      <c r="AB23" s="1">
        <v>62.508732000000002</v>
      </c>
      <c r="AC23" s="1">
        <v>62.439140000000002</v>
      </c>
      <c r="AD23" s="1">
        <v>62.351536000000003</v>
      </c>
      <c r="AE23" s="2">
        <v>0.1864022885830878</v>
      </c>
    </row>
    <row r="24" spans="1:31" x14ac:dyDescent="0.25">
      <c r="A24" s="1" t="s">
        <v>25</v>
      </c>
      <c r="B24" s="1" t="s">
        <v>21</v>
      </c>
      <c r="C24" s="1" t="s">
        <v>23</v>
      </c>
      <c r="D24" s="1">
        <v>2.4635220000000002</v>
      </c>
      <c r="E24" s="1">
        <v>2.4635220000000002</v>
      </c>
      <c r="F24" s="1">
        <v>2.4635220000000002</v>
      </c>
      <c r="G24" s="1">
        <v>2.4635220000000002</v>
      </c>
      <c r="H24" s="1">
        <v>2.4635220000000002</v>
      </c>
      <c r="I24" s="1">
        <v>2.4635220000000002</v>
      </c>
      <c r="J24" s="1">
        <v>2.4635220000000002</v>
      </c>
      <c r="K24" s="1">
        <v>11.934982</v>
      </c>
      <c r="L24" s="1">
        <v>12.271379</v>
      </c>
      <c r="M24" s="1">
        <v>12.649513000000001</v>
      </c>
      <c r="N24" s="1">
        <v>12.856566000000001</v>
      </c>
      <c r="O24" s="1">
        <v>12.935924999999999</v>
      </c>
      <c r="P24" s="1">
        <v>12.905742999999999</v>
      </c>
      <c r="Q24" s="1">
        <v>12.788135</v>
      </c>
      <c r="R24" s="1">
        <v>12.616439</v>
      </c>
      <c r="S24" s="1">
        <v>12.481106</v>
      </c>
      <c r="T24" s="1">
        <v>12.427035</v>
      </c>
      <c r="U24" s="1">
        <v>12.451632</v>
      </c>
      <c r="V24" s="1">
        <v>12.499959</v>
      </c>
      <c r="W24" s="1">
        <v>12.544708999999999</v>
      </c>
      <c r="X24" s="1">
        <v>12.520796000000001</v>
      </c>
      <c r="Y24" s="1">
        <v>12.487264</v>
      </c>
      <c r="Z24" s="1">
        <v>12.499082</v>
      </c>
      <c r="AA24" s="1">
        <v>12.476132</v>
      </c>
      <c r="AB24" s="1">
        <v>12.417095</v>
      </c>
      <c r="AC24" s="1">
        <v>12.347504000000001</v>
      </c>
      <c r="AD24" s="1">
        <v>12.259885000000001</v>
      </c>
      <c r="AE24" s="2">
        <v>3.9765681004675413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4"/>
  <sheetViews>
    <sheetView tabSelected="1" workbookViewId="0">
      <selection sqref="A1:XFD1"/>
    </sheetView>
  </sheetViews>
  <sheetFormatPr defaultColWidth="8.7109375" defaultRowHeight="15" x14ac:dyDescent="0.25"/>
  <cols>
    <col min="1" max="1" width="51.5703125" style="1" bestFit="1" customWidth="1"/>
    <col min="2" max="2" width="65.7109375" style="1" bestFit="1" customWidth="1"/>
    <col min="3" max="30" width="8.7109375" style="1"/>
    <col min="31" max="31" width="17.5703125" style="1" bestFit="1" customWidth="1"/>
    <col min="32" max="16384" width="8.7109375" style="1"/>
  </cols>
  <sheetData>
    <row r="1" spans="1:31" s="4" customFormat="1" ht="15.75" thickBot="1" x14ac:dyDescent="0.3">
      <c r="A1" s="4" t="s">
        <v>29</v>
      </c>
      <c r="B1" s="4" t="s">
        <v>30</v>
      </c>
      <c r="C1" s="4" t="s">
        <v>0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  <c r="O1" s="4">
        <v>2035</v>
      </c>
      <c r="P1" s="4">
        <v>2036</v>
      </c>
      <c r="Q1" s="4">
        <v>2037</v>
      </c>
      <c r="R1" s="4">
        <v>2038</v>
      </c>
      <c r="S1" s="4">
        <v>2039</v>
      </c>
      <c r="T1" s="4">
        <v>2040</v>
      </c>
      <c r="U1" s="4">
        <v>2041</v>
      </c>
      <c r="V1" s="4">
        <v>2042</v>
      </c>
      <c r="W1" s="4">
        <v>2043</v>
      </c>
      <c r="X1" s="4">
        <v>2044</v>
      </c>
      <c r="Y1" s="4">
        <v>2045</v>
      </c>
      <c r="Z1" s="4">
        <v>2046</v>
      </c>
      <c r="AA1" s="4">
        <v>2047</v>
      </c>
      <c r="AB1" s="4">
        <v>2048</v>
      </c>
      <c r="AC1" s="4">
        <v>2049</v>
      </c>
      <c r="AD1" s="4">
        <v>2050</v>
      </c>
      <c r="AE1" s="4">
        <v>2048</v>
      </c>
    </row>
    <row r="2" spans="1:31" ht="15.75" thickTop="1" x14ac:dyDescent="0.25">
      <c r="A2" s="1" t="s">
        <v>31</v>
      </c>
      <c r="B2" s="1" t="s">
        <v>2</v>
      </c>
      <c r="C2" s="1" t="s">
        <v>3</v>
      </c>
      <c r="D2" s="1">
        <v>20.874338000000002</v>
      </c>
      <c r="E2" s="1">
        <v>21.285715</v>
      </c>
      <c r="F2" s="1">
        <v>21.929953000000001</v>
      </c>
      <c r="G2" s="1">
        <v>22.670670999999999</v>
      </c>
      <c r="H2" s="1">
        <v>23.693300000000001</v>
      </c>
      <c r="I2" s="1">
        <v>23.901783000000002</v>
      </c>
      <c r="J2" s="1">
        <v>26.384240999999999</v>
      </c>
      <c r="K2" s="1">
        <v>29.589919999999999</v>
      </c>
      <c r="L2" s="1">
        <v>36.326542000000003</v>
      </c>
      <c r="M2" s="1">
        <v>35.651381999999998</v>
      </c>
      <c r="N2" s="1">
        <v>35.019772000000003</v>
      </c>
      <c r="O2" s="1">
        <v>34.428885999999999</v>
      </c>
      <c r="P2" s="1">
        <v>39.998493000000003</v>
      </c>
      <c r="Q2" s="1">
        <v>45.471001000000001</v>
      </c>
      <c r="R2" s="1">
        <v>50.632458</v>
      </c>
      <c r="S2" s="1">
        <v>55.571911</v>
      </c>
      <c r="T2" s="1">
        <v>60.418075999999999</v>
      </c>
      <c r="U2" s="1">
        <v>64.992431999999994</v>
      </c>
      <c r="V2" s="1">
        <v>69.287909999999997</v>
      </c>
      <c r="W2" s="1">
        <v>73.211410999999998</v>
      </c>
      <c r="X2" s="1">
        <v>77.339088000000004</v>
      </c>
      <c r="Y2" s="1">
        <v>88.207436000000001</v>
      </c>
      <c r="Z2" s="1">
        <v>93.864204000000001</v>
      </c>
      <c r="AA2" s="1">
        <v>97.038223000000002</v>
      </c>
      <c r="AB2" s="1">
        <v>110.419044</v>
      </c>
      <c r="AC2" s="1">
        <v>113.119461</v>
      </c>
      <c r="AD2" s="1">
        <v>115.549904</v>
      </c>
      <c r="AE2" s="2" cm="1">
        <f t="array" ref="AE2:AE6">(AD2:AD6-D2:D6)/D2:D6</f>
        <v>4.5355002874821704</v>
      </c>
    </row>
    <row r="3" spans="1:31" x14ac:dyDescent="0.25">
      <c r="A3" s="1" t="s">
        <v>31</v>
      </c>
      <c r="B3" s="1" t="s">
        <v>4</v>
      </c>
      <c r="C3" s="1" t="s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0.467698</v>
      </c>
      <c r="M3" s="1">
        <v>7.894412</v>
      </c>
      <c r="N3" s="1">
        <v>14.842139</v>
      </c>
      <c r="O3" s="1">
        <v>21.341877</v>
      </c>
      <c r="P3" s="1">
        <v>21.341877</v>
      </c>
      <c r="Q3" s="1">
        <v>21.341877</v>
      </c>
      <c r="R3" s="1">
        <v>21.341877</v>
      </c>
      <c r="S3" s="1">
        <v>21.341877</v>
      </c>
      <c r="T3" s="1">
        <v>21.341877</v>
      </c>
      <c r="U3" s="1">
        <v>21.341877</v>
      </c>
      <c r="V3" s="1">
        <v>21.341877</v>
      </c>
      <c r="W3" s="1">
        <v>21.341877</v>
      </c>
      <c r="X3" s="1">
        <v>20.874179999999999</v>
      </c>
      <c r="Y3" s="1">
        <v>13.447464999999999</v>
      </c>
      <c r="Z3" s="1">
        <v>10.868598</v>
      </c>
      <c r="AA3" s="1">
        <v>10.58005</v>
      </c>
      <c r="AB3" s="1">
        <v>0</v>
      </c>
      <c r="AC3" s="1">
        <v>0</v>
      </c>
      <c r="AD3" s="1">
        <v>0</v>
      </c>
      <c r="AE3" s="2" t="e">
        <v>#DIV/0!</v>
      </c>
    </row>
    <row r="4" spans="1:31" x14ac:dyDescent="0.25">
      <c r="A4" s="1" t="s">
        <v>31</v>
      </c>
      <c r="B4" s="1" t="s">
        <v>5</v>
      </c>
      <c r="C4" s="1" t="s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 t="e">
        <v>#DIV/0!</v>
      </c>
    </row>
    <row r="5" spans="1:31" x14ac:dyDescent="0.25">
      <c r="A5" s="1" t="s">
        <v>31</v>
      </c>
      <c r="B5" s="1" t="s">
        <v>6</v>
      </c>
      <c r="C5" s="1" t="s">
        <v>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2" t="e">
        <v>#DIV/0!</v>
      </c>
    </row>
    <row r="6" spans="1:31" x14ac:dyDescent="0.25">
      <c r="A6" s="1" t="s">
        <v>31</v>
      </c>
      <c r="B6" s="3" t="s">
        <v>7</v>
      </c>
      <c r="C6" s="1" t="s">
        <v>3</v>
      </c>
      <c r="D6" s="1">
        <v>20.874338000000002</v>
      </c>
      <c r="E6" s="1">
        <v>21.285715</v>
      </c>
      <c r="F6" s="1">
        <v>21.929953000000001</v>
      </c>
      <c r="G6" s="1">
        <v>22.670670999999999</v>
      </c>
      <c r="H6" s="1">
        <v>23.693300000000001</v>
      </c>
      <c r="I6" s="1">
        <v>23.901783000000002</v>
      </c>
      <c r="J6" s="1">
        <v>26.384240999999999</v>
      </c>
      <c r="K6" s="1">
        <v>29.589919999999999</v>
      </c>
      <c r="L6" s="1">
        <v>36.794238999999997</v>
      </c>
      <c r="M6" s="1">
        <v>43.545794999999998</v>
      </c>
      <c r="N6" s="1">
        <v>49.861911999999997</v>
      </c>
      <c r="O6" s="1">
        <v>55.770766999999999</v>
      </c>
      <c r="P6" s="1">
        <v>61.34037</v>
      </c>
      <c r="Q6" s="1">
        <v>66.812881000000004</v>
      </c>
      <c r="R6" s="1">
        <v>71.974327000000002</v>
      </c>
      <c r="S6" s="1">
        <v>76.913787999999997</v>
      </c>
      <c r="T6" s="1">
        <v>81.759949000000006</v>
      </c>
      <c r="U6" s="1">
        <v>86.334305000000001</v>
      </c>
      <c r="V6" s="1">
        <v>90.629784000000001</v>
      </c>
      <c r="W6" s="1">
        <v>94.553291000000002</v>
      </c>
      <c r="X6" s="1">
        <v>98.213272000000003</v>
      </c>
      <c r="Y6" s="1">
        <v>101.65490699999999</v>
      </c>
      <c r="Z6" s="1">
        <v>104.73279599999999</v>
      </c>
      <c r="AA6" s="1">
        <v>107.618279</v>
      </c>
      <c r="AB6" s="1">
        <v>110.419044</v>
      </c>
      <c r="AC6" s="1">
        <v>113.119461</v>
      </c>
      <c r="AD6" s="1">
        <v>115.549904</v>
      </c>
      <c r="AE6" s="2">
        <v>4.5355002874821704</v>
      </c>
    </row>
    <row r="7" spans="1:31" x14ac:dyDescent="0.25">
      <c r="A7" s="1" t="s">
        <v>8</v>
      </c>
      <c r="B7" s="1" t="s">
        <v>9</v>
      </c>
      <c r="C7" s="1" t="s">
        <v>3</v>
      </c>
      <c r="D7" s="1">
        <v>28.661117999999998</v>
      </c>
      <c r="E7" s="1">
        <v>29.225950000000001</v>
      </c>
      <c r="F7" s="1">
        <v>30.110510000000001</v>
      </c>
      <c r="G7" s="1">
        <v>31.127541000000001</v>
      </c>
      <c r="H7" s="1">
        <v>32.531643000000003</v>
      </c>
      <c r="I7" s="1">
        <v>32.817894000000003</v>
      </c>
      <c r="J7" s="1">
        <v>36.226387000000003</v>
      </c>
      <c r="K7" s="1">
        <v>40.627884000000002</v>
      </c>
      <c r="L7" s="1">
        <v>50.563194000000003</v>
      </c>
      <c r="M7" s="1">
        <v>60.524906000000001</v>
      </c>
      <c r="N7" s="1">
        <v>69.844138999999998</v>
      </c>
      <c r="O7" s="1">
        <v>78.562461999999996</v>
      </c>
      <c r="P7" s="1">
        <v>86.209701999999993</v>
      </c>
      <c r="Q7" s="1">
        <v>93.723633000000007</v>
      </c>
      <c r="R7" s="1">
        <v>100.81047100000001</v>
      </c>
      <c r="S7" s="1">
        <v>107.592491</v>
      </c>
      <c r="T7" s="1">
        <v>114.24642900000001</v>
      </c>
      <c r="U7" s="1">
        <v>120.52716100000001</v>
      </c>
      <c r="V7" s="1">
        <v>126.42498000000001</v>
      </c>
      <c r="W7" s="1">
        <v>131.812073</v>
      </c>
      <c r="X7" s="1">
        <v>136.79379299999999</v>
      </c>
      <c r="Y7" s="1">
        <v>140.827652</v>
      </c>
      <c r="Z7" s="1">
        <v>144.81353799999999</v>
      </c>
      <c r="AA7" s="1">
        <v>148.74852000000001</v>
      </c>
      <c r="AB7" s="1">
        <v>151.60879499999999</v>
      </c>
      <c r="AC7" s="1">
        <v>155.31655900000001</v>
      </c>
      <c r="AD7" s="1">
        <v>158.65364099999999</v>
      </c>
      <c r="AE7" s="2" cm="1">
        <f t="array" ref="AE7:AE9">(AD7:AD9-D7:D9)/D7:D9</f>
        <v>4.5355007784413717</v>
      </c>
    </row>
    <row r="8" spans="1:31" x14ac:dyDescent="0.25">
      <c r="A8" s="1" t="s">
        <v>8</v>
      </c>
      <c r="B8" s="1" t="s">
        <v>10</v>
      </c>
      <c r="C8" s="1" t="s">
        <v>3</v>
      </c>
      <c r="D8" s="1">
        <v>6.9615999999999997E-2</v>
      </c>
      <c r="E8" s="1">
        <v>7.0987999999999996E-2</v>
      </c>
      <c r="F8" s="1">
        <v>7.3136999999999994E-2</v>
      </c>
      <c r="G8" s="1">
        <v>7.5606999999999994E-2</v>
      </c>
      <c r="H8" s="1">
        <v>7.9018000000000005E-2</v>
      </c>
      <c r="I8" s="1">
        <v>7.9713000000000006E-2</v>
      </c>
      <c r="J8" s="1">
        <v>8.7992000000000001E-2</v>
      </c>
      <c r="K8" s="1">
        <v>9.8683000000000007E-2</v>
      </c>
      <c r="L8" s="1">
        <v>0.139018</v>
      </c>
      <c r="M8" s="1">
        <v>0.42050599999999999</v>
      </c>
      <c r="N8" s="1">
        <v>0.68383899999999997</v>
      </c>
      <c r="O8" s="1">
        <v>0.93019300000000005</v>
      </c>
      <c r="P8" s="1">
        <v>0.94876700000000003</v>
      </c>
      <c r="Q8" s="1">
        <v>0.96701800000000004</v>
      </c>
      <c r="R8" s="1">
        <v>0.984232</v>
      </c>
      <c r="S8" s="1">
        <v>1.000705</v>
      </c>
      <c r="T8" s="1">
        <v>1.016867</v>
      </c>
      <c r="U8" s="1">
        <v>1.0321229999999999</v>
      </c>
      <c r="V8" s="1">
        <v>1.046448</v>
      </c>
      <c r="W8" s="1">
        <v>1.0595330000000001</v>
      </c>
      <c r="X8" s="1">
        <v>1.055431</v>
      </c>
      <c r="Y8" s="1">
        <v>0.80793700000000002</v>
      </c>
      <c r="Z8" s="1">
        <v>0.72827600000000003</v>
      </c>
      <c r="AA8" s="1">
        <v>0.72783799999999998</v>
      </c>
      <c r="AB8" s="1">
        <v>0.36824899999999999</v>
      </c>
      <c r="AC8" s="1">
        <v>0.37725500000000001</v>
      </c>
      <c r="AD8" s="1">
        <v>0.38536100000000001</v>
      </c>
      <c r="AE8" s="2">
        <v>4.5355234428866931</v>
      </c>
    </row>
    <row r="9" spans="1:31" x14ac:dyDescent="0.25">
      <c r="A9" s="1" t="s">
        <v>8</v>
      </c>
      <c r="B9" s="1" t="s">
        <v>11</v>
      </c>
      <c r="C9" s="1" t="s">
        <v>3</v>
      </c>
      <c r="D9" s="1">
        <v>28.730734000000002</v>
      </c>
      <c r="E9" s="1">
        <v>29.296938000000001</v>
      </c>
      <c r="F9" s="1">
        <v>30.183647000000001</v>
      </c>
      <c r="G9" s="1">
        <v>31.203147999999999</v>
      </c>
      <c r="H9" s="1">
        <v>32.610661</v>
      </c>
      <c r="I9" s="1">
        <v>32.897606000000003</v>
      </c>
      <c r="J9" s="1">
        <v>36.314380999999997</v>
      </c>
      <c r="K9" s="1">
        <v>40.726565999999998</v>
      </c>
      <c r="L9" s="1">
        <v>50.702213</v>
      </c>
      <c r="M9" s="1">
        <v>60.945411999999997</v>
      </c>
      <c r="N9" s="1">
        <v>70.527977000000007</v>
      </c>
      <c r="O9" s="1">
        <v>79.492653000000004</v>
      </c>
      <c r="P9" s="1">
        <v>87.158469999999994</v>
      </c>
      <c r="Q9" s="1">
        <v>94.690651000000003</v>
      </c>
      <c r="R9" s="1">
        <v>101.794701</v>
      </c>
      <c r="S9" s="1">
        <v>108.593193</v>
      </c>
      <c r="T9" s="1">
        <v>115.26329800000001</v>
      </c>
      <c r="U9" s="1">
        <v>121.55928</v>
      </c>
      <c r="V9" s="1">
        <v>127.471428</v>
      </c>
      <c r="W9" s="1">
        <v>132.871613</v>
      </c>
      <c r="X9" s="1">
        <v>137.84922800000001</v>
      </c>
      <c r="Y9" s="1">
        <v>141.63559000000001</v>
      </c>
      <c r="Z9" s="1">
        <v>145.541809</v>
      </c>
      <c r="AA9" s="1">
        <v>149.47636399999999</v>
      </c>
      <c r="AB9" s="1">
        <v>151.97705099999999</v>
      </c>
      <c r="AC9" s="1">
        <v>155.693817</v>
      </c>
      <c r="AD9" s="1">
        <v>159.03900100000001</v>
      </c>
      <c r="AE9" s="2">
        <v>4.5355007985525182</v>
      </c>
    </row>
    <row r="10" spans="1:31" x14ac:dyDescent="0.25">
      <c r="A10" s="1" t="s">
        <v>27</v>
      </c>
      <c r="B10" s="1" t="s">
        <v>9</v>
      </c>
      <c r="C10" s="1" t="s">
        <v>3</v>
      </c>
      <c r="D10" s="1">
        <v>28.661117999999998</v>
      </c>
      <c r="E10" s="1">
        <v>29.225950000000001</v>
      </c>
      <c r="F10" s="1">
        <v>30.110510000000001</v>
      </c>
      <c r="G10" s="1">
        <v>31.127541000000001</v>
      </c>
      <c r="H10" s="1">
        <v>32.531643000000003</v>
      </c>
      <c r="I10" s="1">
        <v>32.817894000000003</v>
      </c>
      <c r="J10" s="1">
        <v>36.226387000000003</v>
      </c>
      <c r="K10" s="1">
        <v>40.627884000000002</v>
      </c>
      <c r="L10" s="1">
        <v>50.563194000000003</v>
      </c>
      <c r="M10" s="1">
        <v>60.524906000000001</v>
      </c>
      <c r="N10" s="1">
        <v>69.844138999999998</v>
      </c>
      <c r="O10" s="1">
        <v>78.562461999999996</v>
      </c>
      <c r="P10" s="1">
        <v>86.209701999999993</v>
      </c>
      <c r="Q10" s="1">
        <v>93.723633000000007</v>
      </c>
      <c r="R10" s="1">
        <v>100.81047100000001</v>
      </c>
      <c r="S10" s="1">
        <v>107.592491</v>
      </c>
      <c r="T10" s="1">
        <v>114.24642900000001</v>
      </c>
      <c r="U10" s="1">
        <v>120.52716100000001</v>
      </c>
      <c r="V10" s="1">
        <v>126.42498000000001</v>
      </c>
      <c r="W10" s="1">
        <v>131.812073</v>
      </c>
      <c r="X10" s="1">
        <v>136.79379299999999</v>
      </c>
      <c r="Y10" s="1">
        <v>140.827652</v>
      </c>
      <c r="Z10" s="1">
        <v>144.81353799999999</v>
      </c>
      <c r="AA10" s="1">
        <v>148.74852000000001</v>
      </c>
      <c r="AB10" s="1">
        <v>151.60879499999999</v>
      </c>
      <c r="AC10" s="1">
        <v>155.31655900000001</v>
      </c>
      <c r="AD10" s="1">
        <v>158.65364099999999</v>
      </c>
      <c r="AE10" s="2" cm="1">
        <f t="array" ref="AE10:AE14">(AD10:AD14-D10:D14)/D10:D14</f>
        <v>4.5355007784413717</v>
      </c>
    </row>
    <row r="11" spans="1:31" x14ac:dyDescent="0.25">
      <c r="A11" s="1" t="s">
        <v>27</v>
      </c>
      <c r="B11" s="1" t="s">
        <v>12</v>
      </c>
      <c r="C11" s="1" t="s">
        <v>3</v>
      </c>
      <c r="D11" s="1">
        <v>24.462254999999999</v>
      </c>
      <c r="E11" s="1">
        <v>24.944341999999999</v>
      </c>
      <c r="F11" s="1">
        <v>25.699311999999999</v>
      </c>
      <c r="G11" s="1">
        <v>26.567347999999999</v>
      </c>
      <c r="H11" s="1">
        <v>27.765749</v>
      </c>
      <c r="I11" s="1">
        <v>28.010065000000001</v>
      </c>
      <c r="J11" s="1">
        <v>30.919212000000002</v>
      </c>
      <c r="K11" s="1">
        <v>34.675888</v>
      </c>
      <c r="L11" s="1">
        <v>43.155082999999998</v>
      </c>
      <c r="M11" s="1">
        <v>51.648066999999998</v>
      </c>
      <c r="N11" s="1">
        <v>59.593291999999998</v>
      </c>
      <c r="O11" s="1">
        <v>67.026206999999999</v>
      </c>
      <c r="P11" s="1">
        <v>73.553130999999993</v>
      </c>
      <c r="Q11" s="1">
        <v>79.966262999999998</v>
      </c>
      <c r="R11" s="1">
        <v>86.014876999999998</v>
      </c>
      <c r="S11" s="1">
        <v>91.803336999999999</v>
      </c>
      <c r="T11" s="1">
        <v>97.482467999999997</v>
      </c>
      <c r="U11" s="1">
        <v>102.84307099999999</v>
      </c>
      <c r="V11" s="1">
        <v>107.876862</v>
      </c>
      <c r="W11" s="1">
        <v>112.474739</v>
      </c>
      <c r="X11" s="1">
        <v>116.727226</v>
      </c>
      <c r="Y11" s="1">
        <v>120.17945899999999</v>
      </c>
      <c r="Z11" s="1">
        <v>123.584656</v>
      </c>
      <c r="AA11" s="1">
        <v>126.94352000000001</v>
      </c>
      <c r="AB11" s="1">
        <v>129.39807099999999</v>
      </c>
      <c r="AC11" s="1">
        <v>132.562637</v>
      </c>
      <c r="AD11" s="1">
        <v>135.410843</v>
      </c>
      <c r="AE11" s="2">
        <v>4.5355012446726599</v>
      </c>
    </row>
    <row r="12" spans="1:31" x14ac:dyDescent="0.25">
      <c r="A12" s="1" t="s">
        <v>27</v>
      </c>
      <c r="B12" s="1" t="s">
        <v>13</v>
      </c>
      <c r="C12" s="1" t="s">
        <v>3</v>
      </c>
      <c r="D12" s="1">
        <v>4.1988620000000001</v>
      </c>
      <c r="E12" s="1">
        <v>4.2816099999999997</v>
      </c>
      <c r="F12" s="1">
        <v>4.4111979999999997</v>
      </c>
      <c r="G12" s="1">
        <v>4.5601929999999999</v>
      </c>
      <c r="H12" s="1">
        <v>4.7658940000000003</v>
      </c>
      <c r="I12" s="1">
        <v>4.8078310000000002</v>
      </c>
      <c r="J12" s="1">
        <v>5.3071760000000001</v>
      </c>
      <c r="K12" s="1">
        <v>5.9519960000000003</v>
      </c>
      <c r="L12" s="1">
        <v>7.4081099999999998</v>
      </c>
      <c r="M12" s="1">
        <v>8.8768399999999996</v>
      </c>
      <c r="N12" s="1">
        <v>10.250844000000001</v>
      </c>
      <c r="O12" s="1">
        <v>11.536251999999999</v>
      </c>
      <c r="P12" s="1">
        <v>12.656575</v>
      </c>
      <c r="Q12" s="1">
        <v>13.757367</v>
      </c>
      <c r="R12" s="1">
        <v>14.795591</v>
      </c>
      <c r="S12" s="1">
        <v>15.789160000000001</v>
      </c>
      <c r="T12" s="1">
        <v>16.763964000000001</v>
      </c>
      <c r="U12" s="1">
        <v>17.684092</v>
      </c>
      <c r="V12" s="1">
        <v>18.548124000000001</v>
      </c>
      <c r="W12" s="1">
        <v>19.337333999999998</v>
      </c>
      <c r="X12" s="1">
        <v>20.066569999999999</v>
      </c>
      <c r="Y12" s="1">
        <v>20.648195000000001</v>
      </c>
      <c r="Z12" s="1">
        <v>21.228888000000001</v>
      </c>
      <c r="AA12" s="1">
        <v>21.804998000000001</v>
      </c>
      <c r="AB12" s="1">
        <v>22.210730000000002</v>
      </c>
      <c r="AC12" s="1">
        <v>22.753917999999999</v>
      </c>
      <c r="AD12" s="1">
        <v>23.242802000000001</v>
      </c>
      <c r="AE12" s="2">
        <v>4.5355003331855155</v>
      </c>
    </row>
    <row r="13" spans="1:31" x14ac:dyDescent="0.25">
      <c r="A13" s="1" t="s">
        <v>27</v>
      </c>
      <c r="B13" s="1" t="s">
        <v>14</v>
      </c>
      <c r="C13" s="1" t="s">
        <v>3</v>
      </c>
      <c r="D13" s="1">
        <v>6.9615999999999997E-2</v>
      </c>
      <c r="E13" s="1">
        <v>7.0987999999999996E-2</v>
      </c>
      <c r="F13" s="1">
        <v>7.3136999999999994E-2</v>
      </c>
      <c r="G13" s="1">
        <v>7.5606999999999994E-2</v>
      </c>
      <c r="H13" s="1">
        <v>7.9018000000000005E-2</v>
      </c>
      <c r="I13" s="1">
        <v>7.9713000000000006E-2</v>
      </c>
      <c r="J13" s="1">
        <v>8.7992000000000001E-2</v>
      </c>
      <c r="K13" s="1">
        <v>9.8683000000000007E-2</v>
      </c>
      <c r="L13" s="1">
        <v>0.139018</v>
      </c>
      <c r="M13" s="1">
        <v>0.42050599999999999</v>
      </c>
      <c r="N13" s="1">
        <v>0.68383899999999997</v>
      </c>
      <c r="O13" s="1">
        <v>0.93019300000000005</v>
      </c>
      <c r="P13" s="1">
        <v>0.94876700000000003</v>
      </c>
      <c r="Q13" s="1">
        <v>0.96701800000000004</v>
      </c>
      <c r="R13" s="1">
        <v>0.984232</v>
      </c>
      <c r="S13" s="1">
        <v>1.000705</v>
      </c>
      <c r="T13" s="1">
        <v>1.016867</v>
      </c>
      <c r="U13" s="1">
        <v>1.0321229999999999</v>
      </c>
      <c r="V13" s="1">
        <v>1.046448</v>
      </c>
      <c r="W13" s="1">
        <v>1.0595330000000001</v>
      </c>
      <c r="X13" s="1">
        <v>1.055431</v>
      </c>
      <c r="Y13" s="1">
        <v>0.80793700000000002</v>
      </c>
      <c r="Z13" s="1">
        <v>0.72827600000000003</v>
      </c>
      <c r="AA13" s="1">
        <v>0.72783799999999998</v>
      </c>
      <c r="AB13" s="1">
        <v>0.36824899999999999</v>
      </c>
      <c r="AC13" s="1">
        <v>0.37725500000000001</v>
      </c>
      <c r="AD13" s="1">
        <v>0.38536100000000001</v>
      </c>
      <c r="AE13" s="2">
        <v>4.5355234428866931</v>
      </c>
    </row>
    <row r="14" spans="1:31" x14ac:dyDescent="0.25">
      <c r="A14" s="1" t="s">
        <v>27</v>
      </c>
      <c r="B14" s="1" t="s">
        <v>15</v>
      </c>
      <c r="C14" s="1" t="s">
        <v>3</v>
      </c>
      <c r="D14" s="1">
        <v>28.730734000000002</v>
      </c>
      <c r="E14" s="1">
        <v>29.296938000000001</v>
      </c>
      <c r="F14" s="1">
        <v>30.183647000000001</v>
      </c>
      <c r="G14" s="1">
        <v>31.203147999999999</v>
      </c>
      <c r="H14" s="1">
        <v>32.610661</v>
      </c>
      <c r="I14" s="1">
        <v>32.897606000000003</v>
      </c>
      <c r="J14" s="1">
        <v>36.314380999999997</v>
      </c>
      <c r="K14" s="1">
        <v>40.726565999999998</v>
      </c>
      <c r="L14" s="1">
        <v>50.702213</v>
      </c>
      <c r="M14" s="1">
        <v>60.945411999999997</v>
      </c>
      <c r="N14" s="1">
        <v>70.527977000000007</v>
      </c>
      <c r="O14" s="1">
        <v>79.492653000000004</v>
      </c>
      <c r="P14" s="1">
        <v>87.158469999999994</v>
      </c>
      <c r="Q14" s="1">
        <v>94.690651000000003</v>
      </c>
      <c r="R14" s="1">
        <v>101.794701</v>
      </c>
      <c r="S14" s="1">
        <v>108.593193</v>
      </c>
      <c r="T14" s="1">
        <v>115.26329800000001</v>
      </c>
      <c r="U14" s="1">
        <v>121.55928</v>
      </c>
      <c r="V14" s="1">
        <v>127.471428</v>
      </c>
      <c r="W14" s="1">
        <v>132.871613</v>
      </c>
      <c r="X14" s="1">
        <v>137.84922800000001</v>
      </c>
      <c r="Y14" s="1">
        <v>141.63559000000001</v>
      </c>
      <c r="Z14" s="1">
        <v>145.541809</v>
      </c>
      <c r="AA14" s="1">
        <v>149.47636399999999</v>
      </c>
      <c r="AB14" s="1">
        <v>151.97705099999999</v>
      </c>
      <c r="AC14" s="1">
        <v>155.693817</v>
      </c>
      <c r="AD14" s="1">
        <v>159.03900100000001</v>
      </c>
      <c r="AE14" s="2">
        <v>4.5355007985525182</v>
      </c>
    </row>
    <row r="15" spans="1:31" x14ac:dyDescent="0.25">
      <c r="A15" s="1" t="s">
        <v>28</v>
      </c>
      <c r="B15" s="1" t="s">
        <v>14</v>
      </c>
      <c r="C15" s="1" t="s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" t="e">
        <f>(AD15-D15)/D15</f>
        <v>#DIV/0!</v>
      </c>
    </row>
    <row r="16" spans="1:31" x14ac:dyDescent="0.25">
      <c r="A16" s="1" t="s">
        <v>16</v>
      </c>
      <c r="B16" s="1" t="s">
        <v>17</v>
      </c>
      <c r="C16" s="1" t="s">
        <v>3</v>
      </c>
      <c r="D16" s="1">
        <v>20.828579000000001</v>
      </c>
      <c r="E16" s="1">
        <v>20.985074999999998</v>
      </c>
      <c r="F16" s="1">
        <v>21.203126999999999</v>
      </c>
      <c r="G16" s="1">
        <v>21.275853999999999</v>
      </c>
      <c r="H16" s="1">
        <v>21.329666</v>
      </c>
      <c r="I16" s="1">
        <v>20.37903</v>
      </c>
      <c r="J16" s="1">
        <v>21.436546</v>
      </c>
      <c r="K16" s="1">
        <v>21.518269</v>
      </c>
      <c r="L16" s="1">
        <v>21.579972999999999</v>
      </c>
      <c r="M16" s="1">
        <v>21.643505000000001</v>
      </c>
      <c r="N16" s="1">
        <v>21.760273000000002</v>
      </c>
      <c r="O16" s="1">
        <v>21.868342999999999</v>
      </c>
      <c r="P16" s="1">
        <v>21.907335</v>
      </c>
      <c r="Q16" s="1">
        <v>22.038350999999999</v>
      </c>
      <c r="R16" s="1">
        <v>22.113510000000002</v>
      </c>
      <c r="S16" s="1">
        <v>22.198101000000001</v>
      </c>
      <c r="T16" s="1">
        <v>22.279221</v>
      </c>
      <c r="U16" s="1">
        <v>22.359262000000001</v>
      </c>
      <c r="V16" s="1">
        <v>22.435721999999998</v>
      </c>
      <c r="W16" s="1">
        <v>22.508956999999999</v>
      </c>
      <c r="X16" s="1">
        <v>22.588591000000001</v>
      </c>
      <c r="Y16" s="1">
        <v>22.654633</v>
      </c>
      <c r="Z16" s="1">
        <v>22.716716999999999</v>
      </c>
      <c r="AA16" s="1">
        <v>22.780819000000001</v>
      </c>
      <c r="AB16" s="1">
        <v>22.865642999999999</v>
      </c>
      <c r="AC16" s="1">
        <v>22.943781000000001</v>
      </c>
      <c r="AD16" s="1">
        <v>23.018802999999998</v>
      </c>
      <c r="AE16" s="2" cm="1">
        <f t="array" ref="AE16:AE20">(AD16:AD20-D16:D20)/D16:D20</f>
        <v>0.10515474915499502</v>
      </c>
    </row>
    <row r="17" spans="1:31" x14ac:dyDescent="0.25">
      <c r="A17" s="1" t="s">
        <v>16</v>
      </c>
      <c r="B17" s="1" t="s">
        <v>18</v>
      </c>
      <c r="C17" s="1" t="s">
        <v>3</v>
      </c>
      <c r="D17" s="1">
        <v>17.028390999999999</v>
      </c>
      <c r="E17" s="1">
        <v>17.028390999999999</v>
      </c>
      <c r="F17" s="1">
        <v>17.028390999999999</v>
      </c>
      <c r="G17" s="1">
        <v>17.028390999999999</v>
      </c>
      <c r="H17" s="1">
        <v>17.028390999999999</v>
      </c>
      <c r="I17" s="1">
        <v>16.032364000000001</v>
      </c>
      <c r="J17" s="1">
        <v>17.028390999999999</v>
      </c>
      <c r="K17" s="1">
        <v>17.028390999999999</v>
      </c>
      <c r="L17" s="1">
        <v>17.028390999999999</v>
      </c>
      <c r="M17" s="1">
        <v>17.028390999999999</v>
      </c>
      <c r="N17" s="1">
        <v>17.028390999999999</v>
      </c>
      <c r="O17" s="1">
        <v>17.028390999999999</v>
      </c>
      <c r="P17" s="1">
        <v>17.028390999999999</v>
      </c>
      <c r="Q17" s="1">
        <v>17.028390999999999</v>
      </c>
      <c r="R17" s="1">
        <v>17.028390999999999</v>
      </c>
      <c r="S17" s="1">
        <v>17.028390999999999</v>
      </c>
      <c r="T17" s="1">
        <v>17.028390999999999</v>
      </c>
      <c r="U17" s="1">
        <v>17.028390999999999</v>
      </c>
      <c r="V17" s="1">
        <v>17.028390999999999</v>
      </c>
      <c r="W17" s="1">
        <v>17.028390999999999</v>
      </c>
      <c r="X17" s="1">
        <v>17.028390999999999</v>
      </c>
      <c r="Y17" s="1">
        <v>17.028390999999999</v>
      </c>
      <c r="Z17" s="1">
        <v>17.028390999999999</v>
      </c>
      <c r="AA17" s="1">
        <v>17.028390999999999</v>
      </c>
      <c r="AB17" s="1">
        <v>17.028390999999999</v>
      </c>
      <c r="AC17" s="1">
        <v>17.028390999999999</v>
      </c>
      <c r="AD17" s="1">
        <v>17.028390999999999</v>
      </c>
      <c r="AE17" s="2">
        <v>0</v>
      </c>
    </row>
    <row r="18" spans="1:31" x14ac:dyDescent="0.25">
      <c r="A18" s="1" t="s">
        <v>16</v>
      </c>
      <c r="B18" s="1" t="s">
        <v>19</v>
      </c>
      <c r="C18" s="1" t="s">
        <v>3</v>
      </c>
      <c r="D18" s="1">
        <v>3.8001879999999999</v>
      </c>
      <c r="E18" s="1">
        <v>3.9566840000000001</v>
      </c>
      <c r="F18" s="1">
        <v>4.1747360000000002</v>
      </c>
      <c r="G18" s="1">
        <v>4.2474629999999998</v>
      </c>
      <c r="H18" s="1">
        <v>4.3012750000000004</v>
      </c>
      <c r="I18" s="1">
        <v>4.3466659999999999</v>
      </c>
      <c r="J18" s="1">
        <v>4.4081549999999998</v>
      </c>
      <c r="K18" s="1">
        <v>4.489878</v>
      </c>
      <c r="L18" s="1">
        <v>4.5515819999999998</v>
      </c>
      <c r="M18" s="1">
        <v>4.6151140000000002</v>
      </c>
      <c r="N18" s="1">
        <v>4.7318819999999997</v>
      </c>
      <c r="O18" s="1">
        <v>4.8399520000000003</v>
      </c>
      <c r="P18" s="1">
        <v>4.8789439999999997</v>
      </c>
      <c r="Q18" s="1">
        <v>5.0099600000000004</v>
      </c>
      <c r="R18" s="1">
        <v>5.0851189999999997</v>
      </c>
      <c r="S18" s="1">
        <v>5.1697100000000002</v>
      </c>
      <c r="T18" s="1">
        <v>5.2508299999999997</v>
      </c>
      <c r="U18" s="1">
        <v>5.3308720000000003</v>
      </c>
      <c r="V18" s="1">
        <v>5.4073310000000001</v>
      </c>
      <c r="W18" s="1">
        <v>5.4805659999999996</v>
      </c>
      <c r="X18" s="1">
        <v>5.5602</v>
      </c>
      <c r="Y18" s="1">
        <v>5.6262420000000004</v>
      </c>
      <c r="Z18" s="1">
        <v>5.688326</v>
      </c>
      <c r="AA18" s="1">
        <v>5.7524280000000001</v>
      </c>
      <c r="AB18" s="1">
        <v>5.8372520000000003</v>
      </c>
      <c r="AC18" s="1">
        <v>5.9153900000000004</v>
      </c>
      <c r="AD18" s="1">
        <v>5.9904120000000001</v>
      </c>
      <c r="AE18" s="2">
        <v>0.57634622287107906</v>
      </c>
    </row>
    <row r="19" spans="1:31" x14ac:dyDescent="0.25">
      <c r="A19" s="1" t="s">
        <v>16</v>
      </c>
      <c r="B19" s="1" t="s">
        <v>20</v>
      </c>
      <c r="C19" s="1" t="s">
        <v>3</v>
      </c>
      <c r="D19" s="1">
        <v>4.5759000000000001E-2</v>
      </c>
      <c r="E19" s="1">
        <v>0.30046</v>
      </c>
      <c r="F19" s="1">
        <v>0.72714100000000004</v>
      </c>
      <c r="G19" s="1">
        <v>1.3822700000000001</v>
      </c>
      <c r="H19" s="1">
        <v>2.3762370000000002</v>
      </c>
      <c r="I19" s="1">
        <v>3.5703559999999999</v>
      </c>
      <c r="J19" s="1">
        <v>4.9515880000000001</v>
      </c>
      <c r="K19" s="1">
        <v>8.0703379999999996</v>
      </c>
      <c r="L19" s="1">
        <v>15.231458999999999</v>
      </c>
      <c r="M19" s="1">
        <v>21.886842999999999</v>
      </c>
      <c r="N19" s="1">
        <v>28.107952000000001</v>
      </c>
      <c r="O19" s="1">
        <v>33.898369000000002</v>
      </c>
      <c r="P19" s="1">
        <v>39.417389</v>
      </c>
      <c r="Q19" s="1">
        <v>44.762248999999997</v>
      </c>
      <c r="R19" s="1">
        <v>49.852401999999998</v>
      </c>
      <c r="S19" s="1">
        <v>54.704085999999997</v>
      </c>
      <c r="T19" s="1">
        <v>59.447819000000003</v>
      </c>
      <c r="U19" s="1">
        <v>63.918854000000003</v>
      </c>
      <c r="V19" s="1">
        <v>68.108681000000004</v>
      </c>
      <c r="W19" s="1">
        <v>71.912375999999995</v>
      </c>
      <c r="X19" s="1">
        <v>75.454268999999996</v>
      </c>
      <c r="Y19" s="1">
        <v>78.796683999999999</v>
      </c>
      <c r="Z19" s="1">
        <v>81.820633000000001</v>
      </c>
      <c r="AA19" s="1">
        <v>84.606689000000003</v>
      </c>
      <c r="AB19" s="1">
        <v>87.305649000000003</v>
      </c>
      <c r="AC19" s="1">
        <v>89.945007000000004</v>
      </c>
      <c r="AD19" s="1">
        <v>92.342865000000003</v>
      </c>
      <c r="AE19" s="2">
        <v>2017.0262899101815</v>
      </c>
    </row>
    <row r="20" spans="1:31" x14ac:dyDescent="0.25">
      <c r="A20" s="1" t="s">
        <v>16</v>
      </c>
      <c r="B20" s="1" t="s">
        <v>21</v>
      </c>
      <c r="C20" s="1" t="s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 t="e">
        <v>#DIV/0!</v>
      </c>
    </row>
    <row r="21" spans="1:31" x14ac:dyDescent="0.25">
      <c r="A21" s="1" t="s">
        <v>22</v>
      </c>
      <c r="B21" s="1" t="s">
        <v>24</v>
      </c>
      <c r="C21" s="1" t="s">
        <v>23</v>
      </c>
      <c r="D21" s="1">
        <v>7.3850990000000003</v>
      </c>
      <c r="E21" s="1">
        <v>8.2963059999999995</v>
      </c>
      <c r="F21" s="1">
        <v>8.137537</v>
      </c>
      <c r="G21" s="1">
        <v>8.0009110000000003</v>
      </c>
      <c r="H21" s="1">
        <v>8.1343340000000008</v>
      </c>
      <c r="I21" s="1">
        <v>8.3542389999999997</v>
      </c>
      <c r="J21" s="1">
        <v>8.6336049999999993</v>
      </c>
      <c r="K21" s="1">
        <v>8.8301499999999997</v>
      </c>
      <c r="L21" s="1">
        <v>9.4034980000000008</v>
      </c>
      <c r="M21" s="1">
        <v>10.020614</v>
      </c>
      <c r="N21" s="1">
        <v>10.450294</v>
      </c>
      <c r="O21" s="1">
        <v>10.718546</v>
      </c>
      <c r="P21" s="1">
        <v>10.598820999999999</v>
      </c>
      <c r="Q21" s="1">
        <v>10.445933999999999</v>
      </c>
      <c r="R21" s="1">
        <v>10.361141</v>
      </c>
      <c r="S21" s="1">
        <v>10.277841</v>
      </c>
      <c r="T21" s="1">
        <v>10.316022</v>
      </c>
      <c r="U21" s="1">
        <v>10.429043999999999</v>
      </c>
      <c r="V21" s="1">
        <v>10.533576</v>
      </c>
      <c r="W21" s="1">
        <v>10.629557</v>
      </c>
      <c r="X21" s="1">
        <v>10.679332</v>
      </c>
      <c r="Y21" s="1">
        <v>10.757088</v>
      </c>
      <c r="Z21" s="1">
        <v>12.167726999999999</v>
      </c>
      <c r="AA21" s="1">
        <v>12.310781</v>
      </c>
      <c r="AB21" s="1">
        <v>10.674600999999999</v>
      </c>
      <c r="AC21" s="1">
        <v>10.594249</v>
      </c>
      <c r="AD21" s="1">
        <v>10.610727000000001</v>
      </c>
      <c r="AE21" s="2">
        <f>(AD21-D21)/D21</f>
        <v>0.4367751874416308</v>
      </c>
    </row>
    <row r="22" spans="1:31" x14ac:dyDescent="0.25">
      <c r="A22" s="1" t="s">
        <v>25</v>
      </c>
      <c r="B22" s="1" t="s">
        <v>26</v>
      </c>
      <c r="C22" s="1" t="s">
        <v>23</v>
      </c>
      <c r="D22" s="1">
        <v>9.8486200000000004</v>
      </c>
      <c r="E22" s="1">
        <v>10.759828000000001</v>
      </c>
      <c r="F22" s="1">
        <v>10.601058999999999</v>
      </c>
      <c r="G22" s="1">
        <v>10.464433</v>
      </c>
      <c r="H22" s="1">
        <v>10.597854999999999</v>
      </c>
      <c r="I22" s="1">
        <v>10.81776</v>
      </c>
      <c r="J22" s="1">
        <v>11.097125999999999</v>
      </c>
      <c r="K22" s="1">
        <v>11.293672000000001</v>
      </c>
      <c r="L22" s="1">
        <v>11.867019000000001</v>
      </c>
      <c r="M22" s="1">
        <v>12.484135999999999</v>
      </c>
      <c r="N22" s="1">
        <v>12.913815</v>
      </c>
      <c r="O22" s="1">
        <v>13.182067999999999</v>
      </c>
      <c r="P22" s="1">
        <v>13.062343</v>
      </c>
      <c r="Q22" s="1">
        <v>12.909456</v>
      </c>
      <c r="R22" s="1">
        <v>12.824662</v>
      </c>
      <c r="S22" s="1">
        <v>12.741363</v>
      </c>
      <c r="T22" s="1">
        <v>12.779544</v>
      </c>
      <c r="U22" s="1">
        <v>12.892566</v>
      </c>
      <c r="V22" s="1">
        <v>12.997097999999999</v>
      </c>
      <c r="W22" s="1">
        <v>13.093078999999999</v>
      </c>
      <c r="X22" s="1">
        <v>13.142852</v>
      </c>
      <c r="Y22" s="1">
        <v>13.220610000000001</v>
      </c>
      <c r="Z22" s="1">
        <v>14.631247999999999</v>
      </c>
      <c r="AA22" s="1">
        <v>14.774303</v>
      </c>
      <c r="AB22" s="1">
        <v>13.138121999999999</v>
      </c>
      <c r="AC22" s="1">
        <v>13.057771000000001</v>
      </c>
      <c r="AD22" s="1">
        <v>13.074249999999999</v>
      </c>
      <c r="AE22" s="2" cm="1">
        <f t="array" ref="AE22:AE24">(AD22:AD24-D22:D24)/D22:D24</f>
        <v>0.32752101309625092</v>
      </c>
    </row>
    <row r="23" spans="1:31" x14ac:dyDescent="0.25">
      <c r="A23" s="1" t="s">
        <v>25</v>
      </c>
      <c r="B23" s="1" t="s">
        <v>20</v>
      </c>
      <c r="C23" s="1" t="s">
        <v>23</v>
      </c>
      <c r="D23" s="1">
        <v>59.939064000000002</v>
      </c>
      <c r="E23" s="1">
        <v>60.850861000000002</v>
      </c>
      <c r="F23" s="1">
        <v>60.692656999999997</v>
      </c>
      <c r="G23" s="1">
        <v>60.556033999999997</v>
      </c>
      <c r="H23" s="1">
        <v>60.689464999999998</v>
      </c>
      <c r="I23" s="1">
        <v>60.909370000000003</v>
      </c>
      <c r="J23" s="1">
        <v>61.188758999999997</v>
      </c>
      <c r="K23" s="1">
        <v>61.385303</v>
      </c>
      <c r="L23" s="1">
        <v>61.958621999999998</v>
      </c>
      <c r="M23" s="1">
        <v>62.575744999999998</v>
      </c>
      <c r="N23" s="1">
        <v>63.005423999999998</v>
      </c>
      <c r="O23" s="1">
        <v>63.273674</v>
      </c>
      <c r="P23" s="1">
        <v>63.153953999999999</v>
      </c>
      <c r="Q23" s="1">
        <v>63.001067999999997</v>
      </c>
      <c r="R23" s="1">
        <v>62.916263999999998</v>
      </c>
      <c r="S23" s="1">
        <v>62.832970000000003</v>
      </c>
      <c r="T23" s="1">
        <v>62.871155000000002</v>
      </c>
      <c r="U23" s="1">
        <v>62.984169000000001</v>
      </c>
      <c r="V23" s="1">
        <v>63.088706999999999</v>
      </c>
      <c r="W23" s="1">
        <v>63.184685000000002</v>
      </c>
      <c r="X23" s="1">
        <v>63.234454999999997</v>
      </c>
      <c r="Y23" s="1">
        <v>63.312213999999997</v>
      </c>
      <c r="Z23" s="1">
        <v>64.722724999999997</v>
      </c>
      <c r="AA23" s="1">
        <v>64.865791000000002</v>
      </c>
      <c r="AB23" s="1">
        <v>63.229728999999999</v>
      </c>
      <c r="AC23" s="1">
        <v>63.149380000000001</v>
      </c>
      <c r="AD23" s="1">
        <v>63.165855000000001</v>
      </c>
      <c r="AE23" s="2">
        <v>5.383452434292265E-2</v>
      </c>
    </row>
    <row r="24" spans="1:31" x14ac:dyDescent="0.25">
      <c r="A24" s="1" t="s">
        <v>25</v>
      </c>
      <c r="B24" s="1" t="s">
        <v>21</v>
      </c>
      <c r="C24" s="1" t="s">
        <v>23</v>
      </c>
      <c r="D24" s="1">
        <v>9.8486200000000004</v>
      </c>
      <c r="E24" s="1">
        <v>10.759828000000001</v>
      </c>
      <c r="F24" s="1">
        <v>10.601058999999999</v>
      </c>
      <c r="G24" s="1">
        <v>10.464433</v>
      </c>
      <c r="H24" s="1">
        <v>10.597854999999999</v>
      </c>
      <c r="I24" s="1">
        <v>10.81776</v>
      </c>
      <c r="J24" s="1">
        <v>11.097125999999999</v>
      </c>
      <c r="K24" s="1">
        <v>11.293672000000001</v>
      </c>
      <c r="L24" s="1">
        <v>11.867019000000001</v>
      </c>
      <c r="M24" s="1">
        <v>12.484135999999999</v>
      </c>
      <c r="N24" s="1">
        <v>12.913815</v>
      </c>
      <c r="O24" s="1">
        <v>13.182067999999999</v>
      </c>
      <c r="P24" s="1">
        <v>13.062343</v>
      </c>
      <c r="Q24" s="1">
        <v>12.909456</v>
      </c>
      <c r="R24" s="1">
        <v>12.824662</v>
      </c>
      <c r="S24" s="1">
        <v>12.741363</v>
      </c>
      <c r="T24" s="1">
        <v>12.779544</v>
      </c>
      <c r="U24" s="1">
        <v>12.892566</v>
      </c>
      <c r="V24" s="1">
        <v>12.997097999999999</v>
      </c>
      <c r="W24" s="1">
        <v>13.093078999999999</v>
      </c>
      <c r="X24" s="1">
        <v>13.142852</v>
      </c>
      <c r="Y24" s="1">
        <v>13.220610000000001</v>
      </c>
      <c r="Z24" s="1">
        <v>14.631247999999999</v>
      </c>
      <c r="AA24" s="1">
        <v>14.774303</v>
      </c>
      <c r="AB24" s="1">
        <v>13.138121999999999</v>
      </c>
      <c r="AC24" s="1">
        <v>13.057771000000001</v>
      </c>
      <c r="AD24" s="1">
        <v>13.074249999999999</v>
      </c>
      <c r="AE24" s="2">
        <v>0.32752101309625092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4"/>
  <sheetViews>
    <sheetView tabSelected="1" workbookViewId="0">
      <selection sqref="A1:XFD1"/>
    </sheetView>
  </sheetViews>
  <sheetFormatPr defaultColWidth="8.7109375" defaultRowHeight="15" x14ac:dyDescent="0.25"/>
  <cols>
    <col min="1" max="1" width="51.5703125" style="1" bestFit="1" customWidth="1"/>
    <col min="2" max="2" width="65.85546875" style="1" bestFit="1" customWidth="1"/>
    <col min="3" max="3" width="8.7109375" style="1"/>
    <col min="4" max="4" width="9" style="1" bestFit="1" customWidth="1"/>
    <col min="5" max="30" width="8.85546875" style="1" bestFit="1" customWidth="1"/>
    <col min="31" max="31" width="17.7109375" style="1" bestFit="1" customWidth="1"/>
    <col min="32" max="16384" width="8.7109375" style="1"/>
  </cols>
  <sheetData>
    <row r="1" spans="1:31" s="4" customFormat="1" ht="15.75" thickBot="1" x14ac:dyDescent="0.3">
      <c r="A1" s="4" t="s">
        <v>29</v>
      </c>
      <c r="B1" s="4" t="s">
        <v>30</v>
      </c>
      <c r="C1" s="4" t="s">
        <v>0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  <c r="O1" s="4">
        <v>2035</v>
      </c>
      <c r="P1" s="4">
        <v>2036</v>
      </c>
      <c r="Q1" s="4">
        <v>2037</v>
      </c>
      <c r="R1" s="4">
        <v>2038</v>
      </c>
      <c r="S1" s="4">
        <v>2039</v>
      </c>
      <c r="T1" s="4">
        <v>2040</v>
      </c>
      <c r="U1" s="4">
        <v>2041</v>
      </c>
      <c r="V1" s="4">
        <v>2042</v>
      </c>
      <c r="W1" s="4">
        <v>2043</v>
      </c>
      <c r="X1" s="4">
        <v>2044</v>
      </c>
      <c r="Y1" s="4">
        <v>2045</v>
      </c>
      <c r="Z1" s="4">
        <v>2046</v>
      </c>
      <c r="AA1" s="4">
        <v>2047</v>
      </c>
      <c r="AB1" s="4">
        <v>2048</v>
      </c>
      <c r="AC1" s="4">
        <v>2049</v>
      </c>
      <c r="AD1" s="4">
        <v>2050</v>
      </c>
      <c r="AE1" s="4" t="s">
        <v>1</v>
      </c>
    </row>
    <row r="2" spans="1:31" ht="15.75" thickTop="1" x14ac:dyDescent="0.25">
      <c r="A2" s="1" t="s">
        <v>31</v>
      </c>
      <c r="B2" s="1" t="s">
        <v>2</v>
      </c>
      <c r="C2" s="1" t="s">
        <v>3</v>
      </c>
      <c r="D2" s="1">
        <v>5.5500000000000002E-3</v>
      </c>
      <c r="E2" s="1">
        <v>3.5963000000000002E-2</v>
      </c>
      <c r="F2" s="1">
        <v>8.6223999999999995E-2</v>
      </c>
      <c r="G2" s="1">
        <v>0.16281399999999999</v>
      </c>
      <c r="H2" s="1">
        <v>0.27719199999999999</v>
      </c>
      <c r="I2" s="1">
        <v>0.41398800000000002</v>
      </c>
      <c r="J2" s="1">
        <v>0.56947199999999998</v>
      </c>
      <c r="K2" s="1">
        <v>0.104404</v>
      </c>
      <c r="L2" s="1">
        <v>0.36113400000000001</v>
      </c>
      <c r="M2" s="1">
        <v>2.4607519999999998</v>
      </c>
      <c r="N2" s="1">
        <v>3.1314489999999999</v>
      </c>
      <c r="O2" s="1">
        <v>3.7487499999999998</v>
      </c>
      <c r="P2" s="1">
        <v>4.3268899999999997</v>
      </c>
      <c r="Q2" s="1">
        <v>4.8669789999999997</v>
      </c>
      <c r="R2" s="1">
        <v>5.3964809999999996</v>
      </c>
      <c r="S2" s="1">
        <v>5.878412</v>
      </c>
      <c r="T2" s="1">
        <v>6.3424860000000001</v>
      </c>
      <c r="U2" s="1">
        <v>6.7678599999999998</v>
      </c>
      <c r="V2" s="1">
        <v>7.1487540000000003</v>
      </c>
      <c r="W2" s="1">
        <v>7.4867299999999997</v>
      </c>
      <c r="X2" s="1">
        <v>7.7897040000000004</v>
      </c>
      <c r="Y2" s="1">
        <v>8.0663649999999993</v>
      </c>
      <c r="Z2" s="1">
        <v>8.2933000000000003</v>
      </c>
      <c r="AA2" s="1">
        <v>8.4934589999999996</v>
      </c>
      <c r="AB2" s="1">
        <v>8.6758579999999998</v>
      </c>
      <c r="AC2" s="1">
        <v>8.8410270000000004</v>
      </c>
      <c r="AD2" s="1">
        <v>8.9716109999999993</v>
      </c>
      <c r="AE2" s="2" cm="1">
        <f t="array" ref="AE2:AE6">(AD2:AD6-D2:D6)/D2:D6</f>
        <v>1615.5064864864864</v>
      </c>
    </row>
    <row r="3" spans="1:31" x14ac:dyDescent="0.25">
      <c r="A3" s="1" t="s">
        <v>31</v>
      </c>
      <c r="B3" s="1" t="s">
        <v>4</v>
      </c>
      <c r="C3" s="1" t="s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" t="e">
        <v>#DIV/0!</v>
      </c>
    </row>
    <row r="4" spans="1:31" x14ac:dyDescent="0.25">
      <c r="A4" s="1" t="s">
        <v>31</v>
      </c>
      <c r="B4" s="1" t="s">
        <v>5</v>
      </c>
      <c r="C4" s="1" t="s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 t="e">
        <v>#DIV/0!</v>
      </c>
    </row>
    <row r="5" spans="1:31" x14ac:dyDescent="0.25">
      <c r="A5" s="1" t="s">
        <v>31</v>
      </c>
      <c r="B5" s="1" t="s">
        <v>6</v>
      </c>
      <c r="C5" s="1" t="s">
        <v>3</v>
      </c>
      <c r="D5" s="1">
        <v>4.0000000000000003E-5</v>
      </c>
      <c r="E5" s="1">
        <v>4.0000000000000003E-5</v>
      </c>
      <c r="F5" s="1">
        <v>4.0000000000000003E-5</v>
      </c>
      <c r="G5" s="1">
        <v>4.0000000000000003E-5</v>
      </c>
      <c r="H5" s="1">
        <v>4.0000000000000003E-5</v>
      </c>
      <c r="I5" s="1">
        <v>4.0000000000000003E-5</v>
      </c>
      <c r="J5" s="1">
        <v>4.0000000000000003E-5</v>
      </c>
      <c r="K5" s="1">
        <v>4.0000000000000003E-5</v>
      </c>
      <c r="L5" s="1">
        <v>4.0000000000000003E-5</v>
      </c>
      <c r="M5" s="1">
        <v>4.0000000000000003E-5</v>
      </c>
      <c r="N5" s="1">
        <v>4.0000000000000003E-5</v>
      </c>
      <c r="O5" s="1">
        <v>4.0000000000000003E-5</v>
      </c>
      <c r="P5" s="1">
        <v>4.0000000000000003E-5</v>
      </c>
      <c r="Q5" s="1">
        <v>4.0000000000000003E-5</v>
      </c>
      <c r="R5" s="1">
        <v>4.0000000000000003E-5</v>
      </c>
      <c r="S5" s="1">
        <v>4.0000000000000003E-5</v>
      </c>
      <c r="T5" s="1">
        <v>4.0000000000000003E-5</v>
      </c>
      <c r="U5" s="1">
        <v>4.0000000000000003E-5</v>
      </c>
      <c r="V5" s="1">
        <v>4.0000000000000003E-5</v>
      </c>
      <c r="W5" s="1">
        <v>4.0000000000000003E-5</v>
      </c>
      <c r="X5" s="1">
        <v>4.0000000000000003E-5</v>
      </c>
      <c r="Y5" s="1">
        <v>4.0000000000000003E-5</v>
      </c>
      <c r="Z5" s="1">
        <v>4.0000000000000003E-5</v>
      </c>
      <c r="AA5" s="1">
        <v>4.0000000000000003E-5</v>
      </c>
      <c r="AB5" s="1">
        <v>4.0000000000000003E-5</v>
      </c>
      <c r="AC5" s="1">
        <v>4.0000000000000003E-5</v>
      </c>
      <c r="AD5" s="1">
        <v>4.0000000000000003E-5</v>
      </c>
      <c r="AE5" s="2">
        <v>0</v>
      </c>
    </row>
    <row r="6" spans="1:31" x14ac:dyDescent="0.25">
      <c r="A6" s="1" t="s">
        <v>31</v>
      </c>
      <c r="B6" s="3" t="s">
        <v>7</v>
      </c>
      <c r="C6" s="1" t="s">
        <v>3</v>
      </c>
      <c r="D6" s="1">
        <v>5.5900000000000004E-3</v>
      </c>
      <c r="E6" s="1">
        <v>3.6003E-2</v>
      </c>
      <c r="F6" s="1">
        <v>8.6263999999999993E-2</v>
      </c>
      <c r="G6" s="1">
        <v>0.162854</v>
      </c>
      <c r="H6" s="1">
        <v>0.27723199999999998</v>
      </c>
      <c r="I6" s="1">
        <v>0.41402699999999998</v>
      </c>
      <c r="J6" s="1">
        <v>0.56951200000000002</v>
      </c>
      <c r="K6" s="1">
        <v>0.104444</v>
      </c>
      <c r="L6" s="1">
        <v>0.361174</v>
      </c>
      <c r="M6" s="1">
        <v>2.4607920000000001</v>
      </c>
      <c r="N6" s="1">
        <v>3.1314890000000002</v>
      </c>
      <c r="O6" s="1">
        <v>3.7487900000000001</v>
      </c>
      <c r="P6" s="1">
        <v>4.3269299999999999</v>
      </c>
      <c r="Q6" s="1">
        <v>4.867019</v>
      </c>
      <c r="R6" s="1">
        <v>5.3965209999999999</v>
      </c>
      <c r="S6" s="1">
        <v>5.8784520000000002</v>
      </c>
      <c r="T6" s="1">
        <v>6.3425260000000003</v>
      </c>
      <c r="U6" s="1">
        <v>6.7679</v>
      </c>
      <c r="V6" s="1">
        <v>7.1487939999999996</v>
      </c>
      <c r="W6" s="1">
        <v>7.4867699999999999</v>
      </c>
      <c r="X6" s="1">
        <v>7.7897439999999998</v>
      </c>
      <c r="Y6" s="1">
        <v>8.0664049999999996</v>
      </c>
      <c r="Z6" s="1">
        <v>8.2933400000000006</v>
      </c>
      <c r="AA6" s="1">
        <v>8.4934989999999999</v>
      </c>
      <c r="AB6" s="1">
        <v>8.6758980000000001</v>
      </c>
      <c r="AC6" s="1">
        <v>8.8410670000000007</v>
      </c>
      <c r="AD6" s="1">
        <v>8.9716509999999996</v>
      </c>
      <c r="AE6" s="2">
        <v>1603.9465116279068</v>
      </c>
    </row>
    <row r="7" spans="1:31" x14ac:dyDescent="0.25">
      <c r="A7" s="1" t="s">
        <v>8</v>
      </c>
      <c r="B7" s="1" t="s">
        <v>9</v>
      </c>
      <c r="C7" s="1" t="s">
        <v>3</v>
      </c>
      <c r="D7" s="1">
        <v>7.6210000000000002E-3</v>
      </c>
      <c r="E7" s="1">
        <v>4.9378999999999999E-2</v>
      </c>
      <c r="F7" s="1">
        <v>0.11838899999999999</v>
      </c>
      <c r="G7" s="1">
        <v>0.223548</v>
      </c>
      <c r="H7" s="1">
        <v>0.38059399999999999</v>
      </c>
      <c r="I7" s="1">
        <v>0.56841799999999998</v>
      </c>
      <c r="J7" s="1">
        <v>0.78190300000000001</v>
      </c>
      <c r="K7" s="1">
        <v>0.14335000000000001</v>
      </c>
      <c r="L7" s="1">
        <v>0.49584899999999998</v>
      </c>
      <c r="M7" s="1">
        <v>3.3786900000000002</v>
      </c>
      <c r="N7" s="1">
        <v>4.2995780000000003</v>
      </c>
      <c r="O7" s="1">
        <v>5.147151</v>
      </c>
      <c r="P7" s="1">
        <v>5.9409549999999998</v>
      </c>
      <c r="Q7" s="1">
        <v>6.6825140000000003</v>
      </c>
      <c r="R7" s="1">
        <v>7.4095380000000004</v>
      </c>
      <c r="S7" s="1">
        <v>8.0712430000000008</v>
      </c>
      <c r="T7" s="1">
        <v>8.7084320000000002</v>
      </c>
      <c r="U7" s="1">
        <v>9.2924830000000007</v>
      </c>
      <c r="V7" s="1">
        <v>9.8154629999999994</v>
      </c>
      <c r="W7" s="1">
        <v>10.279513</v>
      </c>
      <c r="X7" s="1">
        <v>10.695506999999999</v>
      </c>
      <c r="Y7" s="1">
        <v>11.075373000000001</v>
      </c>
      <c r="Z7" s="1">
        <v>11.38696</v>
      </c>
      <c r="AA7" s="1">
        <v>11.661785</v>
      </c>
      <c r="AB7" s="1">
        <v>11.912224</v>
      </c>
      <c r="AC7" s="1">
        <v>12.139008</v>
      </c>
      <c r="AD7" s="1">
        <v>12.318303</v>
      </c>
      <c r="AE7" s="2" cm="1">
        <f t="array" ref="AE7:AE9">(AD7:AD9-D7:D9)/D7:D9</f>
        <v>1615.3630757118488</v>
      </c>
    </row>
    <row r="8" spans="1:31" x14ac:dyDescent="0.25">
      <c r="A8" s="1" t="s">
        <v>8</v>
      </c>
      <c r="B8" s="1" t="s">
        <v>10</v>
      </c>
      <c r="C8" s="1" t="s">
        <v>3</v>
      </c>
      <c r="D8" s="1">
        <v>1.9000000000000001E-5</v>
      </c>
      <c r="E8" s="1">
        <v>1.2E-4</v>
      </c>
      <c r="F8" s="1">
        <v>2.8800000000000001E-4</v>
      </c>
      <c r="G8" s="1">
        <v>5.4299999999999997E-4</v>
      </c>
      <c r="H8" s="1">
        <v>9.2400000000000002E-4</v>
      </c>
      <c r="I8" s="1">
        <v>1.3810000000000001E-3</v>
      </c>
      <c r="J8" s="1">
        <v>1.8990000000000001E-3</v>
      </c>
      <c r="K8" s="1">
        <v>3.48E-4</v>
      </c>
      <c r="L8" s="1">
        <v>1.204E-3</v>
      </c>
      <c r="M8" s="1">
        <v>8.2070000000000008E-3</v>
      </c>
      <c r="N8" s="1">
        <v>1.0442999999999999E-2</v>
      </c>
      <c r="O8" s="1">
        <v>1.2501999999999999E-2</v>
      </c>
      <c r="P8" s="1">
        <v>1.443E-2</v>
      </c>
      <c r="Q8" s="1">
        <v>1.6230999999999999E-2</v>
      </c>
      <c r="R8" s="1">
        <v>1.7996999999999999E-2</v>
      </c>
      <c r="S8" s="1">
        <v>1.9605000000000001E-2</v>
      </c>
      <c r="T8" s="1">
        <v>2.1152000000000001E-2</v>
      </c>
      <c r="U8" s="1">
        <v>2.2571000000000001E-2</v>
      </c>
      <c r="V8" s="1">
        <v>2.3841000000000001E-2</v>
      </c>
      <c r="W8" s="1">
        <v>2.4968000000000001E-2</v>
      </c>
      <c r="X8" s="1">
        <v>2.5978999999999999E-2</v>
      </c>
      <c r="Y8" s="1">
        <v>2.6901000000000001E-2</v>
      </c>
      <c r="Z8" s="1">
        <v>2.7657999999999999E-2</v>
      </c>
      <c r="AA8" s="1">
        <v>2.8326E-2</v>
      </c>
      <c r="AB8" s="1">
        <v>2.8934000000000001E-2</v>
      </c>
      <c r="AC8" s="1">
        <v>2.9485000000000001E-2</v>
      </c>
      <c r="AD8" s="1">
        <v>2.9919999999999999E-2</v>
      </c>
      <c r="AE8" s="2">
        <v>1573.7368421052629</v>
      </c>
    </row>
    <row r="9" spans="1:31" x14ac:dyDescent="0.25">
      <c r="A9" s="1" t="s">
        <v>8</v>
      </c>
      <c r="B9" s="1" t="s">
        <v>11</v>
      </c>
      <c r="C9" s="1" t="s">
        <v>3</v>
      </c>
      <c r="D9" s="1">
        <v>7.639E-3</v>
      </c>
      <c r="E9" s="1">
        <v>4.9499000000000001E-2</v>
      </c>
      <c r="F9" s="1">
        <v>0.118676</v>
      </c>
      <c r="G9" s="1">
        <v>0.22409100000000001</v>
      </c>
      <c r="H9" s="1">
        <v>0.38151800000000002</v>
      </c>
      <c r="I9" s="1">
        <v>0.56979900000000006</v>
      </c>
      <c r="J9" s="1">
        <v>0.783802</v>
      </c>
      <c r="K9" s="1">
        <v>0.14369799999999999</v>
      </c>
      <c r="L9" s="1">
        <v>0.49705300000000002</v>
      </c>
      <c r="M9" s="1">
        <v>3.3868960000000001</v>
      </c>
      <c r="N9" s="1">
        <v>4.3100209999999999</v>
      </c>
      <c r="O9" s="1">
        <v>5.1596539999999997</v>
      </c>
      <c r="P9" s="1">
        <v>5.9553849999999997</v>
      </c>
      <c r="Q9" s="1">
        <v>6.6987449999999997</v>
      </c>
      <c r="R9" s="1">
        <v>7.4275349999999998</v>
      </c>
      <c r="S9" s="1">
        <v>8.0908479999999994</v>
      </c>
      <c r="T9" s="1">
        <v>8.7295850000000002</v>
      </c>
      <c r="U9" s="1">
        <v>9.3150539999999999</v>
      </c>
      <c r="V9" s="1">
        <v>9.8393040000000003</v>
      </c>
      <c r="W9" s="1">
        <v>10.304482</v>
      </c>
      <c r="X9" s="1">
        <v>10.721486000000001</v>
      </c>
      <c r="Y9" s="1">
        <v>11.102274</v>
      </c>
      <c r="Z9" s="1">
        <v>11.414618000000001</v>
      </c>
      <c r="AA9" s="1">
        <v>11.690111</v>
      </c>
      <c r="AB9" s="1">
        <v>11.941158</v>
      </c>
      <c r="AC9" s="1">
        <v>12.168492000000001</v>
      </c>
      <c r="AD9" s="1">
        <v>12.348224</v>
      </c>
      <c r="AE9" s="2">
        <v>1615.4712658724966</v>
      </c>
    </row>
    <row r="10" spans="1:31" x14ac:dyDescent="0.25">
      <c r="A10" s="1" t="s">
        <v>27</v>
      </c>
      <c r="B10" s="1" t="s">
        <v>9</v>
      </c>
      <c r="C10" s="1" t="s">
        <v>3</v>
      </c>
      <c r="D10" s="1">
        <v>7.6210000000000002E-3</v>
      </c>
      <c r="E10" s="1">
        <v>4.9378999999999999E-2</v>
      </c>
      <c r="F10" s="1">
        <v>0.11838899999999999</v>
      </c>
      <c r="G10" s="1">
        <v>0.223548</v>
      </c>
      <c r="H10" s="1">
        <v>0.38059399999999999</v>
      </c>
      <c r="I10" s="1">
        <v>0.56841799999999998</v>
      </c>
      <c r="J10" s="1">
        <v>0.78190300000000001</v>
      </c>
      <c r="K10" s="1">
        <v>0.14335000000000001</v>
      </c>
      <c r="L10" s="1">
        <v>0.49584899999999998</v>
      </c>
      <c r="M10" s="1">
        <v>3.3786900000000002</v>
      </c>
      <c r="N10" s="1">
        <v>4.2995780000000003</v>
      </c>
      <c r="O10" s="1">
        <v>5.147151</v>
      </c>
      <c r="P10" s="1">
        <v>5.9409549999999998</v>
      </c>
      <c r="Q10" s="1">
        <v>6.6825140000000003</v>
      </c>
      <c r="R10" s="1">
        <v>7.4095380000000004</v>
      </c>
      <c r="S10" s="1">
        <v>8.0712430000000008</v>
      </c>
      <c r="T10" s="1">
        <v>8.7084320000000002</v>
      </c>
      <c r="U10" s="1">
        <v>9.2924830000000007</v>
      </c>
      <c r="V10" s="1">
        <v>9.8154629999999994</v>
      </c>
      <c r="W10" s="1">
        <v>10.279513</v>
      </c>
      <c r="X10" s="1">
        <v>10.695506999999999</v>
      </c>
      <c r="Y10" s="1">
        <v>11.075373000000001</v>
      </c>
      <c r="Z10" s="1">
        <v>11.38696</v>
      </c>
      <c r="AA10" s="1">
        <v>11.661785</v>
      </c>
      <c r="AB10" s="1">
        <v>11.912224</v>
      </c>
      <c r="AC10" s="1">
        <v>12.139008</v>
      </c>
      <c r="AD10" s="1">
        <v>12.318303</v>
      </c>
      <c r="AE10" s="2" cm="1">
        <f t="array" ref="AE10:AE14">(AD10:AD14-D10:D14)/D10:D14</f>
        <v>1615.3630757118488</v>
      </c>
    </row>
    <row r="11" spans="1:31" x14ac:dyDescent="0.25">
      <c r="A11" s="1" t="s">
        <v>27</v>
      </c>
      <c r="B11" s="1" t="s">
        <v>12</v>
      </c>
      <c r="C11" s="1" t="s">
        <v>3</v>
      </c>
      <c r="D11" s="1">
        <v>6.5040000000000002E-3</v>
      </c>
      <c r="E11" s="1">
        <v>4.2145000000000002E-2</v>
      </c>
      <c r="F11" s="1">
        <v>0.101045</v>
      </c>
      <c r="G11" s="1">
        <v>0.190798</v>
      </c>
      <c r="H11" s="1">
        <v>0.32483699999999999</v>
      </c>
      <c r="I11" s="1">
        <v>0.48514400000000002</v>
      </c>
      <c r="J11" s="1">
        <v>0.667354</v>
      </c>
      <c r="K11" s="1">
        <v>0.122349</v>
      </c>
      <c r="L11" s="1">
        <v>0.423207</v>
      </c>
      <c r="M11" s="1">
        <v>2.8837109999999999</v>
      </c>
      <c r="N11" s="1">
        <v>3.669689</v>
      </c>
      <c r="O11" s="1">
        <v>4.3930930000000004</v>
      </c>
      <c r="P11" s="1">
        <v>5.0706030000000002</v>
      </c>
      <c r="Q11" s="1">
        <v>5.7035239999999998</v>
      </c>
      <c r="R11" s="1">
        <v>6.324039</v>
      </c>
      <c r="S11" s="1">
        <v>6.8888030000000002</v>
      </c>
      <c r="T11" s="1">
        <v>7.4326449999999999</v>
      </c>
      <c r="U11" s="1">
        <v>7.9311319999999998</v>
      </c>
      <c r="V11" s="1">
        <v>8.3774960000000007</v>
      </c>
      <c r="W11" s="1">
        <v>8.7735610000000008</v>
      </c>
      <c r="X11" s="1">
        <v>9.1286129999999996</v>
      </c>
      <c r="Y11" s="1">
        <v>9.4528269999999992</v>
      </c>
      <c r="Z11" s="1">
        <v>9.7187669999999997</v>
      </c>
      <c r="AA11" s="1">
        <v>9.9533299999999993</v>
      </c>
      <c r="AB11" s="1">
        <v>10.16708</v>
      </c>
      <c r="AC11" s="1">
        <v>10.36064</v>
      </c>
      <c r="AD11" s="1">
        <v>10.513667999999999</v>
      </c>
      <c r="AE11" s="2">
        <v>1615.492619926199</v>
      </c>
    </row>
    <row r="12" spans="1:31" x14ac:dyDescent="0.25">
      <c r="A12" s="1" t="s">
        <v>27</v>
      </c>
      <c r="B12" s="1" t="s">
        <v>13</v>
      </c>
      <c r="C12" s="1" t="s">
        <v>3</v>
      </c>
      <c r="D12" s="1">
        <v>1.116E-3</v>
      </c>
      <c r="E12" s="1">
        <v>7.234E-3</v>
      </c>
      <c r="F12" s="1">
        <v>1.7343999999999998E-2</v>
      </c>
      <c r="G12" s="1">
        <v>3.2750000000000001E-2</v>
      </c>
      <c r="H12" s="1">
        <v>5.5757000000000001E-2</v>
      </c>
      <c r="I12" s="1">
        <v>8.3273E-2</v>
      </c>
      <c r="J12" s="1">
        <v>0.114549</v>
      </c>
      <c r="K12" s="1">
        <v>2.1000999999999999E-2</v>
      </c>
      <c r="L12" s="1">
        <v>7.2641999999999998E-2</v>
      </c>
      <c r="M12" s="1">
        <v>0.494979</v>
      </c>
      <c r="N12" s="1">
        <v>0.62988900000000003</v>
      </c>
      <c r="O12" s="1">
        <v>0.75405900000000003</v>
      </c>
      <c r="P12" s="1">
        <v>0.87035099999999999</v>
      </c>
      <c r="Q12" s="1">
        <v>0.97899000000000003</v>
      </c>
      <c r="R12" s="1">
        <v>1.085499</v>
      </c>
      <c r="S12" s="1">
        <v>1.182439</v>
      </c>
      <c r="T12" s="1">
        <v>1.2757879999999999</v>
      </c>
      <c r="U12" s="1">
        <v>1.361351</v>
      </c>
      <c r="V12" s="1">
        <v>1.4379679999999999</v>
      </c>
      <c r="W12" s="1">
        <v>1.505951</v>
      </c>
      <c r="X12" s="1">
        <v>1.5668949999999999</v>
      </c>
      <c r="Y12" s="1">
        <v>1.6225449999999999</v>
      </c>
      <c r="Z12" s="1">
        <v>1.668193</v>
      </c>
      <c r="AA12" s="1">
        <v>1.7084550000000001</v>
      </c>
      <c r="AB12" s="1">
        <v>1.745144</v>
      </c>
      <c r="AC12" s="1">
        <v>1.7783679999999999</v>
      </c>
      <c r="AD12" s="1">
        <v>1.804635</v>
      </c>
      <c r="AE12" s="2">
        <v>1616.0564516129032</v>
      </c>
    </row>
    <row r="13" spans="1:31" x14ac:dyDescent="0.25">
      <c r="A13" s="1" t="s">
        <v>27</v>
      </c>
      <c r="B13" s="1" t="s">
        <v>14</v>
      </c>
      <c r="C13" s="1" t="s">
        <v>3</v>
      </c>
      <c r="D13" s="1">
        <v>1.9000000000000001E-5</v>
      </c>
      <c r="E13" s="1">
        <v>1.2E-4</v>
      </c>
      <c r="F13" s="1">
        <v>2.8800000000000001E-4</v>
      </c>
      <c r="G13" s="1">
        <v>5.4299999999999997E-4</v>
      </c>
      <c r="H13" s="1">
        <v>9.2400000000000002E-4</v>
      </c>
      <c r="I13" s="1">
        <v>1.3810000000000001E-3</v>
      </c>
      <c r="J13" s="1">
        <v>1.8990000000000001E-3</v>
      </c>
      <c r="K13" s="1">
        <v>3.48E-4</v>
      </c>
      <c r="L13" s="1">
        <v>1.204E-3</v>
      </c>
      <c r="M13" s="1">
        <v>8.2070000000000008E-3</v>
      </c>
      <c r="N13" s="1">
        <v>1.0442999999999999E-2</v>
      </c>
      <c r="O13" s="1">
        <v>1.2501999999999999E-2</v>
      </c>
      <c r="P13" s="1">
        <v>1.443E-2</v>
      </c>
      <c r="Q13" s="1">
        <v>1.6230999999999999E-2</v>
      </c>
      <c r="R13" s="1">
        <v>1.7996999999999999E-2</v>
      </c>
      <c r="S13" s="1">
        <v>1.9605000000000001E-2</v>
      </c>
      <c r="T13" s="1">
        <v>2.1152000000000001E-2</v>
      </c>
      <c r="U13" s="1">
        <v>2.2571000000000001E-2</v>
      </c>
      <c r="V13" s="1">
        <v>2.3841000000000001E-2</v>
      </c>
      <c r="W13" s="1">
        <v>2.4968000000000001E-2</v>
      </c>
      <c r="X13" s="1">
        <v>2.5978999999999999E-2</v>
      </c>
      <c r="Y13" s="1">
        <v>2.6901000000000001E-2</v>
      </c>
      <c r="Z13" s="1">
        <v>2.7657999999999999E-2</v>
      </c>
      <c r="AA13" s="1">
        <v>2.8326E-2</v>
      </c>
      <c r="AB13" s="1">
        <v>2.8934000000000001E-2</v>
      </c>
      <c r="AC13" s="1">
        <v>2.9485000000000001E-2</v>
      </c>
      <c r="AD13" s="1">
        <v>2.9919999999999999E-2</v>
      </c>
      <c r="AE13" s="2">
        <v>1573.7368421052629</v>
      </c>
    </row>
    <row r="14" spans="1:31" x14ac:dyDescent="0.25">
      <c r="A14" s="1" t="s">
        <v>27</v>
      </c>
      <c r="B14" s="1" t="s">
        <v>15</v>
      </c>
      <c r="C14" s="1" t="s">
        <v>3</v>
      </c>
      <c r="D14" s="1">
        <v>7.639E-3</v>
      </c>
      <c r="E14" s="1">
        <v>4.9499000000000001E-2</v>
      </c>
      <c r="F14" s="1">
        <v>0.118676</v>
      </c>
      <c r="G14" s="1">
        <v>0.22409100000000001</v>
      </c>
      <c r="H14" s="1">
        <v>0.38151800000000002</v>
      </c>
      <c r="I14" s="1">
        <v>0.56979900000000006</v>
      </c>
      <c r="J14" s="1">
        <v>0.783802</v>
      </c>
      <c r="K14" s="1">
        <v>0.14369799999999999</v>
      </c>
      <c r="L14" s="1">
        <v>0.49705300000000002</v>
      </c>
      <c r="M14" s="1">
        <v>3.3868960000000001</v>
      </c>
      <c r="N14" s="1">
        <v>4.3100209999999999</v>
      </c>
      <c r="O14" s="1">
        <v>5.1596539999999997</v>
      </c>
      <c r="P14" s="1">
        <v>5.9553849999999997</v>
      </c>
      <c r="Q14" s="1">
        <v>6.6987449999999997</v>
      </c>
      <c r="R14" s="1">
        <v>7.4275349999999998</v>
      </c>
      <c r="S14" s="1">
        <v>8.0908479999999994</v>
      </c>
      <c r="T14" s="1">
        <v>8.7295850000000002</v>
      </c>
      <c r="U14" s="1">
        <v>9.3150539999999999</v>
      </c>
      <c r="V14" s="1">
        <v>9.8393040000000003</v>
      </c>
      <c r="W14" s="1">
        <v>10.304482</v>
      </c>
      <c r="X14" s="1">
        <v>10.721486000000001</v>
      </c>
      <c r="Y14" s="1">
        <v>11.102274</v>
      </c>
      <c r="Z14" s="1">
        <v>11.414618000000001</v>
      </c>
      <c r="AA14" s="1">
        <v>11.690111</v>
      </c>
      <c r="AB14" s="1">
        <v>11.941158</v>
      </c>
      <c r="AC14" s="1">
        <v>12.168492000000001</v>
      </c>
      <c r="AD14" s="1">
        <v>12.348224</v>
      </c>
      <c r="AE14" s="2">
        <v>1615.4712658724966</v>
      </c>
    </row>
    <row r="15" spans="1:31" x14ac:dyDescent="0.25">
      <c r="A15" s="1" t="s">
        <v>28</v>
      </c>
      <c r="B15" s="1" t="s">
        <v>14</v>
      </c>
      <c r="C15" s="1" t="s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" t="e">
        <f>(AD15-D15)/D15</f>
        <v>#DIV/0!</v>
      </c>
    </row>
    <row r="16" spans="1:31" x14ac:dyDescent="0.25">
      <c r="A16" s="1" t="s">
        <v>16</v>
      </c>
      <c r="B16" s="1" t="s">
        <v>17</v>
      </c>
      <c r="C16" s="1" t="s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2" t="e" cm="1">
        <f t="array" ref="AE16:AE20">(AD16:AD20-D16:D20)/D16:D20</f>
        <v>#DIV/0!</v>
      </c>
    </row>
    <row r="17" spans="1:31" x14ac:dyDescent="0.25">
      <c r="A17" s="1" t="s">
        <v>16</v>
      </c>
      <c r="B17" s="1" t="s">
        <v>18</v>
      </c>
      <c r="C17" s="1" t="s">
        <v>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2" t="e">
        <v>#DIV/0!</v>
      </c>
    </row>
    <row r="18" spans="1:31" x14ac:dyDescent="0.25">
      <c r="A18" s="1" t="s">
        <v>16</v>
      </c>
      <c r="B18" s="1" t="s">
        <v>19</v>
      </c>
      <c r="C18" s="1" t="s">
        <v>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2" t="e">
        <v>#DIV/0!</v>
      </c>
    </row>
    <row r="19" spans="1:31" x14ac:dyDescent="0.25">
      <c r="A19" s="1" t="s">
        <v>16</v>
      </c>
      <c r="B19" s="1" t="s">
        <v>20</v>
      </c>
      <c r="C19" s="1" t="s">
        <v>3</v>
      </c>
      <c r="D19" s="1">
        <v>5.5900000000000004E-3</v>
      </c>
      <c r="E19" s="1">
        <v>3.6005000000000002E-2</v>
      </c>
      <c r="F19" s="1">
        <v>8.6272000000000001E-2</v>
      </c>
      <c r="G19" s="1">
        <v>0.16276599999999999</v>
      </c>
      <c r="H19" s="1">
        <v>0.27759899999999998</v>
      </c>
      <c r="I19" s="1">
        <v>0.41397299999999998</v>
      </c>
      <c r="J19" s="1">
        <v>0.56950299999999998</v>
      </c>
      <c r="K19" s="1">
        <v>0.91912799999999995</v>
      </c>
      <c r="L19" s="1">
        <v>1.728113</v>
      </c>
      <c r="M19" s="1">
        <v>2.4595579999999999</v>
      </c>
      <c r="N19" s="1">
        <v>3.1323660000000002</v>
      </c>
      <c r="O19" s="1">
        <v>3.748615</v>
      </c>
      <c r="P19" s="1">
        <v>4.3254580000000002</v>
      </c>
      <c r="Q19" s="1">
        <v>4.8658770000000002</v>
      </c>
      <c r="R19" s="1">
        <v>5.3957309999999996</v>
      </c>
      <c r="S19" s="1">
        <v>5.8773770000000001</v>
      </c>
      <c r="T19" s="1">
        <v>6.3391339999999996</v>
      </c>
      <c r="U19" s="1">
        <v>6.7619579999999999</v>
      </c>
      <c r="V19" s="1">
        <v>7.1395929999999996</v>
      </c>
      <c r="W19" s="1">
        <v>7.4727819999999996</v>
      </c>
      <c r="X19" s="1">
        <v>7.7719129999999996</v>
      </c>
      <c r="Y19" s="1">
        <v>8.0453019999999995</v>
      </c>
      <c r="Z19" s="1">
        <v>8.2726959999999998</v>
      </c>
      <c r="AA19" s="1">
        <v>8.4699150000000003</v>
      </c>
      <c r="AB19" s="1">
        <v>8.6517060000000008</v>
      </c>
      <c r="AC19" s="1">
        <v>8.8189969999999995</v>
      </c>
      <c r="AD19" s="1">
        <v>8.954148</v>
      </c>
      <c r="AE19" s="2">
        <v>1600.8153846153846</v>
      </c>
    </row>
    <row r="20" spans="1:31" x14ac:dyDescent="0.25">
      <c r="A20" s="1" t="s">
        <v>16</v>
      </c>
      <c r="B20" s="1" t="s">
        <v>21</v>
      </c>
      <c r="C20" s="1" t="s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 t="e">
        <v>#DIV/0!</v>
      </c>
    </row>
    <row r="21" spans="1:31" x14ac:dyDescent="0.25">
      <c r="A21" s="1" t="s">
        <v>22</v>
      </c>
      <c r="B21" s="1" t="s">
        <v>24</v>
      </c>
      <c r="C21" s="1" t="s">
        <v>23</v>
      </c>
      <c r="D21" s="1">
        <v>11.219884</v>
      </c>
      <c r="E21" s="1">
        <v>11.895944999999999</v>
      </c>
      <c r="F21" s="1">
        <v>12.060893999999999</v>
      </c>
      <c r="G21" s="1">
        <v>11.379619</v>
      </c>
      <c r="H21" s="1">
        <v>10.956357000000001</v>
      </c>
      <c r="I21" s="1">
        <v>10.860872000000001</v>
      </c>
      <c r="J21" s="1">
        <v>10.669428</v>
      </c>
      <c r="K21" s="1">
        <v>9.9279410000000006</v>
      </c>
      <c r="L21" s="1">
        <v>10.267867000000001</v>
      </c>
      <c r="M21" s="1">
        <v>11.784409999999999</v>
      </c>
      <c r="N21" s="1">
        <v>12.009270000000001</v>
      </c>
      <c r="O21" s="1">
        <v>12.08066</v>
      </c>
      <c r="P21" s="1">
        <v>12.089865</v>
      </c>
      <c r="Q21" s="1">
        <v>11.921419</v>
      </c>
      <c r="R21" s="1">
        <v>11.705149</v>
      </c>
      <c r="S21" s="1">
        <v>11.587590000000001</v>
      </c>
      <c r="T21" s="1">
        <v>11.559418000000001</v>
      </c>
      <c r="U21" s="1">
        <v>11.818904</v>
      </c>
      <c r="V21" s="1">
        <v>11.897309</v>
      </c>
      <c r="W21" s="1">
        <v>11.994147</v>
      </c>
      <c r="X21" s="1">
        <v>11.797359</v>
      </c>
      <c r="Y21" s="1">
        <v>11.568168</v>
      </c>
      <c r="Z21" s="1">
        <v>11.633908</v>
      </c>
      <c r="AA21" s="1">
        <v>11.660959999999999</v>
      </c>
      <c r="AB21" s="1">
        <v>11.595454999999999</v>
      </c>
      <c r="AC21" s="1">
        <v>11.70519</v>
      </c>
      <c r="AD21" s="1">
        <v>11.638849</v>
      </c>
      <c r="AE21" s="2">
        <f>(AD21-D21)/D21</f>
        <v>3.7341295150645056E-2</v>
      </c>
    </row>
    <row r="22" spans="1:31" x14ac:dyDescent="0.25">
      <c r="A22" s="1" t="s">
        <v>25</v>
      </c>
      <c r="B22" s="1" t="s">
        <v>26</v>
      </c>
      <c r="C22" s="1" t="s">
        <v>23</v>
      </c>
      <c r="D22" s="1">
        <v>13.683406</v>
      </c>
      <c r="E22" s="1">
        <v>14.359467</v>
      </c>
      <c r="F22" s="1">
        <v>14.524417</v>
      </c>
      <c r="G22" s="1">
        <v>13.84314</v>
      </c>
      <c r="H22" s="1">
        <v>13.419879999999999</v>
      </c>
      <c r="I22" s="1">
        <v>13.324394</v>
      </c>
      <c r="J22" s="1">
        <v>13.132951</v>
      </c>
      <c r="K22" s="1">
        <v>12.391462000000001</v>
      </c>
      <c r="L22" s="1">
        <v>12.731389</v>
      </c>
      <c r="M22" s="1">
        <v>14.247932</v>
      </c>
      <c r="N22" s="1">
        <v>14.472791000000001</v>
      </c>
      <c r="O22" s="1">
        <v>14.544181999999999</v>
      </c>
      <c r="P22" s="1">
        <v>14.553387000000001</v>
      </c>
      <c r="Q22" s="1">
        <v>14.384941</v>
      </c>
      <c r="R22" s="1">
        <v>14.168671</v>
      </c>
      <c r="S22" s="1">
        <v>14.051112</v>
      </c>
      <c r="T22" s="1">
        <v>14.022940999999999</v>
      </c>
      <c r="U22" s="1">
        <v>14.282425999999999</v>
      </c>
      <c r="V22" s="1">
        <v>14.360830999999999</v>
      </c>
      <c r="W22" s="1">
        <v>14.457667000000001</v>
      </c>
      <c r="X22" s="1">
        <v>14.26088</v>
      </c>
      <c r="Y22" s="1">
        <v>14.031691</v>
      </c>
      <c r="Z22" s="1">
        <v>14.097429</v>
      </c>
      <c r="AA22" s="1">
        <v>14.124480999999999</v>
      </c>
      <c r="AB22" s="1">
        <v>14.058977000000001</v>
      </c>
      <c r="AC22" s="1">
        <v>14.168711999999999</v>
      </c>
      <c r="AD22" s="1">
        <v>14.102371</v>
      </c>
      <c r="AE22" s="2" cm="1">
        <f t="array" ref="AE22:AE24">(AD22:AD24-D22:D24)/D22:D24</f>
        <v>3.0618473207620969E-2</v>
      </c>
    </row>
    <row r="23" spans="1:31" x14ac:dyDescent="0.25">
      <c r="A23" s="1" t="s">
        <v>25</v>
      </c>
      <c r="B23" s="1" t="s">
        <v>20</v>
      </c>
      <c r="C23" s="1" t="s">
        <v>23</v>
      </c>
      <c r="D23" s="1">
        <v>63.769450999999997</v>
      </c>
      <c r="E23" s="1">
        <v>64.445114000000004</v>
      </c>
      <c r="F23" s="1">
        <v>64.616034999999997</v>
      </c>
      <c r="G23" s="1">
        <v>63.934764999999999</v>
      </c>
      <c r="H23" s="1">
        <v>63.511505</v>
      </c>
      <c r="I23" s="1">
        <v>63.416015999999999</v>
      </c>
      <c r="J23" s="1">
        <v>63.224612999999998</v>
      </c>
      <c r="K23" s="1">
        <v>62.483325999999998</v>
      </c>
      <c r="L23" s="1">
        <v>62.823020999999997</v>
      </c>
      <c r="M23" s="1">
        <v>64.339530999999994</v>
      </c>
      <c r="N23" s="1">
        <v>64.564414999999997</v>
      </c>
      <c r="O23" s="1">
        <v>64.635825999999994</v>
      </c>
      <c r="P23" s="1">
        <v>64.645004</v>
      </c>
      <c r="Q23" s="1">
        <v>64.476562000000001</v>
      </c>
      <c r="R23" s="1">
        <v>64.260300000000001</v>
      </c>
      <c r="S23" s="1">
        <v>64.142730999999998</v>
      </c>
      <c r="T23" s="1">
        <v>64.114547999999999</v>
      </c>
      <c r="U23" s="1">
        <v>64.374038999999996</v>
      </c>
      <c r="V23" s="1">
        <v>64.452422999999996</v>
      </c>
      <c r="W23" s="1">
        <v>64.549262999999996</v>
      </c>
      <c r="X23" s="1">
        <v>64.352485999999999</v>
      </c>
      <c r="Y23" s="1">
        <v>64.123290999999995</v>
      </c>
      <c r="Z23" s="1">
        <v>64.189041000000003</v>
      </c>
      <c r="AA23" s="1">
        <v>64.216117999999994</v>
      </c>
      <c r="AB23" s="1">
        <v>64.150611999999995</v>
      </c>
      <c r="AC23" s="1">
        <v>64.260345000000001</v>
      </c>
      <c r="AD23" s="1">
        <v>64.194016000000005</v>
      </c>
      <c r="AE23" s="2">
        <v>6.6578117475091375E-3</v>
      </c>
    </row>
    <row r="24" spans="1:31" x14ac:dyDescent="0.25">
      <c r="A24" s="1" t="s">
        <v>25</v>
      </c>
      <c r="B24" s="1" t="s">
        <v>21</v>
      </c>
      <c r="C24" s="1" t="s">
        <v>23</v>
      </c>
      <c r="D24" s="1">
        <v>13.683406</v>
      </c>
      <c r="E24" s="1">
        <v>14.359467</v>
      </c>
      <c r="F24" s="1">
        <v>14.524417</v>
      </c>
      <c r="G24" s="1">
        <v>13.84314</v>
      </c>
      <c r="H24" s="1">
        <v>13.419879999999999</v>
      </c>
      <c r="I24" s="1">
        <v>13.324394</v>
      </c>
      <c r="J24" s="1">
        <v>13.132951</v>
      </c>
      <c r="K24" s="1">
        <v>12.391462000000001</v>
      </c>
      <c r="L24" s="1">
        <v>12.731389</v>
      </c>
      <c r="M24" s="1">
        <v>14.247932</v>
      </c>
      <c r="N24" s="1">
        <v>14.472791000000001</v>
      </c>
      <c r="O24" s="1">
        <v>14.544181999999999</v>
      </c>
      <c r="P24" s="1">
        <v>14.553387000000001</v>
      </c>
      <c r="Q24" s="1">
        <v>14.384941</v>
      </c>
      <c r="R24" s="1">
        <v>14.168671</v>
      </c>
      <c r="S24" s="1">
        <v>14.051112</v>
      </c>
      <c r="T24" s="1">
        <v>14.022940999999999</v>
      </c>
      <c r="U24" s="1">
        <v>14.282425999999999</v>
      </c>
      <c r="V24" s="1">
        <v>14.360830999999999</v>
      </c>
      <c r="W24" s="1">
        <v>14.457667000000001</v>
      </c>
      <c r="X24" s="1">
        <v>14.26088</v>
      </c>
      <c r="Y24" s="1">
        <v>14.031691</v>
      </c>
      <c r="Z24" s="1">
        <v>14.097429</v>
      </c>
      <c r="AA24" s="1">
        <v>14.124480999999999</v>
      </c>
      <c r="AB24" s="1">
        <v>14.058977000000001</v>
      </c>
      <c r="AC24" s="1">
        <v>14.168711999999999</v>
      </c>
      <c r="AD24" s="1">
        <v>14.102371</v>
      </c>
      <c r="AE24" s="2">
        <v>3.0618473207620969E-2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4"/>
  <sheetViews>
    <sheetView tabSelected="1" workbookViewId="0">
      <selection sqref="A1:XFD1"/>
    </sheetView>
  </sheetViews>
  <sheetFormatPr defaultColWidth="8.7109375" defaultRowHeight="15" x14ac:dyDescent="0.25"/>
  <cols>
    <col min="1" max="1" width="51.5703125" style="1" bestFit="1" customWidth="1"/>
    <col min="2" max="2" width="65.85546875" style="1" bestFit="1" customWidth="1"/>
    <col min="3" max="30" width="8.7109375" style="1"/>
    <col min="31" max="31" width="17.5703125" style="1" bestFit="1" customWidth="1"/>
    <col min="32" max="16384" width="8.7109375" style="1"/>
  </cols>
  <sheetData>
    <row r="1" spans="1:31" s="4" customFormat="1" ht="15.75" thickBot="1" x14ac:dyDescent="0.3">
      <c r="A1" s="4" t="s">
        <v>29</v>
      </c>
      <c r="B1" s="4" t="s">
        <v>30</v>
      </c>
      <c r="C1" s="4" t="s">
        <v>0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  <c r="O1" s="4">
        <v>2035</v>
      </c>
      <c r="P1" s="4">
        <v>2036</v>
      </c>
      <c r="Q1" s="4">
        <v>2037</v>
      </c>
      <c r="R1" s="4">
        <v>2038</v>
      </c>
      <c r="S1" s="4">
        <v>2039</v>
      </c>
      <c r="T1" s="4">
        <v>2040</v>
      </c>
      <c r="U1" s="4">
        <v>2041</v>
      </c>
      <c r="V1" s="4">
        <v>2042</v>
      </c>
      <c r="W1" s="4">
        <v>2043</v>
      </c>
      <c r="X1" s="4">
        <v>2044</v>
      </c>
      <c r="Y1" s="4">
        <v>2045</v>
      </c>
      <c r="Z1" s="4">
        <v>2046</v>
      </c>
      <c r="AA1" s="4">
        <v>2047</v>
      </c>
      <c r="AB1" s="4">
        <v>2048</v>
      </c>
      <c r="AC1" s="4">
        <v>2049</v>
      </c>
      <c r="AD1" s="4">
        <v>2050</v>
      </c>
      <c r="AE1" s="4" t="s">
        <v>1</v>
      </c>
    </row>
    <row r="2" spans="1:31" ht="15.75" thickTop="1" x14ac:dyDescent="0.25">
      <c r="A2" s="1" t="s">
        <v>31</v>
      </c>
      <c r="B2" s="1" t="s">
        <v>2</v>
      </c>
      <c r="C2" s="1" t="s">
        <v>3</v>
      </c>
      <c r="D2" s="1">
        <v>83.641402999999997</v>
      </c>
      <c r="E2" s="1">
        <v>84.083907999999994</v>
      </c>
      <c r="F2" s="1">
        <v>84.723922999999999</v>
      </c>
      <c r="G2" s="1">
        <v>85.325974000000002</v>
      </c>
      <c r="H2" s="1">
        <v>86.083015000000003</v>
      </c>
      <c r="I2" s="1">
        <v>87.008987000000005</v>
      </c>
      <c r="J2" s="1">
        <v>88.070068000000006</v>
      </c>
      <c r="K2" s="1">
        <v>90.417800999999997</v>
      </c>
      <c r="L2" s="1">
        <v>95.607535999999996</v>
      </c>
      <c r="M2" s="1">
        <v>100.45650500000001</v>
      </c>
      <c r="N2" s="1">
        <v>104.97511299999999</v>
      </c>
      <c r="O2" s="1">
        <v>109.180283</v>
      </c>
      <c r="P2" s="1">
        <v>113.115128</v>
      </c>
      <c r="Q2" s="1">
        <v>116.975441</v>
      </c>
      <c r="R2" s="1">
        <v>120.598412</v>
      </c>
      <c r="S2" s="1">
        <v>124.097488</v>
      </c>
      <c r="T2" s="1">
        <v>127.43291499999999</v>
      </c>
      <c r="U2" s="1">
        <v>130.531937</v>
      </c>
      <c r="V2" s="1">
        <v>133.45474200000001</v>
      </c>
      <c r="W2" s="1">
        <v>136.088257</v>
      </c>
      <c r="X2" s="1">
        <v>138.541214</v>
      </c>
      <c r="Y2" s="1">
        <v>140.867233</v>
      </c>
      <c r="Z2" s="1">
        <v>142.96719400000001</v>
      </c>
      <c r="AA2" s="1">
        <v>144.91867099999999</v>
      </c>
      <c r="AB2" s="1">
        <v>146.830826</v>
      </c>
      <c r="AC2" s="1">
        <v>148.681274</v>
      </c>
      <c r="AD2" s="1">
        <v>150.313828</v>
      </c>
      <c r="AE2" s="2" cm="1">
        <f t="array" ref="AE2:AE6">(AD2:AD6-D2:D6)/D2:D6</f>
        <v>0.79712226969698252</v>
      </c>
    </row>
    <row r="3" spans="1:31" x14ac:dyDescent="0.25">
      <c r="A3" s="1" t="s">
        <v>31</v>
      </c>
      <c r="B3" s="1" t="s">
        <v>4</v>
      </c>
      <c r="C3" s="1" t="s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" t="e">
        <v>#DIV/0!</v>
      </c>
    </row>
    <row r="4" spans="1:31" x14ac:dyDescent="0.25">
      <c r="A4" s="1" t="s">
        <v>31</v>
      </c>
      <c r="B4" s="1" t="s">
        <v>5</v>
      </c>
      <c r="C4" s="1" t="s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1.485E-3</v>
      </c>
      <c r="S4" s="1">
        <v>4.4539999999999996E-3</v>
      </c>
      <c r="T4" s="1">
        <v>9.6500000000000006E-3</v>
      </c>
      <c r="U4" s="1">
        <v>1.2619999999999999E-2</v>
      </c>
      <c r="V4" s="1">
        <v>6.6810000000000003E-3</v>
      </c>
      <c r="W4" s="1">
        <v>6.6810000000000003E-3</v>
      </c>
      <c r="X4" s="1">
        <v>5.1960000000000001E-3</v>
      </c>
      <c r="Y4" s="1">
        <v>1.4104E-2</v>
      </c>
      <c r="Z4" s="1">
        <v>5.1960000000000001E-3</v>
      </c>
      <c r="AA4" s="1">
        <v>5.1960000000000001E-3</v>
      </c>
      <c r="AB4" s="1">
        <v>5.1960000000000001E-3</v>
      </c>
      <c r="AC4" s="1">
        <v>5.1960000000000001E-3</v>
      </c>
      <c r="AD4" s="1">
        <v>4.4539999999999996E-3</v>
      </c>
      <c r="AE4" s="2" t="e">
        <v>#DIV/0!</v>
      </c>
    </row>
    <row r="5" spans="1:31" x14ac:dyDescent="0.25">
      <c r="A5" s="1" t="s">
        <v>31</v>
      </c>
      <c r="B5" s="1" t="s">
        <v>6</v>
      </c>
      <c r="C5" s="1" t="s">
        <v>3</v>
      </c>
      <c r="D5" s="1">
        <v>22.397535000000001</v>
      </c>
      <c r="E5" s="1">
        <v>22.397535000000001</v>
      </c>
      <c r="F5" s="1">
        <v>22.397535000000001</v>
      </c>
      <c r="G5" s="1">
        <v>22.397535000000001</v>
      </c>
      <c r="H5" s="1">
        <v>22.397535000000001</v>
      </c>
      <c r="I5" s="1">
        <v>22.397535000000001</v>
      </c>
      <c r="J5" s="1">
        <v>22.397535000000001</v>
      </c>
      <c r="K5" s="1">
        <v>22.397535000000001</v>
      </c>
      <c r="L5" s="1">
        <v>22.397535000000001</v>
      </c>
      <c r="M5" s="1">
        <v>22.397535000000001</v>
      </c>
      <c r="N5" s="1">
        <v>22.397535000000001</v>
      </c>
      <c r="O5" s="1">
        <v>22.397535000000001</v>
      </c>
      <c r="P5" s="1">
        <v>22.397535000000001</v>
      </c>
      <c r="Q5" s="1">
        <v>22.397535000000001</v>
      </c>
      <c r="R5" s="1">
        <v>22.397535000000001</v>
      </c>
      <c r="S5" s="1">
        <v>22.397535000000001</v>
      </c>
      <c r="T5" s="1">
        <v>22.397535000000001</v>
      </c>
      <c r="U5" s="1">
        <v>22.397535000000001</v>
      </c>
      <c r="V5" s="1">
        <v>22.397535000000001</v>
      </c>
      <c r="W5" s="1">
        <v>22.397535000000001</v>
      </c>
      <c r="X5" s="1">
        <v>22.397535000000001</v>
      </c>
      <c r="Y5" s="1">
        <v>22.397535000000001</v>
      </c>
      <c r="Z5" s="1">
        <v>22.397535000000001</v>
      </c>
      <c r="AA5" s="1">
        <v>22.397535000000001</v>
      </c>
      <c r="AB5" s="1">
        <v>22.397535000000001</v>
      </c>
      <c r="AC5" s="1">
        <v>22.397535000000001</v>
      </c>
      <c r="AD5" s="1">
        <v>22.397535000000001</v>
      </c>
      <c r="AE5" s="2">
        <v>0</v>
      </c>
    </row>
    <row r="6" spans="1:31" x14ac:dyDescent="0.25">
      <c r="A6" s="1" t="s">
        <v>31</v>
      </c>
      <c r="B6" s="3" t="s">
        <v>7</v>
      </c>
      <c r="C6" s="1" t="s">
        <v>3</v>
      </c>
      <c r="D6" s="1">
        <v>106.03894</v>
      </c>
      <c r="E6" s="1">
        <v>106.48144499999999</v>
      </c>
      <c r="F6" s="1">
        <v>107.12146</v>
      </c>
      <c r="G6" s="1">
        <v>107.723511</v>
      </c>
      <c r="H6" s="1">
        <v>108.480553</v>
      </c>
      <c r="I6" s="1">
        <v>109.406525</v>
      </c>
      <c r="J6" s="1">
        <v>110.467606</v>
      </c>
      <c r="K6" s="1">
        <v>112.815338</v>
      </c>
      <c r="L6" s="1">
        <v>118.00507399999999</v>
      </c>
      <c r="M6" s="1">
        <v>122.85404200000001</v>
      </c>
      <c r="N6" s="1">
        <v>127.37264999999999</v>
      </c>
      <c r="O6" s="1">
        <v>131.57782</v>
      </c>
      <c r="P6" s="1">
        <v>135.512665</v>
      </c>
      <c r="Q6" s="1">
        <v>139.37297100000001</v>
      </c>
      <c r="R6" s="1">
        <v>142.99743699999999</v>
      </c>
      <c r="S6" s="1">
        <v>146.499481</v>
      </c>
      <c r="T6" s="1">
        <v>149.84008800000001</v>
      </c>
      <c r="U6" s="1">
        <v>152.942093</v>
      </c>
      <c r="V6" s="1">
        <v>155.85896299999999</v>
      </c>
      <c r="W6" s="1">
        <v>158.49247700000001</v>
      </c>
      <c r="X6" s="1">
        <v>160.943939</v>
      </c>
      <c r="Y6" s="1">
        <v>163.27887000000001</v>
      </c>
      <c r="Z6" s="1">
        <v>165.369934</v>
      </c>
      <c r="AA6" s="1">
        <v>167.32139599999999</v>
      </c>
      <c r="AB6" s="1">
        <v>169.233566</v>
      </c>
      <c r="AC6" s="1">
        <v>171.084</v>
      </c>
      <c r="AD6" s="1">
        <v>172.71580499999999</v>
      </c>
      <c r="AE6" s="2">
        <v>0.62879603473969081</v>
      </c>
    </row>
    <row r="7" spans="1:31" x14ac:dyDescent="0.25">
      <c r="A7" s="1" t="s">
        <v>8</v>
      </c>
      <c r="B7" s="1" t="s">
        <v>9</v>
      </c>
      <c r="C7" s="1" t="s">
        <v>3</v>
      </c>
      <c r="D7" s="1">
        <v>114.84226200000001</v>
      </c>
      <c r="E7" s="1">
        <v>115.449837</v>
      </c>
      <c r="F7" s="1">
        <v>116.32859000000001</v>
      </c>
      <c r="G7" s="1">
        <v>117.15522</v>
      </c>
      <c r="H7" s="1">
        <v>118.194672</v>
      </c>
      <c r="I7" s="1">
        <v>119.466072</v>
      </c>
      <c r="J7" s="1">
        <v>120.922951</v>
      </c>
      <c r="K7" s="1">
        <v>124.146477</v>
      </c>
      <c r="L7" s="1">
        <v>131.27212499999999</v>
      </c>
      <c r="M7" s="1">
        <v>137.92993200000001</v>
      </c>
      <c r="N7" s="1">
        <v>144.134109</v>
      </c>
      <c r="O7" s="1">
        <v>149.907928</v>
      </c>
      <c r="P7" s="1">
        <v>155.31059300000001</v>
      </c>
      <c r="Q7" s="1">
        <v>160.61094700000001</v>
      </c>
      <c r="R7" s="1">
        <v>165.58538799999999</v>
      </c>
      <c r="S7" s="1">
        <v>170.389725</v>
      </c>
      <c r="T7" s="1">
        <v>174.96935999999999</v>
      </c>
      <c r="U7" s="1">
        <v>179.22444200000001</v>
      </c>
      <c r="V7" s="1">
        <v>183.23753400000001</v>
      </c>
      <c r="W7" s="1">
        <v>186.85342399999999</v>
      </c>
      <c r="X7" s="1">
        <v>190.22139000000001</v>
      </c>
      <c r="Y7" s="1">
        <v>193.41511499999999</v>
      </c>
      <c r="Z7" s="1">
        <v>196.29843099999999</v>
      </c>
      <c r="AA7" s="1">
        <v>198.977859</v>
      </c>
      <c r="AB7" s="1">
        <v>201.603317</v>
      </c>
      <c r="AC7" s="1">
        <v>204.14404300000001</v>
      </c>
      <c r="AD7" s="1">
        <v>206.38557399999999</v>
      </c>
      <c r="AE7" s="2" cm="1">
        <f t="array" ref="AE7:AE9">(AD7:AD9-D7:D9)/D7:D9</f>
        <v>0.79712216048130424</v>
      </c>
    </row>
    <row r="8" spans="1:31" x14ac:dyDescent="0.25">
      <c r="A8" s="1" t="s">
        <v>8</v>
      </c>
      <c r="B8" s="1" t="s">
        <v>10</v>
      </c>
      <c r="C8" s="1" t="s">
        <v>3</v>
      </c>
      <c r="D8" s="1">
        <v>0.278945</v>
      </c>
      <c r="E8" s="1">
        <v>0.28042099999999998</v>
      </c>
      <c r="F8" s="1">
        <v>0.28255599999999997</v>
      </c>
      <c r="G8" s="1">
        <v>0.28456300000000001</v>
      </c>
      <c r="H8" s="1">
        <v>0.28708800000000001</v>
      </c>
      <c r="I8" s="1">
        <v>0.29017599999999999</v>
      </c>
      <c r="J8" s="1">
        <v>0.293715</v>
      </c>
      <c r="K8" s="1">
        <v>0.30154500000000001</v>
      </c>
      <c r="L8" s="1">
        <v>0.318853</v>
      </c>
      <c r="M8" s="1">
        <v>0.33502399999999999</v>
      </c>
      <c r="N8" s="1">
        <v>0.35009400000000002</v>
      </c>
      <c r="O8" s="1">
        <v>0.364118</v>
      </c>
      <c r="P8" s="1">
        <v>0.37724099999999999</v>
      </c>
      <c r="Q8" s="1">
        <v>0.39011499999999999</v>
      </c>
      <c r="R8" s="1">
        <v>0.40424700000000002</v>
      </c>
      <c r="S8" s="1">
        <v>0.42001500000000003</v>
      </c>
      <c r="T8" s="1">
        <v>0.43831100000000001</v>
      </c>
      <c r="U8" s="1">
        <v>0.45274399999999998</v>
      </c>
      <c r="V8" s="1">
        <v>0.454295</v>
      </c>
      <c r="W8" s="1">
        <v>0.46307799999999999</v>
      </c>
      <c r="X8" s="1">
        <v>0.46920899999999999</v>
      </c>
      <c r="Y8" s="1">
        <v>0.48926199999999997</v>
      </c>
      <c r="Z8" s="1">
        <v>0.48397000000000001</v>
      </c>
      <c r="AA8" s="1">
        <v>0.49047800000000003</v>
      </c>
      <c r="AB8" s="1">
        <v>0.49685499999999999</v>
      </c>
      <c r="AC8" s="1">
        <v>0.503027</v>
      </c>
      <c r="AD8" s="1">
        <v>0.50744699999999998</v>
      </c>
      <c r="AE8" s="2">
        <v>0.81916506838265601</v>
      </c>
    </row>
    <row r="9" spans="1:31" x14ac:dyDescent="0.25">
      <c r="A9" s="1" t="s">
        <v>8</v>
      </c>
      <c r="B9" s="1" t="s">
        <v>11</v>
      </c>
      <c r="C9" s="1" t="s">
        <v>3</v>
      </c>
      <c r="D9" s="1">
        <v>115.121208</v>
      </c>
      <c r="E9" s="1">
        <v>115.730255</v>
      </c>
      <c r="F9" s="1">
        <v>116.61114499999999</v>
      </c>
      <c r="G9" s="1">
        <v>117.439781</v>
      </c>
      <c r="H9" s="1">
        <v>118.481758</v>
      </c>
      <c r="I9" s="1">
        <v>119.756248</v>
      </c>
      <c r="J9" s="1">
        <v>121.216667</v>
      </c>
      <c r="K9" s="1">
        <v>124.448021</v>
      </c>
      <c r="L9" s="1">
        <v>131.59097299999999</v>
      </c>
      <c r="M9" s="1">
        <v>138.26495399999999</v>
      </c>
      <c r="N9" s="1">
        <v>144.484207</v>
      </c>
      <c r="O9" s="1">
        <v>150.27204900000001</v>
      </c>
      <c r="P9" s="1">
        <v>155.687836</v>
      </c>
      <c r="Q9" s="1">
        <v>161.001068</v>
      </c>
      <c r="R9" s="1">
        <v>165.98963900000001</v>
      </c>
      <c r="S9" s="1">
        <v>170.80973800000001</v>
      </c>
      <c r="T9" s="1">
        <v>175.407669</v>
      </c>
      <c r="U9" s="1">
        <v>179.67718500000001</v>
      </c>
      <c r="V9" s="1">
        <v>183.691833</v>
      </c>
      <c r="W9" s="1">
        <v>187.316498</v>
      </c>
      <c r="X9" s="1">
        <v>190.69059799999999</v>
      </c>
      <c r="Y9" s="1">
        <v>193.90437299999999</v>
      </c>
      <c r="Z9" s="1">
        <v>196.78239400000001</v>
      </c>
      <c r="AA9" s="1">
        <v>199.46833799999999</v>
      </c>
      <c r="AB9" s="1">
        <v>202.10017400000001</v>
      </c>
      <c r="AC9" s="1">
        <v>204.647064</v>
      </c>
      <c r="AD9" s="1">
        <v>206.893021</v>
      </c>
      <c r="AE9" s="2">
        <v>0.79717555604524248</v>
      </c>
    </row>
    <row r="10" spans="1:31" x14ac:dyDescent="0.25">
      <c r="A10" s="1" t="s">
        <v>27</v>
      </c>
      <c r="B10" s="1" t="s">
        <v>9</v>
      </c>
      <c r="C10" s="1" t="s">
        <v>3</v>
      </c>
      <c r="D10" s="1">
        <v>114.84226200000001</v>
      </c>
      <c r="E10" s="1">
        <v>115.449837</v>
      </c>
      <c r="F10" s="1">
        <v>116.32859000000001</v>
      </c>
      <c r="G10" s="1">
        <v>117.15522</v>
      </c>
      <c r="H10" s="1">
        <v>118.194672</v>
      </c>
      <c r="I10" s="1">
        <v>119.466072</v>
      </c>
      <c r="J10" s="1">
        <v>120.922951</v>
      </c>
      <c r="K10" s="1">
        <v>124.146477</v>
      </c>
      <c r="L10" s="1">
        <v>131.27212499999999</v>
      </c>
      <c r="M10" s="1">
        <v>137.92993200000001</v>
      </c>
      <c r="N10" s="1">
        <v>144.134109</v>
      </c>
      <c r="O10" s="1">
        <v>149.907928</v>
      </c>
      <c r="P10" s="1">
        <v>155.31059300000001</v>
      </c>
      <c r="Q10" s="1">
        <v>160.61094700000001</v>
      </c>
      <c r="R10" s="1">
        <v>165.58538799999999</v>
      </c>
      <c r="S10" s="1">
        <v>170.389725</v>
      </c>
      <c r="T10" s="1">
        <v>174.96935999999999</v>
      </c>
      <c r="U10" s="1">
        <v>179.22444200000001</v>
      </c>
      <c r="V10" s="1">
        <v>183.23753400000001</v>
      </c>
      <c r="W10" s="1">
        <v>186.85342399999999</v>
      </c>
      <c r="X10" s="1">
        <v>190.22139000000001</v>
      </c>
      <c r="Y10" s="1">
        <v>193.41511499999999</v>
      </c>
      <c r="Z10" s="1">
        <v>196.29843099999999</v>
      </c>
      <c r="AA10" s="1">
        <v>198.977859</v>
      </c>
      <c r="AB10" s="1">
        <v>201.603317</v>
      </c>
      <c r="AC10" s="1">
        <v>204.14404300000001</v>
      </c>
      <c r="AD10" s="1">
        <v>206.38557399999999</v>
      </c>
      <c r="AE10" s="2" cm="1">
        <f t="array" ref="AE10:AE14">(AD10:AD14-D10:D14)/D10:D14</f>
        <v>0.79712216048130424</v>
      </c>
    </row>
    <row r="11" spans="1:31" x14ac:dyDescent="0.25">
      <c r="A11" s="1" t="s">
        <v>27</v>
      </c>
      <c r="B11" s="1" t="s">
        <v>12</v>
      </c>
      <c r="C11" s="1" t="s">
        <v>3</v>
      </c>
      <c r="D11" s="1">
        <v>98.017837999999998</v>
      </c>
      <c r="E11" s="1">
        <v>98.5364</v>
      </c>
      <c r="F11" s="1">
        <v>99.286422999999999</v>
      </c>
      <c r="G11" s="1">
        <v>99.991951</v>
      </c>
      <c r="H11" s="1">
        <v>100.87912</v>
      </c>
      <c r="I11" s="1">
        <v>101.96425600000001</v>
      </c>
      <c r="J11" s="1">
        <v>103.20771000000001</v>
      </c>
      <c r="K11" s="1">
        <v>105.958984</v>
      </c>
      <c r="L11" s="1">
        <v>112.04072600000001</v>
      </c>
      <c r="M11" s="1">
        <v>117.72315999999999</v>
      </c>
      <c r="N11" s="1">
        <v>123.01842499999999</v>
      </c>
      <c r="O11" s="1">
        <v>127.946381</v>
      </c>
      <c r="P11" s="1">
        <v>132.55755600000001</v>
      </c>
      <c r="Q11" s="1">
        <v>137.08139</v>
      </c>
      <c r="R11" s="1">
        <v>141.32708700000001</v>
      </c>
      <c r="S11" s="1">
        <v>145.42759699999999</v>
      </c>
      <c r="T11" s="1">
        <v>149.33630400000001</v>
      </c>
      <c r="U11" s="1">
        <v>152.96800200000001</v>
      </c>
      <c r="V11" s="1">
        <v>156.39318800000001</v>
      </c>
      <c r="W11" s="1">
        <v>159.479355</v>
      </c>
      <c r="X11" s="1">
        <v>162.35391200000001</v>
      </c>
      <c r="Y11" s="1">
        <v>165.07974200000001</v>
      </c>
      <c r="Z11" s="1">
        <v>167.540649</v>
      </c>
      <c r="AA11" s="1">
        <v>169.82754499999999</v>
      </c>
      <c r="AB11" s="1">
        <v>172.068375</v>
      </c>
      <c r="AC11" s="1">
        <v>174.23687699999999</v>
      </c>
      <c r="AD11" s="1">
        <v>176.15003999999999</v>
      </c>
      <c r="AE11" s="2">
        <v>0.79712227482511899</v>
      </c>
    </row>
    <row r="12" spans="1:31" x14ac:dyDescent="0.25">
      <c r="A12" s="1" t="s">
        <v>27</v>
      </c>
      <c r="B12" s="1" t="s">
        <v>13</v>
      </c>
      <c r="C12" s="1" t="s">
        <v>3</v>
      </c>
      <c r="D12" s="1">
        <v>16.824422999999999</v>
      </c>
      <c r="E12" s="1">
        <v>16.913433000000001</v>
      </c>
      <c r="F12" s="1">
        <v>17.042169999999999</v>
      </c>
      <c r="G12" s="1">
        <v>17.163271000000002</v>
      </c>
      <c r="H12" s="1">
        <v>17.315552</v>
      </c>
      <c r="I12" s="1">
        <v>17.501812000000001</v>
      </c>
      <c r="J12" s="1">
        <v>17.715246</v>
      </c>
      <c r="K12" s="1">
        <v>18.187491999999999</v>
      </c>
      <c r="L12" s="1">
        <v>19.231403</v>
      </c>
      <c r="M12" s="1">
        <v>20.206772000000001</v>
      </c>
      <c r="N12" s="1">
        <v>21.115686</v>
      </c>
      <c r="O12" s="1">
        <v>21.961552000000001</v>
      </c>
      <c r="P12" s="1">
        <v>22.753043999999999</v>
      </c>
      <c r="Q12" s="1">
        <v>23.529547000000001</v>
      </c>
      <c r="R12" s="1">
        <v>24.258305</v>
      </c>
      <c r="S12" s="1">
        <v>24.962140999999999</v>
      </c>
      <c r="T12" s="1">
        <v>25.633058999999999</v>
      </c>
      <c r="U12" s="1">
        <v>26.256430000000002</v>
      </c>
      <c r="V12" s="1">
        <v>26.844349000000001</v>
      </c>
      <c r="W12" s="1">
        <v>27.374078999999998</v>
      </c>
      <c r="X12" s="1">
        <v>27.867487000000001</v>
      </c>
      <c r="Y12" s="1">
        <v>28.335367000000002</v>
      </c>
      <c r="Z12" s="1">
        <v>28.757771999999999</v>
      </c>
      <c r="AA12" s="1">
        <v>29.150309</v>
      </c>
      <c r="AB12" s="1">
        <v>29.534941</v>
      </c>
      <c r="AC12" s="1">
        <v>29.907156000000001</v>
      </c>
      <c r="AD12" s="1">
        <v>30.235541999999999</v>
      </c>
      <c r="AE12" s="2">
        <v>0.79712207663822998</v>
      </c>
    </row>
    <row r="13" spans="1:31" x14ac:dyDescent="0.25">
      <c r="A13" s="1" t="s">
        <v>27</v>
      </c>
      <c r="B13" s="1" t="s">
        <v>14</v>
      </c>
      <c r="C13" s="1" t="s">
        <v>3</v>
      </c>
      <c r="D13" s="1">
        <v>0.278945</v>
      </c>
      <c r="E13" s="1">
        <v>0.28042099999999998</v>
      </c>
      <c r="F13" s="1">
        <v>0.28255599999999997</v>
      </c>
      <c r="G13" s="1">
        <v>0.28456300000000001</v>
      </c>
      <c r="H13" s="1">
        <v>0.28708800000000001</v>
      </c>
      <c r="I13" s="1">
        <v>0.29017599999999999</v>
      </c>
      <c r="J13" s="1">
        <v>0.293715</v>
      </c>
      <c r="K13" s="1">
        <v>0.30154500000000001</v>
      </c>
      <c r="L13" s="1">
        <v>0.318853</v>
      </c>
      <c r="M13" s="1">
        <v>0.33502399999999999</v>
      </c>
      <c r="N13" s="1">
        <v>0.35009400000000002</v>
      </c>
      <c r="O13" s="1">
        <v>0.364118</v>
      </c>
      <c r="P13" s="1">
        <v>0.37724099999999999</v>
      </c>
      <c r="Q13" s="1">
        <v>0.39011499999999999</v>
      </c>
      <c r="R13" s="1">
        <v>0.402198</v>
      </c>
      <c r="S13" s="1">
        <v>0.41386699999999998</v>
      </c>
      <c r="T13" s="1">
        <v>0.42499100000000001</v>
      </c>
      <c r="U13" s="1">
        <v>0.43532599999999999</v>
      </c>
      <c r="V13" s="1">
        <v>0.44507400000000003</v>
      </c>
      <c r="W13" s="1">
        <v>0.45385700000000001</v>
      </c>
      <c r="X13" s="1">
        <v>0.46203699999999998</v>
      </c>
      <c r="Y13" s="1">
        <v>0.46979500000000002</v>
      </c>
      <c r="Z13" s="1">
        <v>0.476798</v>
      </c>
      <c r="AA13" s="1">
        <v>0.48330600000000001</v>
      </c>
      <c r="AB13" s="1">
        <v>0.48968299999999998</v>
      </c>
      <c r="AC13" s="1">
        <v>0.49585400000000002</v>
      </c>
      <c r="AD13" s="1">
        <v>0.50129900000000005</v>
      </c>
      <c r="AE13" s="2">
        <v>0.79712488124899195</v>
      </c>
    </row>
    <row r="14" spans="1:31" x14ac:dyDescent="0.25">
      <c r="A14" s="1" t="s">
        <v>27</v>
      </c>
      <c r="B14" s="1" t="s">
        <v>15</v>
      </c>
      <c r="C14" s="1" t="s">
        <v>3</v>
      </c>
      <c r="D14" s="1">
        <v>115.121208</v>
      </c>
      <c r="E14" s="1">
        <v>115.730255</v>
      </c>
      <c r="F14" s="1">
        <v>116.61114499999999</v>
      </c>
      <c r="G14" s="1">
        <v>117.439781</v>
      </c>
      <c r="H14" s="1">
        <v>118.481758</v>
      </c>
      <c r="I14" s="1">
        <v>119.756248</v>
      </c>
      <c r="J14" s="1">
        <v>121.216667</v>
      </c>
      <c r="K14" s="1">
        <v>124.448021</v>
      </c>
      <c r="L14" s="1">
        <v>131.59097299999999</v>
      </c>
      <c r="M14" s="1">
        <v>138.26495399999999</v>
      </c>
      <c r="N14" s="1">
        <v>144.484207</v>
      </c>
      <c r="O14" s="1">
        <v>150.27204900000001</v>
      </c>
      <c r="P14" s="1">
        <v>155.687836</v>
      </c>
      <c r="Q14" s="1">
        <v>161.001068</v>
      </c>
      <c r="R14" s="1">
        <v>165.98757900000001</v>
      </c>
      <c r="S14" s="1">
        <v>170.80358899999999</v>
      </c>
      <c r="T14" s="1">
        <v>175.39434800000001</v>
      </c>
      <c r="U14" s="1">
        <v>179.659775</v>
      </c>
      <c r="V14" s="1">
        <v>183.682602</v>
      </c>
      <c r="W14" s="1">
        <v>187.30728099999999</v>
      </c>
      <c r="X14" s="1">
        <v>190.683426</v>
      </c>
      <c r="Y14" s="1">
        <v>193.88490300000001</v>
      </c>
      <c r="Z14" s="1">
        <v>196.77522300000001</v>
      </c>
      <c r="AA14" s="1">
        <v>199.46116599999999</v>
      </c>
      <c r="AB14" s="1">
        <v>202.09300200000001</v>
      </c>
      <c r="AC14" s="1">
        <v>204.639893</v>
      </c>
      <c r="AD14" s="1">
        <v>206.88687100000001</v>
      </c>
      <c r="AE14" s="2">
        <v>0.79712213409018451</v>
      </c>
    </row>
    <row r="15" spans="1:31" x14ac:dyDescent="0.25">
      <c r="A15" s="1" t="s">
        <v>28</v>
      </c>
      <c r="B15" s="1" t="s">
        <v>14</v>
      </c>
      <c r="C15" s="1" t="s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2.049E-3</v>
      </c>
      <c r="S15" s="1">
        <v>6.1479999999999998E-3</v>
      </c>
      <c r="T15" s="1">
        <v>1.332E-2</v>
      </c>
      <c r="U15" s="1">
        <v>1.7417999999999999E-2</v>
      </c>
      <c r="V15" s="1">
        <v>9.221E-3</v>
      </c>
      <c r="W15" s="1">
        <v>9.221E-3</v>
      </c>
      <c r="X15" s="1">
        <v>7.1720000000000004E-3</v>
      </c>
      <c r="Y15" s="1">
        <v>1.9467999999999999E-2</v>
      </c>
      <c r="Z15" s="1">
        <v>7.1720000000000004E-3</v>
      </c>
      <c r="AA15" s="1">
        <v>7.1720000000000004E-3</v>
      </c>
      <c r="AB15" s="1">
        <v>7.1720000000000004E-3</v>
      </c>
      <c r="AC15" s="1">
        <v>7.1720000000000004E-3</v>
      </c>
      <c r="AD15" s="1">
        <v>6.1479999999999998E-3</v>
      </c>
      <c r="AE15" s="2" t="e">
        <f>(AD15-D15)/D15</f>
        <v>#DIV/0!</v>
      </c>
    </row>
    <row r="16" spans="1:31" x14ac:dyDescent="0.25">
      <c r="A16" s="1" t="s">
        <v>16</v>
      </c>
      <c r="B16" s="1" t="s">
        <v>17</v>
      </c>
      <c r="C16" s="1" t="s">
        <v>3</v>
      </c>
      <c r="D16" s="1">
        <v>105.57910200000001</v>
      </c>
      <c r="E16" s="1">
        <v>105.810669</v>
      </c>
      <c r="F16" s="1">
        <v>106.133324</v>
      </c>
      <c r="G16" s="1">
        <v>106.240936</v>
      </c>
      <c r="H16" s="1">
        <v>106.320564</v>
      </c>
      <c r="I16" s="1">
        <v>106.387726</v>
      </c>
      <c r="J16" s="1">
        <v>106.478714</v>
      </c>
      <c r="K16" s="1">
        <v>106.59963999999999</v>
      </c>
      <c r="L16" s="1">
        <v>106.69094800000001</v>
      </c>
      <c r="M16" s="1">
        <v>106.78494999999999</v>
      </c>
      <c r="N16" s="1">
        <v>106.957733</v>
      </c>
      <c r="O16" s="1">
        <v>107.117645</v>
      </c>
      <c r="P16" s="1">
        <v>107.175346</v>
      </c>
      <c r="Q16" s="1">
        <v>107.369209</v>
      </c>
      <c r="R16" s="1">
        <v>107.480423</v>
      </c>
      <c r="S16" s="1">
        <v>107.605591</v>
      </c>
      <c r="T16" s="1">
        <v>107.725624</v>
      </c>
      <c r="U16" s="1">
        <v>107.84406300000001</v>
      </c>
      <c r="V16" s="1">
        <v>107.957199</v>
      </c>
      <c r="W16" s="1">
        <v>108.065567</v>
      </c>
      <c r="X16" s="1">
        <v>108.183403</v>
      </c>
      <c r="Y16" s="1">
        <v>108.281128</v>
      </c>
      <c r="Z16" s="1">
        <v>108.37299299999999</v>
      </c>
      <c r="AA16" s="1">
        <v>108.46785</v>
      </c>
      <c r="AB16" s="1">
        <v>108.593361</v>
      </c>
      <c r="AC16" s="1">
        <v>108.708984</v>
      </c>
      <c r="AD16" s="1">
        <v>108.819992</v>
      </c>
      <c r="AE16" s="2" cm="1">
        <f t="array" ref="AE16:AE20">(AD16:AD20-D16:D20)/D16:D20</f>
        <v>3.069632094427165E-2</v>
      </c>
    </row>
    <row r="17" spans="1:31" x14ac:dyDescent="0.25">
      <c r="A17" s="1" t="s">
        <v>16</v>
      </c>
      <c r="B17" s="1" t="s">
        <v>18</v>
      </c>
      <c r="C17" s="1" t="s">
        <v>3</v>
      </c>
      <c r="D17" s="1">
        <v>99.955924999999993</v>
      </c>
      <c r="E17" s="1">
        <v>99.955924999999993</v>
      </c>
      <c r="F17" s="1">
        <v>99.955924999999993</v>
      </c>
      <c r="G17" s="1">
        <v>99.955924999999993</v>
      </c>
      <c r="H17" s="1">
        <v>99.955924999999993</v>
      </c>
      <c r="I17" s="1">
        <v>99.955924999999993</v>
      </c>
      <c r="J17" s="1">
        <v>99.955924999999993</v>
      </c>
      <c r="K17" s="1">
        <v>99.955924999999993</v>
      </c>
      <c r="L17" s="1">
        <v>99.955924999999993</v>
      </c>
      <c r="M17" s="1">
        <v>99.955924999999993</v>
      </c>
      <c r="N17" s="1">
        <v>99.955924999999993</v>
      </c>
      <c r="O17" s="1">
        <v>99.955924999999993</v>
      </c>
      <c r="P17" s="1">
        <v>99.955924999999993</v>
      </c>
      <c r="Q17" s="1">
        <v>99.955924999999993</v>
      </c>
      <c r="R17" s="1">
        <v>99.955924999999993</v>
      </c>
      <c r="S17" s="1">
        <v>99.955924999999993</v>
      </c>
      <c r="T17" s="1">
        <v>99.955924999999993</v>
      </c>
      <c r="U17" s="1">
        <v>99.955924999999993</v>
      </c>
      <c r="V17" s="1">
        <v>99.955924999999993</v>
      </c>
      <c r="W17" s="1">
        <v>99.955924999999993</v>
      </c>
      <c r="X17" s="1">
        <v>99.955924999999993</v>
      </c>
      <c r="Y17" s="1">
        <v>99.955924999999993</v>
      </c>
      <c r="Z17" s="1">
        <v>99.955924999999993</v>
      </c>
      <c r="AA17" s="1">
        <v>99.955924999999993</v>
      </c>
      <c r="AB17" s="1">
        <v>99.955924999999993</v>
      </c>
      <c r="AC17" s="1">
        <v>99.955924999999993</v>
      </c>
      <c r="AD17" s="1">
        <v>99.955924999999993</v>
      </c>
      <c r="AE17" s="2">
        <v>0</v>
      </c>
    </row>
    <row r="18" spans="1:31" x14ac:dyDescent="0.25">
      <c r="A18" s="1" t="s">
        <v>16</v>
      </c>
      <c r="B18" s="1" t="s">
        <v>19</v>
      </c>
      <c r="C18" s="1" t="s">
        <v>3</v>
      </c>
      <c r="D18" s="1">
        <v>5.6231770000000001</v>
      </c>
      <c r="E18" s="1">
        <v>5.8547440000000002</v>
      </c>
      <c r="F18" s="1">
        <v>6.1773990000000003</v>
      </c>
      <c r="G18" s="1">
        <v>6.2850109999999999</v>
      </c>
      <c r="H18" s="1">
        <v>6.3646390000000004</v>
      </c>
      <c r="I18" s="1">
        <v>6.4318010000000001</v>
      </c>
      <c r="J18" s="1">
        <v>6.5227890000000004</v>
      </c>
      <c r="K18" s="1">
        <v>6.6437150000000003</v>
      </c>
      <c r="L18" s="1">
        <v>6.735023</v>
      </c>
      <c r="M18" s="1">
        <v>6.8290249999999997</v>
      </c>
      <c r="N18" s="1">
        <v>7.0018079999999996</v>
      </c>
      <c r="O18" s="1">
        <v>7.1617199999999999</v>
      </c>
      <c r="P18" s="1">
        <v>7.2194209999999996</v>
      </c>
      <c r="Q18" s="1">
        <v>7.413284</v>
      </c>
      <c r="R18" s="1">
        <v>7.5244980000000004</v>
      </c>
      <c r="S18" s="1">
        <v>7.6496659999999999</v>
      </c>
      <c r="T18" s="1">
        <v>7.7696990000000001</v>
      </c>
      <c r="U18" s="1">
        <v>7.8881379999999996</v>
      </c>
      <c r="V18" s="1">
        <v>8.0012740000000004</v>
      </c>
      <c r="W18" s="1">
        <v>8.1096419999999991</v>
      </c>
      <c r="X18" s="1">
        <v>8.2274779999999996</v>
      </c>
      <c r="Y18" s="1">
        <v>8.3252030000000001</v>
      </c>
      <c r="Z18" s="1">
        <v>8.4170680000000004</v>
      </c>
      <c r="AA18" s="1">
        <v>8.5119249999999997</v>
      </c>
      <c r="AB18" s="1">
        <v>8.6374359999999992</v>
      </c>
      <c r="AC18" s="1">
        <v>8.7530590000000004</v>
      </c>
      <c r="AD18" s="1">
        <v>8.8640670000000004</v>
      </c>
      <c r="AE18" s="2">
        <v>0.57634500923588217</v>
      </c>
    </row>
    <row r="19" spans="1:31" x14ac:dyDescent="0.25">
      <c r="A19" s="1" t="s">
        <v>16</v>
      </c>
      <c r="B19" s="1" t="s">
        <v>20</v>
      </c>
      <c r="C19" s="1" t="s">
        <v>3</v>
      </c>
      <c r="D19" s="1">
        <v>0.45983099999999999</v>
      </c>
      <c r="E19" s="1">
        <v>0.67049099999999995</v>
      </c>
      <c r="F19" s="1">
        <v>0.988568</v>
      </c>
      <c r="G19" s="1">
        <v>1.4642230000000001</v>
      </c>
      <c r="H19" s="1">
        <v>2.176628</v>
      </c>
      <c r="I19" s="1">
        <v>3.0196809999999998</v>
      </c>
      <c r="J19" s="1">
        <v>3.995009</v>
      </c>
      <c r="K19" s="1">
        <v>6.2115419999999997</v>
      </c>
      <c r="L19" s="1">
        <v>11.331528</v>
      </c>
      <c r="M19" s="1">
        <v>16.051558</v>
      </c>
      <c r="N19" s="1">
        <v>20.417061</v>
      </c>
      <c r="O19" s="1">
        <v>24.452134999999998</v>
      </c>
      <c r="P19" s="1">
        <v>28.321915000000001</v>
      </c>
      <c r="Q19" s="1">
        <v>31.993727</v>
      </c>
      <c r="R19" s="1">
        <v>35.510554999999997</v>
      </c>
      <c r="S19" s="1">
        <v>38.886420999999999</v>
      </c>
      <c r="T19" s="1">
        <v>42.091419000000002</v>
      </c>
      <c r="U19" s="1">
        <v>45.059176999999998</v>
      </c>
      <c r="V19" s="1">
        <v>47.843113000000002</v>
      </c>
      <c r="W19" s="1">
        <v>50.335540999999999</v>
      </c>
      <c r="X19" s="1">
        <v>52.643520000000002</v>
      </c>
      <c r="Y19" s="1">
        <v>54.857467999999997</v>
      </c>
      <c r="Z19" s="1">
        <v>56.862628999999998</v>
      </c>
      <c r="AA19" s="1">
        <v>58.692196000000003</v>
      </c>
      <c r="AB19" s="1">
        <v>60.468170000000001</v>
      </c>
      <c r="AC19" s="1">
        <v>62.216330999999997</v>
      </c>
      <c r="AD19" s="1">
        <v>63.769160999999997</v>
      </c>
      <c r="AE19" s="2">
        <v>137.67956053419624</v>
      </c>
    </row>
    <row r="20" spans="1:31" x14ac:dyDescent="0.25">
      <c r="A20" s="1" t="s">
        <v>16</v>
      </c>
      <c r="B20" s="1" t="s">
        <v>21</v>
      </c>
      <c r="C20" s="1" t="s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 t="e">
        <v>#DIV/0!</v>
      </c>
    </row>
    <row r="21" spans="1:31" x14ac:dyDescent="0.25">
      <c r="A21" s="1" t="s">
        <v>22</v>
      </c>
      <c r="B21" s="1" t="s">
        <v>24</v>
      </c>
      <c r="C21" s="1" t="s">
        <v>23</v>
      </c>
      <c r="D21" s="1">
        <v>8.8566090000000006</v>
      </c>
      <c r="E21" s="1">
        <v>9.6374169999999992</v>
      </c>
      <c r="F21" s="1">
        <v>9.3880820000000007</v>
      </c>
      <c r="G21" s="1">
        <v>9.2046770000000002</v>
      </c>
      <c r="H21" s="1">
        <v>9.3508519999999997</v>
      </c>
      <c r="I21" s="1">
        <v>9.6238399999999995</v>
      </c>
      <c r="J21" s="1">
        <v>9.9681219999999993</v>
      </c>
      <c r="K21" s="1">
        <v>10.208779</v>
      </c>
      <c r="L21" s="1">
        <v>10.828398</v>
      </c>
      <c r="M21" s="1">
        <v>11.170216999999999</v>
      </c>
      <c r="N21" s="1">
        <v>11.418634000000001</v>
      </c>
      <c r="O21" s="1">
        <v>11.603299</v>
      </c>
      <c r="P21" s="1">
        <v>11.414781</v>
      </c>
      <c r="Q21" s="1">
        <v>11.252578</v>
      </c>
      <c r="R21" s="1">
        <v>11.229512</v>
      </c>
      <c r="S21" s="1">
        <v>11.147595000000001</v>
      </c>
      <c r="T21" s="1">
        <v>11.224637</v>
      </c>
      <c r="U21" s="1">
        <v>11.342916000000001</v>
      </c>
      <c r="V21" s="1">
        <v>11.444100000000001</v>
      </c>
      <c r="W21" s="1">
        <v>11.537497</v>
      </c>
      <c r="X21" s="1">
        <v>11.599727</v>
      </c>
      <c r="Y21" s="1">
        <v>11.719269000000001</v>
      </c>
      <c r="Z21" s="1">
        <v>11.755235000000001</v>
      </c>
      <c r="AA21" s="1">
        <v>11.760287</v>
      </c>
      <c r="AB21" s="1">
        <v>11.698665</v>
      </c>
      <c r="AC21" s="1">
        <v>11.649667000000001</v>
      </c>
      <c r="AD21" s="1">
        <v>11.705143</v>
      </c>
      <c r="AE21" s="2">
        <f>(AD21-D21)/D21</f>
        <v>0.32162806329149213</v>
      </c>
    </row>
    <row r="22" spans="1:31" x14ac:dyDescent="0.25">
      <c r="A22" s="1" t="s">
        <v>25</v>
      </c>
      <c r="B22" s="1" t="s">
        <v>26</v>
      </c>
      <c r="C22" s="1" t="s">
        <v>23</v>
      </c>
      <c r="D22" s="1">
        <v>11.320131</v>
      </c>
      <c r="E22" s="1">
        <v>12.100939</v>
      </c>
      <c r="F22" s="1">
        <v>11.851603000000001</v>
      </c>
      <c r="G22" s="1">
        <v>11.668199</v>
      </c>
      <c r="H22" s="1">
        <v>11.814374000000001</v>
      </c>
      <c r="I22" s="1">
        <v>12.087362000000001</v>
      </c>
      <c r="J22" s="1">
        <v>12.431642999999999</v>
      </c>
      <c r="K22" s="1">
        <v>12.672300999999999</v>
      </c>
      <c r="L22" s="1">
        <v>13.291919999999999</v>
      </c>
      <c r="M22" s="1">
        <v>13.633739</v>
      </c>
      <c r="N22" s="1">
        <v>13.882156999999999</v>
      </c>
      <c r="O22" s="1">
        <v>14.066820999999999</v>
      </c>
      <c r="P22" s="1">
        <v>13.878303000000001</v>
      </c>
      <c r="Q22" s="1">
        <v>13.716100000000001</v>
      </c>
      <c r="R22" s="1">
        <v>13.693034000000001</v>
      </c>
      <c r="S22" s="1">
        <v>13.611117</v>
      </c>
      <c r="T22" s="1">
        <v>13.688159000000001</v>
      </c>
      <c r="U22" s="1">
        <v>13.806438</v>
      </c>
      <c r="V22" s="1">
        <v>13.907622999999999</v>
      </c>
      <c r="W22" s="1">
        <v>14.001018999999999</v>
      </c>
      <c r="X22" s="1">
        <v>14.063249000000001</v>
      </c>
      <c r="Y22" s="1">
        <v>14.182790000000001</v>
      </c>
      <c r="Z22" s="1">
        <v>14.218757</v>
      </c>
      <c r="AA22" s="1">
        <v>14.223808999999999</v>
      </c>
      <c r="AB22" s="1">
        <v>14.162186</v>
      </c>
      <c r="AC22" s="1">
        <v>14.113189</v>
      </c>
      <c r="AD22" s="1">
        <v>14.168665000000001</v>
      </c>
      <c r="AE22" s="2" cm="1">
        <f t="array" ref="AE22:AE24">(AD22:AD24-D22:D24)/D22:D24</f>
        <v>0.25163436712879034</v>
      </c>
    </row>
    <row r="23" spans="1:31" x14ac:dyDescent="0.25">
      <c r="A23" s="1" t="s">
        <v>25</v>
      </c>
      <c r="B23" s="1" t="s">
        <v>20</v>
      </c>
      <c r="C23" s="1" t="s">
        <v>23</v>
      </c>
      <c r="D23" s="1">
        <v>61.405974999999998</v>
      </c>
      <c r="E23" s="1">
        <v>62.188353999999997</v>
      </c>
      <c r="F23" s="1">
        <v>61.943199</v>
      </c>
      <c r="G23" s="1">
        <v>61.759799999999998</v>
      </c>
      <c r="H23" s="1">
        <v>61.905979000000002</v>
      </c>
      <c r="I23" s="1">
        <v>62.178963000000003</v>
      </c>
      <c r="J23" s="1">
        <v>62.523251000000002</v>
      </c>
      <c r="K23" s="1">
        <v>62.763924000000003</v>
      </c>
      <c r="L23" s="1">
        <v>63.383521999999999</v>
      </c>
      <c r="M23" s="1">
        <v>63.725338000000001</v>
      </c>
      <c r="N23" s="1">
        <v>63.973765999999998</v>
      </c>
      <c r="O23" s="1">
        <v>64.158432000000005</v>
      </c>
      <c r="P23" s="1">
        <v>63.969909999999999</v>
      </c>
      <c r="Q23" s="1">
        <v>63.807704999999999</v>
      </c>
      <c r="R23" s="1">
        <v>63.784641000000001</v>
      </c>
      <c r="S23" s="1">
        <v>63.702720999999997</v>
      </c>
      <c r="T23" s="1">
        <v>63.779761999999998</v>
      </c>
      <c r="U23" s="1">
        <v>63.898040999999999</v>
      </c>
      <c r="V23" s="1">
        <v>63.999217999999999</v>
      </c>
      <c r="W23" s="1">
        <v>64.092613</v>
      </c>
      <c r="X23" s="1">
        <v>64.154846000000006</v>
      </c>
      <c r="Y23" s="1">
        <v>64.274390999999994</v>
      </c>
      <c r="Z23" s="1">
        <v>64.310340999999994</v>
      </c>
      <c r="AA23" s="1">
        <v>64.315406999999993</v>
      </c>
      <c r="AB23" s="1">
        <v>64.253783999999996</v>
      </c>
      <c r="AC23" s="1">
        <v>64.204787999999994</v>
      </c>
      <c r="AD23" s="1">
        <v>64.260268999999994</v>
      </c>
      <c r="AE23" s="2">
        <v>4.6482349641056853E-2</v>
      </c>
    </row>
    <row r="24" spans="1:31" x14ac:dyDescent="0.25">
      <c r="A24" s="1" t="s">
        <v>25</v>
      </c>
      <c r="B24" s="1" t="s">
        <v>21</v>
      </c>
      <c r="C24" s="1" t="s">
        <v>23</v>
      </c>
      <c r="D24" s="1">
        <v>11.320131</v>
      </c>
      <c r="E24" s="1">
        <v>12.100939</v>
      </c>
      <c r="F24" s="1">
        <v>11.851603000000001</v>
      </c>
      <c r="G24" s="1">
        <v>11.668199</v>
      </c>
      <c r="H24" s="1">
        <v>11.814374000000001</v>
      </c>
      <c r="I24" s="1">
        <v>12.087362000000001</v>
      </c>
      <c r="J24" s="1">
        <v>12.431642999999999</v>
      </c>
      <c r="K24" s="1">
        <v>12.672300999999999</v>
      </c>
      <c r="L24" s="1">
        <v>13.291919999999999</v>
      </c>
      <c r="M24" s="1">
        <v>13.633739</v>
      </c>
      <c r="N24" s="1">
        <v>13.882156999999999</v>
      </c>
      <c r="O24" s="1">
        <v>14.066820999999999</v>
      </c>
      <c r="P24" s="1">
        <v>13.878303000000001</v>
      </c>
      <c r="Q24" s="1">
        <v>13.716100000000001</v>
      </c>
      <c r="R24" s="1">
        <v>13.693034000000001</v>
      </c>
      <c r="S24" s="1">
        <v>13.611117</v>
      </c>
      <c r="T24" s="1">
        <v>13.688159000000001</v>
      </c>
      <c r="U24" s="1">
        <v>13.806438</v>
      </c>
      <c r="V24" s="1">
        <v>13.907622999999999</v>
      </c>
      <c r="W24" s="1">
        <v>14.001018999999999</v>
      </c>
      <c r="X24" s="1">
        <v>14.063249000000001</v>
      </c>
      <c r="Y24" s="1">
        <v>14.182790000000001</v>
      </c>
      <c r="Z24" s="1">
        <v>14.218757</v>
      </c>
      <c r="AA24" s="1">
        <v>14.223808999999999</v>
      </c>
      <c r="AB24" s="1">
        <v>14.162186</v>
      </c>
      <c r="AC24" s="1">
        <v>14.113189</v>
      </c>
      <c r="AD24" s="1">
        <v>14.168665000000001</v>
      </c>
      <c r="AE24" s="2">
        <v>0.25163436712879034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4"/>
  <sheetViews>
    <sheetView tabSelected="1" workbookViewId="0">
      <selection sqref="A1:XFD1"/>
    </sheetView>
  </sheetViews>
  <sheetFormatPr defaultColWidth="8.7109375" defaultRowHeight="15" x14ac:dyDescent="0.25"/>
  <cols>
    <col min="1" max="1" width="51.5703125" style="1" bestFit="1" customWidth="1"/>
    <col min="2" max="2" width="65.85546875" style="1" bestFit="1" customWidth="1"/>
    <col min="3" max="30" width="8.7109375" style="1"/>
    <col min="31" max="31" width="17.5703125" style="1" bestFit="1" customWidth="1"/>
    <col min="32" max="16384" width="8.7109375" style="1"/>
  </cols>
  <sheetData>
    <row r="1" spans="1:31" s="4" customFormat="1" ht="15.75" thickBot="1" x14ac:dyDescent="0.3">
      <c r="A1" s="4" t="s">
        <v>29</v>
      </c>
      <c r="B1" s="4" t="s">
        <v>30</v>
      </c>
      <c r="C1" s="4" t="s">
        <v>0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  <c r="O1" s="4">
        <v>2035</v>
      </c>
      <c r="P1" s="4">
        <v>2036</v>
      </c>
      <c r="Q1" s="4">
        <v>2037</v>
      </c>
      <c r="R1" s="4">
        <v>2038</v>
      </c>
      <c r="S1" s="4">
        <v>2039</v>
      </c>
      <c r="T1" s="4">
        <v>2040</v>
      </c>
      <c r="U1" s="4">
        <v>2041</v>
      </c>
      <c r="V1" s="4">
        <v>2042</v>
      </c>
      <c r="W1" s="4">
        <v>2043</v>
      </c>
      <c r="X1" s="4">
        <v>2044</v>
      </c>
      <c r="Y1" s="4">
        <v>2045</v>
      </c>
      <c r="Z1" s="4">
        <v>2046</v>
      </c>
      <c r="AA1" s="4">
        <v>2047</v>
      </c>
      <c r="AB1" s="4">
        <v>2048</v>
      </c>
      <c r="AC1" s="4">
        <v>2049</v>
      </c>
      <c r="AD1" s="4">
        <v>2050</v>
      </c>
      <c r="AE1" s="4" t="s">
        <v>1</v>
      </c>
    </row>
    <row r="2" spans="1:31" ht="15.75" thickTop="1" x14ac:dyDescent="0.25">
      <c r="A2" s="1" t="s">
        <v>31</v>
      </c>
      <c r="B2" s="1" t="s">
        <v>2</v>
      </c>
      <c r="C2" s="1" t="s">
        <v>3</v>
      </c>
      <c r="D2" s="1">
        <v>138.58325199999999</v>
      </c>
      <c r="E2" s="1">
        <v>142.21499600000001</v>
      </c>
      <c r="F2" s="1">
        <v>146.48026999999999</v>
      </c>
      <c r="G2" s="1">
        <v>148.29672199999999</v>
      </c>
      <c r="H2" s="1">
        <v>148.23101800000001</v>
      </c>
      <c r="I2" s="1">
        <v>150.23945599999999</v>
      </c>
      <c r="J2" s="1">
        <v>153.45074500000001</v>
      </c>
      <c r="K2" s="1">
        <v>158.86949200000001</v>
      </c>
      <c r="L2" s="1">
        <v>167.72108499999999</v>
      </c>
      <c r="M2" s="1">
        <v>176.01080300000001</v>
      </c>
      <c r="N2" s="1">
        <v>181.938919</v>
      </c>
      <c r="O2" s="1">
        <v>177.92469800000001</v>
      </c>
      <c r="P2" s="1">
        <v>177.64428699999999</v>
      </c>
      <c r="Q2" s="1">
        <v>184.650543</v>
      </c>
      <c r="R2" s="1">
        <v>191.44700599999999</v>
      </c>
      <c r="S2" s="1">
        <v>197.84092699999999</v>
      </c>
      <c r="T2" s="1">
        <v>204.09309400000001</v>
      </c>
      <c r="U2" s="1">
        <v>209.839417</v>
      </c>
      <c r="V2" s="1">
        <v>215.149811</v>
      </c>
      <c r="W2" s="1">
        <v>220.13836699999999</v>
      </c>
      <c r="X2" s="1">
        <v>224.66558800000001</v>
      </c>
      <c r="Y2" s="1">
        <v>233.16830400000001</v>
      </c>
      <c r="Z2" s="1">
        <v>244.74391199999999</v>
      </c>
      <c r="AA2" s="1">
        <v>253.04669200000001</v>
      </c>
      <c r="AB2" s="1">
        <v>256.92248499999999</v>
      </c>
      <c r="AC2" s="1">
        <v>261.68667599999998</v>
      </c>
      <c r="AD2" s="1">
        <v>265.081726</v>
      </c>
      <c r="AE2" s="2" cm="1">
        <f t="array" ref="AE2:AE6">(AD2:AD6-D2:D6)/D2:D6</f>
        <v>0.9127977022793492</v>
      </c>
    </row>
    <row r="3" spans="1:31" x14ac:dyDescent="0.25">
      <c r="A3" s="1" t="s">
        <v>31</v>
      </c>
      <c r="B3" s="1" t="s">
        <v>4</v>
      </c>
      <c r="C3" s="1" t="s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2.1275390000000001</v>
      </c>
      <c r="O3" s="1">
        <v>6.9983209999999998</v>
      </c>
      <c r="P3" s="1">
        <v>6.9983209999999998</v>
      </c>
      <c r="Q3" s="1">
        <v>6.9983209999999998</v>
      </c>
      <c r="R3" s="1">
        <v>6.9983209999999998</v>
      </c>
      <c r="S3" s="1">
        <v>6.9983209999999998</v>
      </c>
      <c r="T3" s="1">
        <v>6.9983209999999998</v>
      </c>
      <c r="U3" s="1">
        <v>6.9983209999999998</v>
      </c>
      <c r="V3" s="1">
        <v>6.9983209999999998</v>
      </c>
      <c r="W3" s="1">
        <v>6.9983209999999998</v>
      </c>
      <c r="X3" s="1">
        <v>6.9983209999999998</v>
      </c>
      <c r="Y3" s="1">
        <v>6.9983209999999998</v>
      </c>
      <c r="Z3" s="1">
        <v>4.8707820000000002</v>
      </c>
      <c r="AA3" s="1">
        <v>0</v>
      </c>
      <c r="AB3" s="1">
        <v>0</v>
      </c>
      <c r="AC3" s="1">
        <v>0</v>
      </c>
      <c r="AD3" s="1">
        <v>0</v>
      </c>
      <c r="AE3" s="2" t="e">
        <v>#DIV/0!</v>
      </c>
    </row>
    <row r="4" spans="1:31" x14ac:dyDescent="0.25">
      <c r="A4" s="1" t="s">
        <v>31</v>
      </c>
      <c r="B4" s="1" t="s">
        <v>5</v>
      </c>
      <c r="C4" s="1" t="s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8.2411999999999999E-2</v>
      </c>
      <c r="O4" s="1">
        <v>6.6870560000000001</v>
      </c>
      <c r="P4" s="1">
        <v>14.523485000000001</v>
      </c>
      <c r="Q4" s="1">
        <v>14.513266</v>
      </c>
      <c r="R4" s="1">
        <v>14.513266</v>
      </c>
      <c r="S4" s="1">
        <v>14.503073000000001</v>
      </c>
      <c r="T4" s="1">
        <v>14.503073000000001</v>
      </c>
      <c r="U4" s="1">
        <v>14.492893</v>
      </c>
      <c r="V4" s="1">
        <v>14.462408</v>
      </c>
      <c r="W4" s="1">
        <v>14.462408</v>
      </c>
      <c r="X4" s="1">
        <v>14.40912</v>
      </c>
      <c r="Y4" s="1">
        <v>10.020986000000001</v>
      </c>
      <c r="Z4" s="1">
        <v>3.8645589999999999</v>
      </c>
      <c r="AA4" s="1">
        <v>3.934682</v>
      </c>
      <c r="AB4" s="1">
        <v>3.9859</v>
      </c>
      <c r="AC4" s="1">
        <v>2.7513019999999999</v>
      </c>
      <c r="AD4" s="1">
        <v>2.4462440000000001</v>
      </c>
      <c r="AE4" s="2" t="e">
        <v>#DIV/0!</v>
      </c>
    </row>
    <row r="5" spans="1:31" x14ac:dyDescent="0.25">
      <c r="A5" s="1" t="s">
        <v>31</v>
      </c>
      <c r="B5" s="1" t="s">
        <v>6</v>
      </c>
      <c r="C5" s="1" t="s">
        <v>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2" t="e">
        <v>#DIV/0!</v>
      </c>
    </row>
    <row r="6" spans="1:31" x14ac:dyDescent="0.25">
      <c r="A6" s="1" t="s">
        <v>31</v>
      </c>
      <c r="B6" s="3" t="s">
        <v>7</v>
      </c>
      <c r="C6" s="1" t="s">
        <v>3</v>
      </c>
      <c r="D6" s="1">
        <v>138.58325199999999</v>
      </c>
      <c r="E6" s="1">
        <v>142.21499600000001</v>
      </c>
      <c r="F6" s="1">
        <v>146.48026999999999</v>
      </c>
      <c r="G6" s="1">
        <v>148.29672199999999</v>
      </c>
      <c r="H6" s="1">
        <v>148.23101800000001</v>
      </c>
      <c r="I6" s="1">
        <v>150.23945599999999</v>
      </c>
      <c r="J6" s="1">
        <v>153.45074500000001</v>
      </c>
      <c r="K6" s="1">
        <v>158.86949200000001</v>
      </c>
      <c r="L6" s="1">
        <v>167.72108499999999</v>
      </c>
      <c r="M6" s="1">
        <v>176.01080300000001</v>
      </c>
      <c r="N6" s="1">
        <v>184.14884900000001</v>
      </c>
      <c r="O6" s="1">
        <v>191.610062</v>
      </c>
      <c r="P6" s="1">
        <v>199.16609199999999</v>
      </c>
      <c r="Q6" s="1">
        <v>206.162125</v>
      </c>
      <c r="R6" s="1">
        <v>212.95860300000001</v>
      </c>
      <c r="S6" s="1">
        <v>219.34231600000001</v>
      </c>
      <c r="T6" s="1">
        <v>225.59449799999999</v>
      </c>
      <c r="U6" s="1">
        <v>231.33062699999999</v>
      </c>
      <c r="V6" s="1">
        <v>236.610535</v>
      </c>
      <c r="W6" s="1">
        <v>241.59910600000001</v>
      </c>
      <c r="X6" s="1">
        <v>246.07302899999999</v>
      </c>
      <c r="Y6" s="1">
        <v>250.18760700000001</v>
      </c>
      <c r="Z6" s="1">
        <v>253.47924800000001</v>
      </c>
      <c r="AA6" s="1">
        <v>256.98138399999999</v>
      </c>
      <c r="AB6" s="1">
        <v>260.90838600000001</v>
      </c>
      <c r="AC6" s="1">
        <v>264.43798800000002</v>
      </c>
      <c r="AD6" s="1">
        <v>267.527985</v>
      </c>
      <c r="AE6" s="2">
        <v>0.9304496116168498</v>
      </c>
    </row>
    <row r="7" spans="1:31" x14ac:dyDescent="0.25">
      <c r="A7" s="1" t="s">
        <v>8</v>
      </c>
      <c r="B7" s="1" t="s">
        <v>9</v>
      </c>
      <c r="C7" s="1" t="s">
        <v>3</v>
      </c>
      <c r="D7" s="1">
        <v>190.27915999999999</v>
      </c>
      <c r="E7" s="1">
        <v>195.26565600000001</v>
      </c>
      <c r="F7" s="1">
        <v>201.12200899999999</v>
      </c>
      <c r="G7" s="1">
        <v>203.61604299999999</v>
      </c>
      <c r="H7" s="1">
        <v>203.52581799999999</v>
      </c>
      <c r="I7" s="1">
        <v>206.283478</v>
      </c>
      <c r="J7" s="1">
        <v>210.69267300000001</v>
      </c>
      <c r="K7" s="1">
        <v>218.132767</v>
      </c>
      <c r="L7" s="1">
        <v>230.28627</v>
      </c>
      <c r="M7" s="1">
        <v>241.66833500000001</v>
      </c>
      <c r="N7" s="1">
        <v>252.92712399999999</v>
      </c>
      <c r="O7" s="1">
        <v>254.55690000000001</v>
      </c>
      <c r="P7" s="1">
        <v>254.171997</v>
      </c>
      <c r="Q7" s="1">
        <v>263.79159499999997</v>
      </c>
      <c r="R7" s="1">
        <v>273.12335200000001</v>
      </c>
      <c r="S7" s="1">
        <v>281.90243500000003</v>
      </c>
      <c r="T7" s="1">
        <v>290.48684700000001</v>
      </c>
      <c r="U7" s="1">
        <v>298.37670900000001</v>
      </c>
      <c r="V7" s="1">
        <v>305.66802999999999</v>
      </c>
      <c r="W7" s="1">
        <v>312.517517</v>
      </c>
      <c r="X7" s="1">
        <v>318.733521</v>
      </c>
      <c r="Y7" s="1">
        <v>330.40798999999998</v>
      </c>
      <c r="Z7" s="1">
        <v>343.17825299999998</v>
      </c>
      <c r="AA7" s="1">
        <v>347.43704200000002</v>
      </c>
      <c r="AB7" s="1">
        <v>352.75863600000002</v>
      </c>
      <c r="AC7" s="1">
        <v>359.30270400000001</v>
      </c>
      <c r="AD7" s="1">
        <v>363.96484400000003</v>
      </c>
      <c r="AE7" s="2" cm="1">
        <f t="array" ref="AE7:AE9">(AD7:AD9-D7:D9)/D7:D9</f>
        <v>0.91279404428735156</v>
      </c>
    </row>
    <row r="8" spans="1:31" x14ac:dyDescent="0.25">
      <c r="A8" s="1" t="s">
        <v>8</v>
      </c>
      <c r="B8" s="1" t="s">
        <v>10</v>
      </c>
      <c r="C8" s="1" t="s">
        <v>3</v>
      </c>
      <c r="D8" s="1">
        <v>0.462177</v>
      </c>
      <c r="E8" s="1">
        <v>0.47428900000000002</v>
      </c>
      <c r="F8" s="1">
        <v>0.488514</v>
      </c>
      <c r="G8" s="1">
        <v>0.49457200000000001</v>
      </c>
      <c r="H8" s="1">
        <v>0.49435299999999999</v>
      </c>
      <c r="I8" s="1">
        <v>0.50105100000000002</v>
      </c>
      <c r="J8" s="1">
        <v>0.51176100000000002</v>
      </c>
      <c r="K8" s="1">
        <v>0.52983199999999997</v>
      </c>
      <c r="L8" s="1">
        <v>0.55935299999999999</v>
      </c>
      <c r="M8" s="1">
        <v>0.58699900000000005</v>
      </c>
      <c r="N8" s="1">
        <v>0.80180300000000004</v>
      </c>
      <c r="O8" s="1">
        <v>10.090693999999999</v>
      </c>
      <c r="P8" s="1">
        <v>20.906144999999999</v>
      </c>
      <c r="Q8" s="1">
        <v>20.915405</v>
      </c>
      <c r="R8" s="1">
        <v>20.93807</v>
      </c>
      <c r="S8" s="1">
        <v>20.945326000000001</v>
      </c>
      <c r="T8" s="1">
        <v>20.966176999999998</v>
      </c>
      <c r="U8" s="1">
        <v>20.971291000000001</v>
      </c>
      <c r="V8" s="1">
        <v>20.946922000000001</v>
      </c>
      <c r="W8" s="1">
        <v>20.963560000000001</v>
      </c>
      <c r="X8" s="1">
        <v>20.905106</v>
      </c>
      <c r="Y8" s="1">
        <v>14.876654</v>
      </c>
      <c r="Z8" s="1">
        <v>6.3364479999999999</v>
      </c>
      <c r="AA8" s="1">
        <v>6.2748369999999998</v>
      </c>
      <c r="AB8" s="1">
        <v>6.3584579999999997</v>
      </c>
      <c r="AC8" s="1">
        <v>4.6702680000000001</v>
      </c>
      <c r="AD8" s="1">
        <v>4.260529</v>
      </c>
      <c r="AE8" s="2">
        <v>8.2183925206143957</v>
      </c>
    </row>
    <row r="9" spans="1:31" x14ac:dyDescent="0.25">
      <c r="A9" s="1" t="s">
        <v>8</v>
      </c>
      <c r="B9" s="1" t="s">
        <v>11</v>
      </c>
      <c r="C9" s="1" t="s">
        <v>3</v>
      </c>
      <c r="D9" s="1">
        <v>190.741333</v>
      </c>
      <c r="E9" s="1">
        <v>195.73994400000001</v>
      </c>
      <c r="F9" s="1">
        <v>201.61051900000001</v>
      </c>
      <c r="G9" s="1">
        <v>204.11061100000001</v>
      </c>
      <c r="H9" s="1">
        <v>204.020172</v>
      </c>
      <c r="I9" s="1">
        <v>206.78453099999999</v>
      </c>
      <c r="J9" s="1">
        <v>211.20443700000001</v>
      </c>
      <c r="K9" s="1">
        <v>218.662598</v>
      </c>
      <c r="L9" s="1">
        <v>230.84562700000001</v>
      </c>
      <c r="M9" s="1">
        <v>242.25534099999999</v>
      </c>
      <c r="N9" s="1">
        <v>253.728928</v>
      </c>
      <c r="O9" s="1">
        <v>264.647583</v>
      </c>
      <c r="P9" s="1">
        <v>275.07815599999998</v>
      </c>
      <c r="Q9" s="1">
        <v>284.70700099999999</v>
      </c>
      <c r="R9" s="1">
        <v>294.06143200000002</v>
      </c>
      <c r="S9" s="1">
        <v>302.84774800000002</v>
      </c>
      <c r="T9" s="1">
        <v>311.453033</v>
      </c>
      <c r="U9" s="1">
        <v>319.34799199999998</v>
      </c>
      <c r="V9" s="1">
        <v>326.61496</v>
      </c>
      <c r="W9" s="1">
        <v>333.48107900000002</v>
      </c>
      <c r="X9" s="1">
        <v>339.63861100000003</v>
      </c>
      <c r="Y9" s="1">
        <v>345.28463699999998</v>
      </c>
      <c r="Z9" s="1">
        <v>349.51470899999998</v>
      </c>
      <c r="AA9" s="1">
        <v>353.711884</v>
      </c>
      <c r="AB9" s="1">
        <v>359.117096</v>
      </c>
      <c r="AC9" s="1">
        <v>363.972961</v>
      </c>
      <c r="AD9" s="1">
        <v>368.22537199999999</v>
      </c>
      <c r="AE9" s="2">
        <v>0.93049595600760537</v>
      </c>
    </row>
    <row r="10" spans="1:31" x14ac:dyDescent="0.25">
      <c r="A10" s="1" t="s">
        <v>27</v>
      </c>
      <c r="B10" s="1" t="s">
        <v>9</v>
      </c>
      <c r="C10" s="1" t="s">
        <v>3</v>
      </c>
      <c r="D10" s="1">
        <v>190.27915999999999</v>
      </c>
      <c r="E10" s="1">
        <v>195.26565600000001</v>
      </c>
      <c r="F10" s="1">
        <v>201.12200899999999</v>
      </c>
      <c r="G10" s="1">
        <v>203.61604299999999</v>
      </c>
      <c r="H10" s="1">
        <v>203.52581799999999</v>
      </c>
      <c r="I10" s="1">
        <v>206.283478</v>
      </c>
      <c r="J10" s="1">
        <v>210.69267300000001</v>
      </c>
      <c r="K10" s="1">
        <v>218.132767</v>
      </c>
      <c r="L10" s="1">
        <v>230.28627</v>
      </c>
      <c r="M10" s="1">
        <v>241.66833500000001</v>
      </c>
      <c r="N10" s="1">
        <v>252.92712399999999</v>
      </c>
      <c r="O10" s="1">
        <v>254.55690000000001</v>
      </c>
      <c r="P10" s="1">
        <v>254.171997</v>
      </c>
      <c r="Q10" s="1">
        <v>263.79159499999997</v>
      </c>
      <c r="R10" s="1">
        <v>273.12335200000001</v>
      </c>
      <c r="S10" s="1">
        <v>281.90243500000003</v>
      </c>
      <c r="T10" s="1">
        <v>290.48684700000001</v>
      </c>
      <c r="U10" s="1">
        <v>298.37670900000001</v>
      </c>
      <c r="V10" s="1">
        <v>305.66802999999999</v>
      </c>
      <c r="W10" s="1">
        <v>312.517517</v>
      </c>
      <c r="X10" s="1">
        <v>318.733521</v>
      </c>
      <c r="Y10" s="1">
        <v>330.40798999999998</v>
      </c>
      <c r="Z10" s="1">
        <v>343.17825299999998</v>
      </c>
      <c r="AA10" s="1">
        <v>347.43704200000002</v>
      </c>
      <c r="AB10" s="1">
        <v>352.75863600000002</v>
      </c>
      <c r="AC10" s="1">
        <v>359.30270400000001</v>
      </c>
      <c r="AD10" s="1">
        <v>363.96484400000003</v>
      </c>
      <c r="AE10" s="2" cm="1">
        <f t="array" ref="AE10:AE14">(AD10:AD14-D10:D14)/D10:D14</f>
        <v>0.91279404428735156</v>
      </c>
    </row>
    <row r="11" spans="1:31" x14ac:dyDescent="0.25">
      <c r="A11" s="1" t="s">
        <v>27</v>
      </c>
      <c r="B11" s="1" t="s">
        <v>12</v>
      </c>
      <c r="C11" s="1" t="s">
        <v>3</v>
      </c>
      <c r="D11" s="1">
        <v>162.403198</v>
      </c>
      <c r="E11" s="1">
        <v>166.65917999999999</v>
      </c>
      <c r="F11" s="1">
        <v>171.657578</v>
      </c>
      <c r="G11" s="1">
        <v>173.78623999999999</v>
      </c>
      <c r="H11" s="1">
        <v>173.70922899999999</v>
      </c>
      <c r="I11" s="1">
        <v>176.062881</v>
      </c>
      <c r="J11" s="1">
        <v>179.82614100000001</v>
      </c>
      <c r="K11" s="1">
        <v>186.176254</v>
      </c>
      <c r="L11" s="1">
        <v>196.549271</v>
      </c>
      <c r="M11" s="1">
        <v>206.26385500000001</v>
      </c>
      <c r="N11" s="1">
        <v>215.870544</v>
      </c>
      <c r="O11" s="1">
        <v>217.25535600000001</v>
      </c>
      <c r="P11" s="1">
        <v>216.92675800000001</v>
      </c>
      <c r="Q11" s="1">
        <v>225.13725299999999</v>
      </c>
      <c r="R11" s="1">
        <v>233.101913</v>
      </c>
      <c r="S11" s="1">
        <v>240.59484900000001</v>
      </c>
      <c r="T11" s="1">
        <v>247.92164600000001</v>
      </c>
      <c r="U11" s="1">
        <v>254.65564000000001</v>
      </c>
      <c r="V11" s="1">
        <v>260.878784</v>
      </c>
      <c r="W11" s="1">
        <v>266.72482300000001</v>
      </c>
      <c r="X11" s="1">
        <v>272.03018200000002</v>
      </c>
      <c r="Y11" s="1">
        <v>281.99435399999999</v>
      </c>
      <c r="Z11" s="1">
        <v>292.89993299999998</v>
      </c>
      <c r="AA11" s="1">
        <v>296.54080199999999</v>
      </c>
      <c r="AB11" s="1">
        <v>301.08279399999998</v>
      </c>
      <c r="AC11" s="1">
        <v>306.66589399999998</v>
      </c>
      <c r="AD11" s="1">
        <v>310.64447000000001</v>
      </c>
      <c r="AE11" s="2">
        <v>0.91279773936471376</v>
      </c>
    </row>
    <row r="12" spans="1:31" x14ac:dyDescent="0.25">
      <c r="A12" s="1" t="s">
        <v>27</v>
      </c>
      <c r="B12" s="1" t="s">
        <v>13</v>
      </c>
      <c r="C12" s="1" t="s">
        <v>3</v>
      </c>
      <c r="D12" s="1">
        <v>27.875948000000001</v>
      </c>
      <c r="E12" s="1">
        <v>28.606470000000002</v>
      </c>
      <c r="F12" s="1">
        <v>29.464428000000002</v>
      </c>
      <c r="G12" s="1">
        <v>29.829805</v>
      </c>
      <c r="H12" s="1">
        <v>29.816586999999998</v>
      </c>
      <c r="I12" s="1">
        <v>30.220585</v>
      </c>
      <c r="J12" s="1">
        <v>30.866533</v>
      </c>
      <c r="K12" s="1">
        <v>31.956509</v>
      </c>
      <c r="L12" s="1">
        <v>33.737003000000001</v>
      </c>
      <c r="M12" s="1">
        <v>35.404476000000003</v>
      </c>
      <c r="N12" s="1">
        <v>37.056564000000002</v>
      </c>
      <c r="O12" s="1">
        <v>37.301437</v>
      </c>
      <c r="P12" s="1">
        <v>37.245032999999999</v>
      </c>
      <c r="Q12" s="1">
        <v>38.654339</v>
      </c>
      <c r="R12" s="1">
        <v>40.021442</v>
      </c>
      <c r="S12" s="1">
        <v>41.307578999999997</v>
      </c>
      <c r="T12" s="1">
        <v>42.565196999999998</v>
      </c>
      <c r="U12" s="1">
        <v>43.721066</v>
      </c>
      <c r="V12" s="1">
        <v>44.789248999999998</v>
      </c>
      <c r="W12" s="1">
        <v>45.792698000000001</v>
      </c>
      <c r="X12" s="1">
        <v>46.703346000000003</v>
      </c>
      <c r="Y12" s="1">
        <v>48.413657999999998</v>
      </c>
      <c r="Z12" s="1">
        <v>50.282432999999997</v>
      </c>
      <c r="AA12" s="1">
        <v>50.900199999999998</v>
      </c>
      <c r="AB12" s="1">
        <v>51.679817</v>
      </c>
      <c r="AC12" s="1">
        <v>52.638134000000001</v>
      </c>
      <c r="AD12" s="1">
        <v>53.321049000000002</v>
      </c>
      <c r="AE12" s="2">
        <v>0.91279769211795059</v>
      </c>
    </row>
    <row r="13" spans="1:31" x14ac:dyDescent="0.25">
      <c r="A13" s="1" t="s">
        <v>27</v>
      </c>
      <c r="B13" s="1" t="s">
        <v>14</v>
      </c>
      <c r="C13" s="1" t="s">
        <v>3</v>
      </c>
      <c r="D13" s="1">
        <v>0.462177</v>
      </c>
      <c r="E13" s="1">
        <v>0.47428900000000002</v>
      </c>
      <c r="F13" s="1">
        <v>0.488514</v>
      </c>
      <c r="G13" s="1">
        <v>0.49457200000000001</v>
      </c>
      <c r="H13" s="1">
        <v>0.49435299999999999</v>
      </c>
      <c r="I13" s="1">
        <v>0.50105100000000002</v>
      </c>
      <c r="J13" s="1">
        <v>0.51176100000000002</v>
      </c>
      <c r="K13" s="1">
        <v>0.52983199999999997</v>
      </c>
      <c r="L13" s="1">
        <v>0.55935299999999999</v>
      </c>
      <c r="M13" s="1">
        <v>0.58699900000000005</v>
      </c>
      <c r="N13" s="1">
        <v>0.688052</v>
      </c>
      <c r="O13" s="1">
        <v>0.86075400000000002</v>
      </c>
      <c r="P13" s="1">
        <v>0.859819</v>
      </c>
      <c r="Q13" s="1">
        <v>0.883185</v>
      </c>
      <c r="R13" s="1">
        <v>0.90585099999999996</v>
      </c>
      <c r="S13" s="1">
        <v>0.92717499999999997</v>
      </c>
      <c r="T13" s="1">
        <v>0.94802600000000004</v>
      </c>
      <c r="U13" s="1">
        <v>0.96719100000000002</v>
      </c>
      <c r="V13" s="1">
        <v>0.98490100000000003</v>
      </c>
      <c r="W13" s="1">
        <v>1.001538</v>
      </c>
      <c r="X13" s="1">
        <v>1.0166360000000001</v>
      </c>
      <c r="Y13" s="1">
        <v>1.0449930000000001</v>
      </c>
      <c r="Z13" s="1">
        <v>1.0023139999999999</v>
      </c>
      <c r="AA13" s="1">
        <v>0.84391499999999997</v>
      </c>
      <c r="AB13" s="1">
        <v>0.85684099999999996</v>
      </c>
      <c r="AC13" s="1">
        <v>0.87272899999999998</v>
      </c>
      <c r="AD13" s="1">
        <v>0.88405199999999995</v>
      </c>
      <c r="AE13" s="2">
        <v>0.91279964169571381</v>
      </c>
    </row>
    <row r="14" spans="1:31" x14ac:dyDescent="0.25">
      <c r="A14" s="1" t="s">
        <v>27</v>
      </c>
      <c r="B14" s="1" t="s">
        <v>15</v>
      </c>
      <c r="C14" s="1" t="s">
        <v>3</v>
      </c>
      <c r="D14" s="1">
        <v>190.741333</v>
      </c>
      <c r="E14" s="1">
        <v>195.73994400000001</v>
      </c>
      <c r="F14" s="1">
        <v>201.61051900000001</v>
      </c>
      <c r="G14" s="1">
        <v>204.11061100000001</v>
      </c>
      <c r="H14" s="1">
        <v>204.020172</v>
      </c>
      <c r="I14" s="1">
        <v>206.78453099999999</v>
      </c>
      <c r="J14" s="1">
        <v>211.20443700000001</v>
      </c>
      <c r="K14" s="1">
        <v>218.662598</v>
      </c>
      <c r="L14" s="1">
        <v>230.84562700000001</v>
      </c>
      <c r="M14" s="1">
        <v>242.25534099999999</v>
      </c>
      <c r="N14" s="1">
        <v>253.615173</v>
      </c>
      <c r="O14" s="1">
        <v>255.41764800000001</v>
      </c>
      <c r="P14" s="1">
        <v>255.03181499999999</v>
      </c>
      <c r="Q14" s="1">
        <v>264.67477400000001</v>
      </c>
      <c r="R14" s="1">
        <v>274.02920499999999</v>
      </c>
      <c r="S14" s="1">
        <v>282.82961999999998</v>
      </c>
      <c r="T14" s="1">
        <v>291.43487499999998</v>
      </c>
      <c r="U14" s="1">
        <v>299.34390300000001</v>
      </c>
      <c r="V14" s="1">
        <v>306.65292399999998</v>
      </c>
      <c r="W14" s="1">
        <v>313.51904300000001</v>
      </c>
      <c r="X14" s="1">
        <v>319.75015300000001</v>
      </c>
      <c r="Y14" s="1">
        <v>331.45297199999999</v>
      </c>
      <c r="Z14" s="1">
        <v>344.18057299999998</v>
      </c>
      <c r="AA14" s="1">
        <v>348.28094499999997</v>
      </c>
      <c r="AB14" s="1">
        <v>353.61547899999999</v>
      </c>
      <c r="AC14" s="1">
        <v>360.17544600000002</v>
      </c>
      <c r="AD14" s="1">
        <v>364.848907</v>
      </c>
      <c r="AE14" s="2">
        <v>0.91279415563274902</v>
      </c>
    </row>
    <row r="15" spans="1:31" x14ac:dyDescent="0.25">
      <c r="A15" s="1" t="s">
        <v>28</v>
      </c>
      <c r="B15" s="1" t="s">
        <v>14</v>
      </c>
      <c r="C15" s="1" t="s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0.11375</v>
      </c>
      <c r="O15" s="1">
        <v>9.2299399999999991</v>
      </c>
      <c r="P15" s="1">
        <v>20.046326000000001</v>
      </c>
      <c r="Q15" s="1">
        <v>20.032219000000001</v>
      </c>
      <c r="R15" s="1">
        <v>20.032219000000001</v>
      </c>
      <c r="S15" s="1">
        <v>20.018149999999999</v>
      </c>
      <c r="T15" s="1">
        <v>20.018149999999999</v>
      </c>
      <c r="U15" s="1">
        <v>20.004100999999999</v>
      </c>
      <c r="V15" s="1">
        <v>19.962022999999999</v>
      </c>
      <c r="W15" s="1">
        <v>19.962022999999999</v>
      </c>
      <c r="X15" s="1">
        <v>19.888470000000002</v>
      </c>
      <c r="Y15" s="1">
        <v>13.831661</v>
      </c>
      <c r="Z15" s="1">
        <v>5.3341339999999997</v>
      </c>
      <c r="AA15" s="1">
        <v>5.4309229999999999</v>
      </c>
      <c r="AB15" s="1">
        <v>5.5016170000000004</v>
      </c>
      <c r="AC15" s="1">
        <v>3.797539</v>
      </c>
      <c r="AD15" s="1">
        <v>3.376477</v>
      </c>
      <c r="AE15" s="2" t="e">
        <f>(AD15-D15)/D15</f>
        <v>#DIV/0!</v>
      </c>
    </row>
    <row r="16" spans="1:31" x14ac:dyDescent="0.25">
      <c r="A16" s="1" t="s">
        <v>16</v>
      </c>
      <c r="B16" s="1" t="s">
        <v>17</v>
      </c>
      <c r="C16" s="1" t="s">
        <v>3</v>
      </c>
      <c r="D16" s="1">
        <v>138.53244000000001</v>
      </c>
      <c r="E16" s="1">
        <v>141.875854</v>
      </c>
      <c r="F16" s="1">
        <v>145.69811999999999</v>
      </c>
      <c r="G16" s="1">
        <v>146.337875</v>
      </c>
      <c r="H16" s="1">
        <v>145.922684</v>
      </c>
      <c r="I16" s="1">
        <v>146.544693</v>
      </c>
      <c r="J16" s="1">
        <v>148.29316700000001</v>
      </c>
      <c r="K16" s="1">
        <v>150.165863</v>
      </c>
      <c r="L16" s="1">
        <v>152.035065</v>
      </c>
      <c r="M16" s="1">
        <v>153.04600500000001</v>
      </c>
      <c r="N16" s="1">
        <v>154.93133499999999</v>
      </c>
      <c r="O16" s="1">
        <v>156.569275</v>
      </c>
      <c r="P16" s="1">
        <v>158.69255100000001</v>
      </c>
      <c r="Q16" s="1">
        <v>160.559708</v>
      </c>
      <c r="R16" s="1">
        <v>162.49134799999999</v>
      </c>
      <c r="S16" s="1">
        <v>164.25498999999999</v>
      </c>
      <c r="T16" s="1">
        <v>165.97207599999999</v>
      </c>
      <c r="U16" s="1">
        <v>167.607147</v>
      </c>
      <c r="V16" s="1">
        <v>169.10481300000001</v>
      </c>
      <c r="W16" s="1">
        <v>170.67863500000001</v>
      </c>
      <c r="X16" s="1">
        <v>172.125809</v>
      </c>
      <c r="Y16" s="1">
        <v>173.335892</v>
      </c>
      <c r="Z16" s="1">
        <v>174.25456199999999</v>
      </c>
      <c r="AA16" s="1">
        <v>175.30450400000001</v>
      </c>
      <c r="AB16" s="1">
        <v>176.95452900000001</v>
      </c>
      <c r="AC16" s="1">
        <v>178.420288</v>
      </c>
      <c r="AD16" s="1">
        <v>179.75657699999999</v>
      </c>
      <c r="AE16" s="2" cm="1">
        <f t="array" ref="AE16:AE20">(AD16:AD20-D16:D20)/D16:D20</f>
        <v>0.29757749881543977</v>
      </c>
    </row>
    <row r="17" spans="1:31" x14ac:dyDescent="0.25">
      <c r="A17" s="1" t="s">
        <v>16</v>
      </c>
      <c r="B17" s="1" t="s">
        <v>18</v>
      </c>
      <c r="C17" s="1" t="s">
        <v>3</v>
      </c>
      <c r="D17" s="1">
        <v>1.2747850000000001</v>
      </c>
      <c r="E17" s="1">
        <v>1.2747850000000001</v>
      </c>
      <c r="F17" s="1">
        <v>1.2747850000000001</v>
      </c>
      <c r="G17" s="1">
        <v>1.2747850000000001</v>
      </c>
      <c r="H17" s="1">
        <v>1.2747850000000001</v>
      </c>
      <c r="I17" s="1">
        <v>1.2747850000000001</v>
      </c>
      <c r="J17" s="1">
        <v>1.2747850000000001</v>
      </c>
      <c r="K17" s="1">
        <v>1.2747850000000001</v>
      </c>
      <c r="L17" s="1">
        <v>1.2747850000000001</v>
      </c>
      <c r="M17" s="1">
        <v>1.2747850000000001</v>
      </c>
      <c r="N17" s="1">
        <v>1.2747850000000001</v>
      </c>
      <c r="O17" s="1">
        <v>1.2747850000000001</v>
      </c>
      <c r="P17" s="1">
        <v>1.2747850000000001</v>
      </c>
      <c r="Q17" s="1">
        <v>1.2747850000000001</v>
      </c>
      <c r="R17" s="1">
        <v>1.2747850000000001</v>
      </c>
      <c r="S17" s="1">
        <v>1.2747850000000001</v>
      </c>
      <c r="T17" s="1">
        <v>1.2747850000000001</v>
      </c>
      <c r="U17" s="1">
        <v>1.2747850000000001</v>
      </c>
      <c r="V17" s="1">
        <v>1.2747850000000001</v>
      </c>
      <c r="W17" s="1">
        <v>1.2747850000000001</v>
      </c>
      <c r="X17" s="1">
        <v>1.2747850000000001</v>
      </c>
      <c r="Y17" s="1">
        <v>1.2747850000000001</v>
      </c>
      <c r="Z17" s="1">
        <v>1.2747850000000001</v>
      </c>
      <c r="AA17" s="1">
        <v>1.2747850000000001</v>
      </c>
      <c r="AB17" s="1">
        <v>1.2747850000000001</v>
      </c>
      <c r="AC17" s="1">
        <v>1.2747850000000001</v>
      </c>
      <c r="AD17" s="1">
        <v>1.2747850000000001</v>
      </c>
      <c r="AE17" s="2">
        <v>0</v>
      </c>
    </row>
    <row r="18" spans="1:31" x14ac:dyDescent="0.25">
      <c r="A18" s="1" t="s">
        <v>16</v>
      </c>
      <c r="B18" s="1" t="s">
        <v>19</v>
      </c>
      <c r="C18" s="1" t="s">
        <v>3</v>
      </c>
      <c r="D18" s="1">
        <v>137.25765999999999</v>
      </c>
      <c r="E18" s="1">
        <v>140.60107400000001</v>
      </c>
      <c r="F18" s="1">
        <v>144.42334</v>
      </c>
      <c r="G18" s="1">
        <v>145.063095</v>
      </c>
      <c r="H18" s="1">
        <v>144.64790300000001</v>
      </c>
      <c r="I18" s="1">
        <v>145.269913</v>
      </c>
      <c r="J18" s="1">
        <v>147.01838699999999</v>
      </c>
      <c r="K18" s="1">
        <v>148.89108300000001</v>
      </c>
      <c r="L18" s="1">
        <v>150.76028400000001</v>
      </c>
      <c r="M18" s="1">
        <v>151.77122499999999</v>
      </c>
      <c r="N18" s="1">
        <v>153.656555</v>
      </c>
      <c r="O18" s="1">
        <v>155.29449500000001</v>
      </c>
      <c r="P18" s="1">
        <v>157.41776999999999</v>
      </c>
      <c r="Q18" s="1">
        <v>159.28492700000001</v>
      </c>
      <c r="R18" s="1">
        <v>161.216568</v>
      </c>
      <c r="S18" s="1">
        <v>162.980209</v>
      </c>
      <c r="T18" s="1">
        <v>164.69729599999999</v>
      </c>
      <c r="U18" s="1">
        <v>166.332367</v>
      </c>
      <c r="V18" s="1">
        <v>167.83003199999999</v>
      </c>
      <c r="W18" s="1">
        <v>169.403854</v>
      </c>
      <c r="X18" s="1">
        <v>170.85102800000001</v>
      </c>
      <c r="Y18" s="1">
        <v>172.06111100000001</v>
      </c>
      <c r="Z18" s="1">
        <v>172.979782</v>
      </c>
      <c r="AA18" s="1">
        <v>174.02972399999999</v>
      </c>
      <c r="AB18" s="1">
        <v>175.67974899999999</v>
      </c>
      <c r="AC18" s="1">
        <v>177.14550800000001</v>
      </c>
      <c r="AD18" s="1">
        <v>178.481796</v>
      </c>
      <c r="AE18" s="2">
        <v>0.30034124142871166</v>
      </c>
    </row>
    <row r="19" spans="1:31" x14ac:dyDescent="0.25">
      <c r="A19" s="1" t="s">
        <v>16</v>
      </c>
      <c r="B19" s="1" t="s">
        <v>20</v>
      </c>
      <c r="C19" s="1" t="s">
        <v>3</v>
      </c>
      <c r="D19" s="1">
        <v>5.0774E-2</v>
      </c>
      <c r="E19" s="1">
        <v>0.33207199999999998</v>
      </c>
      <c r="F19" s="1">
        <v>0.79777799999999999</v>
      </c>
      <c r="G19" s="1">
        <v>1.502143</v>
      </c>
      <c r="H19" s="1">
        <v>2.568403</v>
      </c>
      <c r="I19" s="1">
        <v>3.8386680000000002</v>
      </c>
      <c r="J19" s="1">
        <v>5.2863790000000002</v>
      </c>
      <c r="K19" s="1">
        <v>8.5656119999999998</v>
      </c>
      <c r="L19" s="1">
        <v>15.88274</v>
      </c>
      <c r="M19" s="1">
        <v>22.705394999999999</v>
      </c>
      <c r="N19" s="1">
        <v>29.000012999999999</v>
      </c>
      <c r="O19" s="1">
        <v>34.784194999999997</v>
      </c>
      <c r="P19" s="1">
        <v>40.250293999999997</v>
      </c>
      <c r="Q19" s="1">
        <v>45.474533000000001</v>
      </c>
      <c r="R19" s="1">
        <v>50.420352999999999</v>
      </c>
      <c r="S19" s="1">
        <v>55.069046</v>
      </c>
      <c r="T19" s="1">
        <v>59.551495000000003</v>
      </c>
      <c r="U19" s="1">
        <v>63.63776</v>
      </c>
      <c r="V19" s="1">
        <v>67.413452000000007</v>
      </c>
      <c r="W19" s="1">
        <v>70.766723999999996</v>
      </c>
      <c r="X19" s="1">
        <v>73.784667999999996</v>
      </c>
      <c r="Y19" s="1">
        <v>76.671004999999994</v>
      </c>
      <c r="Z19" s="1">
        <v>79.107367999999994</v>
      </c>
      <c r="AA19" s="1">
        <v>81.375754999999998</v>
      </c>
      <c r="AB19" s="1">
        <v>83.560248999999999</v>
      </c>
      <c r="AC19" s="1">
        <v>85.643760999999998</v>
      </c>
      <c r="AD19" s="1">
        <v>87.456299000000001</v>
      </c>
      <c r="AE19" s="2">
        <v>1721.4622641509434</v>
      </c>
    </row>
    <row r="20" spans="1:31" x14ac:dyDescent="0.25">
      <c r="A20" s="1" t="s">
        <v>16</v>
      </c>
      <c r="B20" s="1" t="s">
        <v>21</v>
      </c>
      <c r="C20" s="1" t="s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 t="e">
        <v>#DIV/0!</v>
      </c>
    </row>
    <row r="21" spans="1:31" x14ac:dyDescent="0.25">
      <c r="A21" s="1" t="s">
        <v>22</v>
      </c>
      <c r="B21" s="1" t="s">
        <v>24</v>
      </c>
      <c r="C21" s="1" t="s">
        <v>23</v>
      </c>
      <c r="D21" s="1">
        <v>7.9897260000000001</v>
      </c>
      <c r="E21" s="1">
        <v>8.7592160000000003</v>
      </c>
      <c r="F21" s="1">
        <v>8.5801149999999993</v>
      </c>
      <c r="G21" s="1">
        <v>8.4459549999999997</v>
      </c>
      <c r="H21" s="1">
        <v>8.5067129999999995</v>
      </c>
      <c r="I21" s="1">
        <v>8.5728449999999992</v>
      </c>
      <c r="J21" s="1">
        <v>8.6812129999999996</v>
      </c>
      <c r="K21" s="1">
        <v>8.7670720000000006</v>
      </c>
      <c r="L21" s="1">
        <v>9.1765760000000007</v>
      </c>
      <c r="M21" s="1">
        <v>9.6011019999999991</v>
      </c>
      <c r="N21" s="1">
        <v>9.870749</v>
      </c>
      <c r="O21" s="1">
        <v>10.044772</v>
      </c>
      <c r="P21" s="1">
        <v>10.058076</v>
      </c>
      <c r="Q21" s="1">
        <v>9.9674139999999998</v>
      </c>
      <c r="R21" s="1">
        <v>9.8526670000000003</v>
      </c>
      <c r="S21" s="1">
        <v>9.7438269999999996</v>
      </c>
      <c r="T21" s="1">
        <v>9.6974490000000007</v>
      </c>
      <c r="U21" s="1">
        <v>9.7057400000000005</v>
      </c>
      <c r="V21" s="1">
        <v>9.7551450000000006</v>
      </c>
      <c r="W21" s="1">
        <v>9.8307210000000005</v>
      </c>
      <c r="X21" s="1">
        <v>9.8809670000000001</v>
      </c>
      <c r="Y21" s="1">
        <v>9.8819680000000005</v>
      </c>
      <c r="Z21" s="1">
        <v>9.9141220000000008</v>
      </c>
      <c r="AA21" s="1">
        <v>9.825177</v>
      </c>
      <c r="AB21" s="1">
        <v>9.7084609999999998</v>
      </c>
      <c r="AC21" s="1">
        <v>9.5782469999999993</v>
      </c>
      <c r="AD21" s="1">
        <v>9.4585360000000005</v>
      </c>
      <c r="AE21" s="2">
        <f>(AD21-D21)/D21</f>
        <v>0.18383734310788635</v>
      </c>
    </row>
    <row r="22" spans="1:31" x14ac:dyDescent="0.25">
      <c r="A22" s="1" t="s">
        <v>25</v>
      </c>
      <c r="B22" s="1" t="s">
        <v>26</v>
      </c>
      <c r="C22" s="1" t="s">
        <v>23</v>
      </c>
      <c r="D22" s="1">
        <v>10.453246999999999</v>
      </c>
      <c r="E22" s="1">
        <v>11.222738</v>
      </c>
      <c r="F22" s="1">
        <v>11.043637</v>
      </c>
      <c r="G22" s="1">
        <v>10.909476</v>
      </c>
      <c r="H22" s="1">
        <v>10.970235000000001</v>
      </c>
      <c r="I22" s="1">
        <v>11.036367</v>
      </c>
      <c r="J22" s="1">
        <v>11.144735000000001</v>
      </c>
      <c r="K22" s="1">
        <v>11.230594</v>
      </c>
      <c r="L22" s="1">
        <v>11.640098</v>
      </c>
      <c r="M22" s="1">
        <v>12.064622999999999</v>
      </c>
      <c r="N22" s="1">
        <v>12.334270999999999</v>
      </c>
      <c r="O22" s="1">
        <v>12.508293999999999</v>
      </c>
      <c r="P22" s="1">
        <v>12.521597999999999</v>
      </c>
      <c r="Q22" s="1">
        <v>12.430936000000001</v>
      </c>
      <c r="R22" s="1">
        <v>12.316189</v>
      </c>
      <c r="S22" s="1">
        <v>12.207349000000001</v>
      </c>
      <c r="T22" s="1">
        <v>12.160971</v>
      </c>
      <c r="U22" s="1">
        <v>12.169262</v>
      </c>
      <c r="V22" s="1">
        <v>12.218667</v>
      </c>
      <c r="W22" s="1">
        <v>12.294243</v>
      </c>
      <c r="X22" s="1">
        <v>12.344488</v>
      </c>
      <c r="Y22" s="1">
        <v>12.34549</v>
      </c>
      <c r="Z22" s="1">
        <v>12.377644</v>
      </c>
      <c r="AA22" s="1">
        <v>12.2887</v>
      </c>
      <c r="AB22" s="1">
        <v>12.171984</v>
      </c>
      <c r="AC22" s="1">
        <v>12.041769</v>
      </c>
      <c r="AD22" s="1">
        <v>11.922057000000001</v>
      </c>
      <c r="AE22" s="2" cm="1">
        <f t="array" ref="AE22:AE24">(AD22:AD24-D22:D24)/D22:D24</f>
        <v>0.14051232119550999</v>
      </c>
    </row>
    <row r="23" spans="1:31" x14ac:dyDescent="0.25">
      <c r="A23" s="1" t="s">
        <v>25</v>
      </c>
      <c r="B23" s="1" t="s">
        <v>20</v>
      </c>
      <c r="C23" s="1" t="s">
        <v>23</v>
      </c>
      <c r="D23" s="1">
        <v>60.543343</v>
      </c>
      <c r="E23" s="1">
        <v>61.313617999999998</v>
      </c>
      <c r="F23" s="1">
        <v>61.135249999999999</v>
      </c>
      <c r="G23" s="1">
        <v>61.001091000000002</v>
      </c>
      <c r="H23" s="1">
        <v>61.061852000000002</v>
      </c>
      <c r="I23" s="1">
        <v>61.127979000000003</v>
      </c>
      <c r="J23" s="1">
        <v>61.236355000000003</v>
      </c>
      <c r="K23" s="1">
        <v>61.322212</v>
      </c>
      <c r="L23" s="1">
        <v>61.731709000000002</v>
      </c>
      <c r="M23" s="1">
        <v>62.156235000000002</v>
      </c>
      <c r="N23" s="1">
        <v>62.425879999999999</v>
      </c>
      <c r="O23" s="1">
        <v>62.599907000000002</v>
      </c>
      <c r="P23" s="1">
        <v>62.613208999999998</v>
      </c>
      <c r="Q23" s="1">
        <v>62.522548999999998</v>
      </c>
      <c r="R23" s="1">
        <v>62.407803000000001</v>
      </c>
      <c r="S23" s="1">
        <v>62.298957999999999</v>
      </c>
      <c r="T23" s="1">
        <v>62.252578999999997</v>
      </c>
      <c r="U23" s="1">
        <v>62.260868000000002</v>
      </c>
      <c r="V23" s="1">
        <v>62.310271999999998</v>
      </c>
      <c r="W23" s="1">
        <v>62.385845000000003</v>
      </c>
      <c r="X23" s="1">
        <v>62.436089000000003</v>
      </c>
      <c r="Y23" s="1">
        <v>62.437092</v>
      </c>
      <c r="Z23" s="1">
        <v>62.469250000000002</v>
      </c>
      <c r="AA23" s="1">
        <v>62.380305999999997</v>
      </c>
      <c r="AB23" s="1">
        <v>62.263592000000003</v>
      </c>
      <c r="AC23" s="1">
        <v>62.133377000000003</v>
      </c>
      <c r="AD23" s="1">
        <v>62.013668000000003</v>
      </c>
      <c r="AE23" s="2">
        <v>2.4285494112870551E-2</v>
      </c>
    </row>
    <row r="24" spans="1:31" x14ac:dyDescent="0.25">
      <c r="A24" s="1" t="s">
        <v>25</v>
      </c>
      <c r="B24" s="1" t="s">
        <v>21</v>
      </c>
      <c r="C24" s="1" t="s">
        <v>23</v>
      </c>
      <c r="D24" s="1">
        <v>10.453246999999999</v>
      </c>
      <c r="E24" s="1">
        <v>11.222738</v>
      </c>
      <c r="F24" s="1">
        <v>11.043637</v>
      </c>
      <c r="G24" s="1">
        <v>10.909476</v>
      </c>
      <c r="H24" s="1">
        <v>10.970235000000001</v>
      </c>
      <c r="I24" s="1">
        <v>11.036367</v>
      </c>
      <c r="J24" s="1">
        <v>11.144735000000001</v>
      </c>
      <c r="K24" s="1">
        <v>11.230594</v>
      </c>
      <c r="L24" s="1">
        <v>11.640098</v>
      </c>
      <c r="M24" s="1">
        <v>12.064622999999999</v>
      </c>
      <c r="N24" s="1">
        <v>12.334270999999999</v>
      </c>
      <c r="O24" s="1">
        <v>12.508293999999999</v>
      </c>
      <c r="P24" s="1">
        <v>12.521597999999999</v>
      </c>
      <c r="Q24" s="1">
        <v>12.430936000000001</v>
      </c>
      <c r="R24" s="1">
        <v>12.316189</v>
      </c>
      <c r="S24" s="1">
        <v>12.207349000000001</v>
      </c>
      <c r="T24" s="1">
        <v>12.160971</v>
      </c>
      <c r="U24" s="1">
        <v>12.169262</v>
      </c>
      <c r="V24" s="1">
        <v>12.218667</v>
      </c>
      <c r="W24" s="1">
        <v>12.294243</v>
      </c>
      <c r="X24" s="1">
        <v>12.344488</v>
      </c>
      <c r="Y24" s="1">
        <v>12.34549</v>
      </c>
      <c r="Z24" s="1">
        <v>12.377644</v>
      </c>
      <c r="AA24" s="1">
        <v>12.2887</v>
      </c>
      <c r="AB24" s="1">
        <v>12.171984</v>
      </c>
      <c r="AC24" s="1">
        <v>12.041769</v>
      </c>
      <c r="AD24" s="1">
        <v>11.922057000000001</v>
      </c>
      <c r="AE24" s="2">
        <v>0.14051232119550999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4"/>
  <sheetViews>
    <sheetView tabSelected="1" workbookViewId="0">
      <selection sqref="A1:XFD1"/>
    </sheetView>
  </sheetViews>
  <sheetFormatPr defaultColWidth="8.7109375" defaultRowHeight="15" x14ac:dyDescent="0.25"/>
  <cols>
    <col min="1" max="1" width="51.5703125" style="1" bestFit="1" customWidth="1"/>
    <col min="2" max="2" width="65.85546875" style="1" bestFit="1" customWidth="1"/>
    <col min="3" max="30" width="8.7109375" style="1"/>
    <col min="31" max="31" width="17.5703125" style="1" bestFit="1" customWidth="1"/>
    <col min="32" max="16384" width="8.7109375" style="1"/>
  </cols>
  <sheetData>
    <row r="1" spans="1:31" s="4" customFormat="1" ht="15.75" thickBot="1" x14ac:dyDescent="0.3">
      <c r="A1" s="4" t="s">
        <v>29</v>
      </c>
      <c r="B1" s="4" t="s">
        <v>30</v>
      </c>
      <c r="C1" s="4" t="s">
        <v>0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  <c r="O1" s="4">
        <v>2035</v>
      </c>
      <c r="P1" s="4">
        <v>2036</v>
      </c>
      <c r="Q1" s="4">
        <v>2037</v>
      </c>
      <c r="R1" s="4">
        <v>2038</v>
      </c>
      <c r="S1" s="4">
        <v>2039</v>
      </c>
      <c r="T1" s="4">
        <v>2040</v>
      </c>
      <c r="U1" s="4">
        <v>2041</v>
      </c>
      <c r="V1" s="4">
        <v>2042</v>
      </c>
      <c r="W1" s="4">
        <v>2043</v>
      </c>
      <c r="X1" s="4">
        <v>2044</v>
      </c>
      <c r="Y1" s="4">
        <v>2045</v>
      </c>
      <c r="Z1" s="4">
        <v>2046</v>
      </c>
      <c r="AA1" s="4">
        <v>2047</v>
      </c>
      <c r="AB1" s="4">
        <v>2048</v>
      </c>
      <c r="AC1" s="4">
        <v>2049</v>
      </c>
      <c r="AD1" s="4">
        <v>2050</v>
      </c>
      <c r="AE1" s="4" t="s">
        <v>1</v>
      </c>
    </row>
    <row r="2" spans="1:31" ht="15.75" thickTop="1" x14ac:dyDescent="0.25">
      <c r="A2" s="1" t="s">
        <v>31</v>
      </c>
      <c r="B2" s="1" t="s">
        <v>2</v>
      </c>
      <c r="C2" s="1" t="s">
        <v>3</v>
      </c>
      <c r="D2" s="1">
        <v>91.718231000000003</v>
      </c>
      <c r="E2" s="1">
        <v>108.335579</v>
      </c>
      <c r="F2" s="1">
        <v>108.412621</v>
      </c>
      <c r="G2" s="1">
        <v>108.412621</v>
      </c>
      <c r="H2" s="1">
        <v>108.412621</v>
      </c>
      <c r="I2" s="1">
        <v>108.412621</v>
      </c>
      <c r="J2" s="1">
        <v>108.412621</v>
      </c>
      <c r="K2" s="1">
        <v>108.412621</v>
      </c>
      <c r="L2" s="1">
        <v>107.79188499999999</v>
      </c>
      <c r="M2" s="1">
        <v>106.920044</v>
      </c>
      <c r="N2" s="1">
        <v>105.960999</v>
      </c>
      <c r="O2" s="1">
        <v>104.94459500000001</v>
      </c>
      <c r="P2" s="1">
        <v>113.07225</v>
      </c>
      <c r="Q2" s="1">
        <v>121.11758399999999</v>
      </c>
      <c r="R2" s="1">
        <v>132.534164</v>
      </c>
      <c r="S2" s="1">
        <v>142.845551</v>
      </c>
      <c r="T2" s="1">
        <v>150.124878</v>
      </c>
      <c r="U2" s="1">
        <v>157.21966599999999</v>
      </c>
      <c r="V2" s="1">
        <v>164.07998699999999</v>
      </c>
      <c r="W2" s="1">
        <v>170.41778600000001</v>
      </c>
      <c r="X2" s="1">
        <v>176.335724</v>
      </c>
      <c r="Y2" s="1">
        <v>215.523819</v>
      </c>
      <c r="Z2" s="1">
        <v>230.52406300000001</v>
      </c>
      <c r="AA2" s="1">
        <v>244.05317700000001</v>
      </c>
      <c r="AB2" s="1">
        <v>248.335678</v>
      </c>
      <c r="AC2" s="1">
        <v>252.26821899999999</v>
      </c>
      <c r="AD2" s="1">
        <v>255.775925</v>
      </c>
      <c r="AE2" s="2" cm="1">
        <f t="array" ref="AE2:AE6">(AD2:AD6-D2:D6)/D2:D6</f>
        <v>1.7887141107202558</v>
      </c>
    </row>
    <row r="3" spans="1:31" x14ac:dyDescent="0.25">
      <c r="A3" s="1" t="s">
        <v>31</v>
      </c>
      <c r="B3" s="1" t="s">
        <v>4</v>
      </c>
      <c r="C3" s="1" t="s">
        <v>3</v>
      </c>
      <c r="D3" s="1">
        <v>13.463258</v>
      </c>
      <c r="E3" s="1">
        <v>0</v>
      </c>
      <c r="F3" s="1">
        <v>5.6317120000000003</v>
      </c>
      <c r="G3" s="1">
        <v>8.4528990000000004</v>
      </c>
      <c r="H3" s="1">
        <v>9.876614</v>
      </c>
      <c r="I3" s="1">
        <v>12.966604</v>
      </c>
      <c r="J3" s="1">
        <v>16.298238999999999</v>
      </c>
      <c r="K3" s="1">
        <v>21.965551000000001</v>
      </c>
      <c r="L3" s="1">
        <v>32.955745999999998</v>
      </c>
      <c r="M3" s="1">
        <v>43.810763999999999</v>
      </c>
      <c r="N3" s="1">
        <v>54.386851999999998</v>
      </c>
      <c r="O3" s="1">
        <v>63.869999</v>
      </c>
      <c r="P3" s="1">
        <v>63.869999</v>
      </c>
      <c r="Q3" s="1">
        <v>63.869999</v>
      </c>
      <c r="R3" s="1">
        <v>60.297108000000001</v>
      </c>
      <c r="S3" s="1">
        <v>57.350456000000001</v>
      </c>
      <c r="T3" s="1">
        <v>56.688701999999999</v>
      </c>
      <c r="U3" s="1">
        <v>55.836692999999997</v>
      </c>
      <c r="V3" s="1">
        <v>55.175593999999997</v>
      </c>
      <c r="W3" s="1">
        <v>54.630465999999998</v>
      </c>
      <c r="X3" s="1">
        <v>54.111972999999999</v>
      </c>
      <c r="Y3" s="1">
        <v>20.059228999999998</v>
      </c>
      <c r="Z3" s="1">
        <v>9.4831450000000004</v>
      </c>
      <c r="AA3" s="1">
        <v>0</v>
      </c>
      <c r="AB3" s="1">
        <v>0</v>
      </c>
      <c r="AC3" s="1">
        <v>0</v>
      </c>
      <c r="AD3" s="1">
        <v>0</v>
      </c>
      <c r="AE3" s="2">
        <v>-1</v>
      </c>
    </row>
    <row r="4" spans="1:31" x14ac:dyDescent="0.25">
      <c r="A4" s="1" t="s">
        <v>31</v>
      </c>
      <c r="B4" s="1" t="s">
        <v>5</v>
      </c>
      <c r="C4" s="1" t="s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7.0374999999999993E-2</v>
      </c>
      <c r="L4" s="1">
        <v>9.5304E-2</v>
      </c>
      <c r="M4" s="1">
        <v>6.6698999999999994E-2</v>
      </c>
      <c r="N4" s="1">
        <v>0.147814</v>
      </c>
      <c r="O4" s="1">
        <v>0.39083600000000002</v>
      </c>
      <c r="P4" s="1">
        <v>0.48126999999999998</v>
      </c>
      <c r="Q4" s="1">
        <v>0.51524199999999998</v>
      </c>
      <c r="R4" s="1">
        <v>0.56052800000000003</v>
      </c>
      <c r="S4" s="1">
        <v>0.70774999999999999</v>
      </c>
      <c r="T4" s="1">
        <v>0.70774999999999999</v>
      </c>
      <c r="U4" s="1">
        <v>0.60976699999999995</v>
      </c>
      <c r="V4" s="1">
        <v>0.542292</v>
      </c>
      <c r="W4" s="1">
        <v>0.462532</v>
      </c>
      <c r="X4" s="1">
        <v>0.37478499999999998</v>
      </c>
      <c r="Y4" s="1">
        <v>0.17336499999999999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 t="e">
        <v>#DIV/0!</v>
      </c>
    </row>
    <row r="5" spans="1:31" x14ac:dyDescent="0.25">
      <c r="A5" s="1" t="s">
        <v>31</v>
      </c>
      <c r="B5" s="1" t="s">
        <v>6</v>
      </c>
      <c r="C5" s="1" t="s">
        <v>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2" t="e">
        <v>#DIV/0!</v>
      </c>
    </row>
    <row r="6" spans="1:31" x14ac:dyDescent="0.25">
      <c r="A6" s="1" t="s">
        <v>31</v>
      </c>
      <c r="B6" s="3" t="s">
        <v>7</v>
      </c>
      <c r="C6" s="1" t="s">
        <v>3</v>
      </c>
      <c r="D6" s="1">
        <v>105.181496</v>
      </c>
      <c r="E6" s="1">
        <v>108.335579</v>
      </c>
      <c r="F6" s="1">
        <v>114.04433400000001</v>
      </c>
      <c r="G6" s="1">
        <v>116.86552399999999</v>
      </c>
      <c r="H6" s="1">
        <v>118.28923</v>
      </c>
      <c r="I6" s="1">
        <v>121.379227</v>
      </c>
      <c r="J6" s="1">
        <v>124.71086099999999</v>
      </c>
      <c r="K6" s="1">
        <v>130.44854699999999</v>
      </c>
      <c r="L6" s="1">
        <v>140.842941</v>
      </c>
      <c r="M6" s="1">
        <v>150.79750100000001</v>
      </c>
      <c r="N6" s="1">
        <v>160.495667</v>
      </c>
      <c r="O6" s="1">
        <v>169.20542900000001</v>
      </c>
      <c r="P6" s="1">
        <v>177.42352299999999</v>
      </c>
      <c r="Q6" s="1">
        <v>185.50280799999999</v>
      </c>
      <c r="R6" s="1">
        <v>193.391785</v>
      </c>
      <c r="S6" s="1">
        <v>200.90377799999999</v>
      </c>
      <c r="T6" s="1">
        <v>207.52131700000001</v>
      </c>
      <c r="U6" s="1">
        <v>213.666122</v>
      </c>
      <c r="V6" s="1">
        <v>219.79788199999999</v>
      </c>
      <c r="W6" s="1">
        <v>225.51078799999999</v>
      </c>
      <c r="X6" s="1">
        <v>230.822495</v>
      </c>
      <c r="Y6" s="1">
        <v>235.75640899999999</v>
      </c>
      <c r="Z6" s="1">
        <v>240.00720200000001</v>
      </c>
      <c r="AA6" s="1">
        <v>244.05317700000001</v>
      </c>
      <c r="AB6" s="1">
        <v>248.335678</v>
      </c>
      <c r="AC6" s="1">
        <v>252.26821899999999</v>
      </c>
      <c r="AD6" s="1">
        <v>255.775925</v>
      </c>
      <c r="AE6" s="2">
        <v>1.4317578160325843</v>
      </c>
    </row>
    <row r="7" spans="1:31" x14ac:dyDescent="0.25">
      <c r="A7" s="1" t="s">
        <v>8</v>
      </c>
      <c r="B7" s="1" t="s">
        <v>9</v>
      </c>
      <c r="C7" s="1" t="s">
        <v>3</v>
      </c>
      <c r="D7" s="1">
        <v>145.67124899999999</v>
      </c>
      <c r="E7" s="1">
        <v>148.74813800000001</v>
      </c>
      <c r="F7" s="1">
        <v>157.11088599999999</v>
      </c>
      <c r="G7" s="1">
        <v>161.24719200000001</v>
      </c>
      <c r="H7" s="1">
        <v>163.33457899999999</v>
      </c>
      <c r="I7" s="1">
        <v>167.86497499999999</v>
      </c>
      <c r="J7" s="1">
        <v>172.74968000000001</v>
      </c>
      <c r="K7" s="1">
        <v>181.05900600000001</v>
      </c>
      <c r="L7" s="1">
        <v>196.31980899999999</v>
      </c>
      <c r="M7" s="1">
        <v>211.037949</v>
      </c>
      <c r="N7" s="1">
        <v>225.227203</v>
      </c>
      <c r="O7" s="1">
        <v>237.735443</v>
      </c>
      <c r="P7" s="1">
        <v>248.89497399999999</v>
      </c>
      <c r="Q7" s="1">
        <v>259.94149800000002</v>
      </c>
      <c r="R7" s="1">
        <v>270.37844799999999</v>
      </c>
      <c r="S7" s="1">
        <v>280.21612499999998</v>
      </c>
      <c r="T7" s="1">
        <v>289.24063100000001</v>
      </c>
      <c r="U7" s="1">
        <v>297.73281900000001</v>
      </c>
      <c r="V7" s="1">
        <v>306.18298299999998</v>
      </c>
      <c r="W7" s="1">
        <v>314.08572400000003</v>
      </c>
      <c r="X7" s="1">
        <v>321.45105000000001</v>
      </c>
      <c r="Y7" s="1">
        <v>325.33093300000002</v>
      </c>
      <c r="Z7" s="1">
        <v>330.420502</v>
      </c>
      <c r="AA7" s="1">
        <v>335.09262100000001</v>
      </c>
      <c r="AB7" s="1">
        <v>340.97265599999997</v>
      </c>
      <c r="AC7" s="1">
        <v>346.372162</v>
      </c>
      <c r="AD7" s="1">
        <v>351.18832400000002</v>
      </c>
      <c r="AE7" s="2" cm="1">
        <f t="array" ref="AE7:AE9">(AD7:AD9-D7:D9)/D7:D9</f>
        <v>1.410827987065588</v>
      </c>
    </row>
    <row r="8" spans="1:31" x14ac:dyDescent="0.25">
      <c r="A8" s="1" t="s">
        <v>8</v>
      </c>
      <c r="B8" s="1" t="s">
        <v>10</v>
      </c>
      <c r="C8" s="1" t="s">
        <v>3</v>
      </c>
      <c r="D8" s="1">
        <v>0.82024900000000001</v>
      </c>
      <c r="E8" s="1">
        <v>0.36130099999999998</v>
      </c>
      <c r="F8" s="1">
        <v>0.57671899999999998</v>
      </c>
      <c r="G8" s="1">
        <v>0.68450299999999997</v>
      </c>
      <c r="H8" s="1">
        <v>0.738896</v>
      </c>
      <c r="I8" s="1">
        <v>0.85694999999999999</v>
      </c>
      <c r="J8" s="1">
        <v>0.984236</v>
      </c>
      <c r="K8" s="1">
        <v>1.2978940000000001</v>
      </c>
      <c r="L8" s="1">
        <v>1.750116</v>
      </c>
      <c r="M8" s="1">
        <v>2.1224440000000002</v>
      </c>
      <c r="N8" s="1">
        <v>2.6352690000000001</v>
      </c>
      <c r="O8" s="1">
        <v>3.3296199999999998</v>
      </c>
      <c r="P8" s="1">
        <v>3.4815499999999999</v>
      </c>
      <c r="Q8" s="1">
        <v>3.555272</v>
      </c>
      <c r="R8" s="1">
        <v>3.5193490000000001</v>
      </c>
      <c r="S8" s="1">
        <v>3.6443669999999999</v>
      </c>
      <c r="T8" s="1">
        <v>3.6433610000000001</v>
      </c>
      <c r="U8" s="1">
        <v>3.499228</v>
      </c>
      <c r="V8" s="1">
        <v>3.4037160000000002</v>
      </c>
      <c r="W8" s="1">
        <v>3.293936</v>
      </c>
      <c r="X8" s="1">
        <v>3.172749</v>
      </c>
      <c r="Y8" s="1">
        <v>1.724434</v>
      </c>
      <c r="Z8" s="1">
        <v>1.1311070000000001</v>
      </c>
      <c r="AA8" s="1">
        <v>0.81392100000000001</v>
      </c>
      <c r="AB8" s="1">
        <v>0.82820300000000002</v>
      </c>
      <c r="AC8" s="1">
        <v>0.84131900000000004</v>
      </c>
      <c r="AD8" s="1">
        <v>0.85301700000000003</v>
      </c>
      <c r="AE8" s="2">
        <v>3.9948844802005265E-2</v>
      </c>
    </row>
    <row r="9" spans="1:31" x14ac:dyDescent="0.25">
      <c r="A9" s="1" t="s">
        <v>8</v>
      </c>
      <c r="B9" s="1" t="s">
        <v>11</v>
      </c>
      <c r="C9" s="1" t="s">
        <v>3</v>
      </c>
      <c r="D9" s="1">
        <v>146.491501</v>
      </c>
      <c r="E9" s="1">
        <v>149.10943599999999</v>
      </c>
      <c r="F9" s="1">
        <v>157.68760700000001</v>
      </c>
      <c r="G9" s="1">
        <v>161.931702</v>
      </c>
      <c r="H9" s="1">
        <v>164.07347100000001</v>
      </c>
      <c r="I9" s="1">
        <v>168.721924</v>
      </c>
      <c r="J9" s="1">
        <v>173.73391699999999</v>
      </c>
      <c r="K9" s="1">
        <v>182.35690299999999</v>
      </c>
      <c r="L9" s="1">
        <v>198.069931</v>
      </c>
      <c r="M9" s="1">
        <v>213.16040000000001</v>
      </c>
      <c r="N9" s="1">
        <v>227.86247299999999</v>
      </c>
      <c r="O9" s="1">
        <v>241.06506300000001</v>
      </c>
      <c r="P9" s="1">
        <v>252.37652600000001</v>
      </c>
      <c r="Q9" s="1">
        <v>263.49676499999998</v>
      </c>
      <c r="R9" s="1">
        <v>273.89779700000003</v>
      </c>
      <c r="S9" s="1">
        <v>283.86050399999999</v>
      </c>
      <c r="T9" s="1">
        <v>292.88400300000001</v>
      </c>
      <c r="U9" s="1">
        <v>301.232056</v>
      </c>
      <c r="V9" s="1">
        <v>309.58670000000001</v>
      </c>
      <c r="W9" s="1">
        <v>317.37966899999998</v>
      </c>
      <c r="X9" s="1">
        <v>324.62380999999999</v>
      </c>
      <c r="Y9" s="1">
        <v>327.05535900000001</v>
      </c>
      <c r="Z9" s="1">
        <v>331.551605</v>
      </c>
      <c r="AA9" s="1">
        <v>335.90655500000003</v>
      </c>
      <c r="AB9" s="1">
        <v>341.80087300000002</v>
      </c>
      <c r="AC9" s="1">
        <v>347.21346999999997</v>
      </c>
      <c r="AD9" s="1">
        <v>352.04135100000002</v>
      </c>
      <c r="AE9" s="2">
        <v>1.4031520504387489</v>
      </c>
    </row>
    <row r="10" spans="1:31" x14ac:dyDescent="0.25">
      <c r="A10" s="1" t="s">
        <v>27</v>
      </c>
      <c r="B10" s="1" t="s">
        <v>9</v>
      </c>
      <c r="C10" s="1" t="s">
        <v>3</v>
      </c>
      <c r="D10" s="1">
        <v>145.67124899999999</v>
      </c>
      <c r="E10" s="1">
        <v>148.74813800000001</v>
      </c>
      <c r="F10" s="1">
        <v>157.11088599999999</v>
      </c>
      <c r="G10" s="1">
        <v>161.24719200000001</v>
      </c>
      <c r="H10" s="1">
        <v>163.33457899999999</v>
      </c>
      <c r="I10" s="1">
        <v>167.86497499999999</v>
      </c>
      <c r="J10" s="1">
        <v>172.74968000000001</v>
      </c>
      <c r="K10" s="1">
        <v>181.05900600000001</v>
      </c>
      <c r="L10" s="1">
        <v>196.31980899999999</v>
      </c>
      <c r="M10" s="1">
        <v>211.037949</v>
      </c>
      <c r="N10" s="1">
        <v>225.227203</v>
      </c>
      <c r="O10" s="1">
        <v>237.735443</v>
      </c>
      <c r="P10" s="1">
        <v>248.89497399999999</v>
      </c>
      <c r="Q10" s="1">
        <v>259.94149800000002</v>
      </c>
      <c r="R10" s="1">
        <v>270.37844799999999</v>
      </c>
      <c r="S10" s="1">
        <v>280.21612499999998</v>
      </c>
      <c r="T10" s="1">
        <v>289.24063100000001</v>
      </c>
      <c r="U10" s="1">
        <v>297.73281900000001</v>
      </c>
      <c r="V10" s="1">
        <v>306.18298299999998</v>
      </c>
      <c r="W10" s="1">
        <v>314.08572400000003</v>
      </c>
      <c r="X10" s="1">
        <v>321.45105000000001</v>
      </c>
      <c r="Y10" s="1">
        <v>325.33093300000002</v>
      </c>
      <c r="Z10" s="1">
        <v>330.420502</v>
      </c>
      <c r="AA10" s="1">
        <v>335.09262100000001</v>
      </c>
      <c r="AB10" s="1">
        <v>340.97265599999997</v>
      </c>
      <c r="AC10" s="1">
        <v>346.372162</v>
      </c>
      <c r="AD10" s="1">
        <v>351.18832400000002</v>
      </c>
      <c r="AE10" s="2" cm="1">
        <f t="array" ref="AE10:AE14">(AD10:AD14-D10:D14)/D10:D14</f>
        <v>1.410827987065588</v>
      </c>
    </row>
    <row r="11" spans="1:31" x14ac:dyDescent="0.25">
      <c r="A11" s="1" t="s">
        <v>27</v>
      </c>
      <c r="B11" s="1" t="s">
        <v>12</v>
      </c>
      <c r="C11" s="1" t="s">
        <v>3</v>
      </c>
      <c r="D11" s="1">
        <v>124.313438</v>
      </c>
      <c r="E11" s="1">
        <v>126.95649</v>
      </c>
      <c r="F11" s="1">
        <v>134.08702099999999</v>
      </c>
      <c r="G11" s="1">
        <v>137.6138</v>
      </c>
      <c r="H11" s="1">
        <v>139.39359999999999</v>
      </c>
      <c r="I11" s="1">
        <v>143.25640899999999</v>
      </c>
      <c r="J11" s="1">
        <v>147.42131000000001</v>
      </c>
      <c r="K11" s="1">
        <v>154.506058</v>
      </c>
      <c r="L11" s="1">
        <v>167.51754800000001</v>
      </c>
      <c r="M11" s="1">
        <v>180.06578099999999</v>
      </c>
      <c r="N11" s="1">
        <v>192.163116</v>
      </c>
      <c r="O11" s="1">
        <v>202.826965</v>
      </c>
      <c r="P11" s="1">
        <v>212.35162399999999</v>
      </c>
      <c r="Q11" s="1">
        <v>221.77979999999999</v>
      </c>
      <c r="R11" s="1">
        <v>230.692184</v>
      </c>
      <c r="S11" s="1">
        <v>239.092285</v>
      </c>
      <c r="T11" s="1">
        <v>246.79553200000001</v>
      </c>
      <c r="U11" s="1">
        <v>254.044693</v>
      </c>
      <c r="V11" s="1">
        <v>261.25775099999998</v>
      </c>
      <c r="W11" s="1">
        <v>268.00341800000001</v>
      </c>
      <c r="X11" s="1">
        <v>274.29037499999998</v>
      </c>
      <c r="Y11" s="1">
        <v>277.64465300000001</v>
      </c>
      <c r="Z11" s="1">
        <v>282.001892</v>
      </c>
      <c r="AA11" s="1">
        <v>286.001465</v>
      </c>
      <c r="AB11" s="1">
        <v>291.02005000000003</v>
      </c>
      <c r="AC11" s="1">
        <v>295.62853999999999</v>
      </c>
      <c r="AD11" s="1">
        <v>299.73913599999997</v>
      </c>
      <c r="AE11" s="2">
        <v>1.4111563546331969</v>
      </c>
    </row>
    <row r="12" spans="1:31" x14ac:dyDescent="0.25">
      <c r="A12" s="1" t="s">
        <v>27</v>
      </c>
      <c r="B12" s="1" t="s">
        <v>13</v>
      </c>
      <c r="C12" s="1" t="s">
        <v>3</v>
      </c>
      <c r="D12" s="1">
        <v>21.357800999999998</v>
      </c>
      <c r="E12" s="1">
        <v>21.791640999999998</v>
      </c>
      <c r="F12" s="1">
        <v>23.023869000000001</v>
      </c>
      <c r="G12" s="1">
        <v>23.633382999999998</v>
      </c>
      <c r="H12" s="1">
        <v>23.940977</v>
      </c>
      <c r="I12" s="1">
        <v>24.608566</v>
      </c>
      <c r="J12" s="1">
        <v>25.328363</v>
      </c>
      <c r="K12" s="1">
        <v>26.552783999999999</v>
      </c>
      <c r="L12" s="1">
        <v>28.802349</v>
      </c>
      <c r="M12" s="1">
        <v>30.972197999999999</v>
      </c>
      <c r="N12" s="1">
        <v>33.064242999999998</v>
      </c>
      <c r="O12" s="1">
        <v>34.908622999999999</v>
      </c>
      <c r="P12" s="1">
        <v>36.543498999999997</v>
      </c>
      <c r="Q12" s="1">
        <v>38.161811999999998</v>
      </c>
      <c r="R12" s="1">
        <v>39.686329000000001</v>
      </c>
      <c r="S12" s="1">
        <v>41.123837000000002</v>
      </c>
      <c r="T12" s="1">
        <v>42.445095000000002</v>
      </c>
      <c r="U12" s="1">
        <v>43.688136999999998</v>
      </c>
      <c r="V12" s="1">
        <v>44.925255</v>
      </c>
      <c r="W12" s="1">
        <v>46.082324999999997</v>
      </c>
      <c r="X12" s="1">
        <v>47.160693999999999</v>
      </c>
      <c r="Y12" s="1">
        <v>47.686287</v>
      </c>
      <c r="Z12" s="1">
        <v>48.418616999999998</v>
      </c>
      <c r="AA12" s="1">
        <v>49.091160000000002</v>
      </c>
      <c r="AB12" s="1">
        <v>49.952582999999997</v>
      </c>
      <c r="AC12" s="1">
        <v>50.743614000000001</v>
      </c>
      <c r="AD12" s="1">
        <v>51.449184000000002</v>
      </c>
      <c r="AE12" s="2">
        <v>1.4089176596410842</v>
      </c>
    </row>
    <row r="13" spans="1:31" x14ac:dyDescent="0.25">
      <c r="A13" s="1" t="s">
        <v>27</v>
      </c>
      <c r="B13" s="1" t="s">
        <v>14</v>
      </c>
      <c r="C13" s="1" t="s">
        <v>3</v>
      </c>
      <c r="D13" s="1">
        <v>0.82024900000000001</v>
      </c>
      <c r="E13" s="1">
        <v>0.36130099999999998</v>
      </c>
      <c r="F13" s="1">
        <v>0.57671899999999998</v>
      </c>
      <c r="G13" s="1">
        <v>0.68450299999999997</v>
      </c>
      <c r="H13" s="1">
        <v>0.738896</v>
      </c>
      <c r="I13" s="1">
        <v>0.85694999999999999</v>
      </c>
      <c r="J13" s="1">
        <v>0.984236</v>
      </c>
      <c r="K13" s="1">
        <v>1.2007570000000001</v>
      </c>
      <c r="L13" s="1">
        <v>1.6185700000000001</v>
      </c>
      <c r="M13" s="1">
        <v>2.0303810000000002</v>
      </c>
      <c r="N13" s="1">
        <v>2.4312450000000001</v>
      </c>
      <c r="O13" s="1">
        <v>2.7901609999999999</v>
      </c>
      <c r="P13" s="1">
        <v>2.8172670000000002</v>
      </c>
      <c r="Q13" s="1">
        <v>2.8440989999999999</v>
      </c>
      <c r="R13" s="1">
        <v>2.7456700000000001</v>
      </c>
      <c r="S13" s="1">
        <v>2.667481</v>
      </c>
      <c r="T13" s="1">
        <v>2.6664750000000002</v>
      </c>
      <c r="U13" s="1">
        <v>2.6575850000000001</v>
      </c>
      <c r="V13" s="1">
        <v>2.6552069999999999</v>
      </c>
      <c r="W13" s="1">
        <v>2.6555170000000001</v>
      </c>
      <c r="X13" s="1">
        <v>2.6554440000000001</v>
      </c>
      <c r="Y13" s="1">
        <v>1.4851430000000001</v>
      </c>
      <c r="Z13" s="1">
        <v>1.1311070000000001</v>
      </c>
      <c r="AA13" s="1">
        <v>0.81392100000000001</v>
      </c>
      <c r="AB13" s="1">
        <v>0.82820300000000002</v>
      </c>
      <c r="AC13" s="1">
        <v>0.84131900000000004</v>
      </c>
      <c r="AD13" s="1">
        <v>0.85301700000000003</v>
      </c>
      <c r="AE13" s="2">
        <v>3.9948844802005265E-2</v>
      </c>
    </row>
    <row r="14" spans="1:31" x14ac:dyDescent="0.25">
      <c r="A14" s="1" t="s">
        <v>27</v>
      </c>
      <c r="B14" s="1" t="s">
        <v>15</v>
      </c>
      <c r="C14" s="1" t="s">
        <v>3</v>
      </c>
      <c r="D14" s="1">
        <v>146.491501</v>
      </c>
      <c r="E14" s="1">
        <v>149.10943599999999</v>
      </c>
      <c r="F14" s="1">
        <v>157.68760700000001</v>
      </c>
      <c r="G14" s="1">
        <v>161.931702</v>
      </c>
      <c r="H14" s="1">
        <v>164.07347100000001</v>
      </c>
      <c r="I14" s="1">
        <v>168.721924</v>
      </c>
      <c r="J14" s="1">
        <v>173.73391699999999</v>
      </c>
      <c r="K14" s="1">
        <v>182.25976600000001</v>
      </c>
      <c r="L14" s="1">
        <v>197.93838500000001</v>
      </c>
      <c r="M14" s="1">
        <v>213.06832900000001</v>
      </c>
      <c r="N14" s="1">
        <v>227.658447</v>
      </c>
      <c r="O14" s="1">
        <v>240.52560399999999</v>
      </c>
      <c r="P14" s="1">
        <v>251.712234</v>
      </c>
      <c r="Q14" s="1">
        <v>262.78558299999997</v>
      </c>
      <c r="R14" s="1">
        <v>273.12411500000002</v>
      </c>
      <c r="S14" s="1">
        <v>282.88360599999999</v>
      </c>
      <c r="T14" s="1">
        <v>291.907104</v>
      </c>
      <c r="U14" s="1">
        <v>300.39041099999997</v>
      </c>
      <c r="V14" s="1">
        <v>308.83819599999998</v>
      </c>
      <c r="W14" s="1">
        <v>316.741241</v>
      </c>
      <c r="X14" s="1">
        <v>324.10650600000002</v>
      </c>
      <c r="Y14" s="1">
        <v>326.81607100000002</v>
      </c>
      <c r="Z14" s="1">
        <v>331.551605</v>
      </c>
      <c r="AA14" s="1">
        <v>335.90655500000003</v>
      </c>
      <c r="AB14" s="1">
        <v>341.80087300000002</v>
      </c>
      <c r="AC14" s="1">
        <v>347.21346999999997</v>
      </c>
      <c r="AD14" s="1">
        <v>352.04135100000002</v>
      </c>
      <c r="AE14" s="2">
        <v>1.4031520504387489</v>
      </c>
    </row>
    <row r="15" spans="1:31" x14ac:dyDescent="0.25">
      <c r="A15" s="1" t="s">
        <v>28</v>
      </c>
      <c r="B15" s="1" t="s">
        <v>14</v>
      </c>
      <c r="C15" s="1" t="s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9.7136E-2</v>
      </c>
      <c r="L15" s="1">
        <v>0.131545</v>
      </c>
      <c r="M15" s="1">
        <v>9.2063000000000006E-2</v>
      </c>
      <c r="N15" s="1">
        <v>0.20402400000000001</v>
      </c>
      <c r="O15" s="1">
        <v>0.53945900000000002</v>
      </c>
      <c r="P15" s="1">
        <v>0.66428299999999996</v>
      </c>
      <c r="Q15" s="1">
        <v>0.71117300000000006</v>
      </c>
      <c r="R15" s="1">
        <v>0.77367900000000001</v>
      </c>
      <c r="S15" s="1">
        <v>0.97688600000000003</v>
      </c>
      <c r="T15" s="1">
        <v>0.97688600000000003</v>
      </c>
      <c r="U15" s="1">
        <v>0.841642</v>
      </c>
      <c r="V15" s="1">
        <v>0.74850899999999998</v>
      </c>
      <c r="W15" s="1">
        <v>0.63841899999999996</v>
      </c>
      <c r="X15" s="1">
        <v>0.51730500000000001</v>
      </c>
      <c r="Y15" s="1">
        <v>0.23929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" t="e">
        <f>(AD15-D15)/D15</f>
        <v>#DIV/0!</v>
      </c>
    </row>
    <row r="16" spans="1:31" x14ac:dyDescent="0.25">
      <c r="A16" s="1" t="s">
        <v>16</v>
      </c>
      <c r="B16" s="1" t="s">
        <v>17</v>
      </c>
      <c r="C16" s="1" t="s">
        <v>3</v>
      </c>
      <c r="D16" s="1">
        <v>105.12303900000001</v>
      </c>
      <c r="E16" s="1">
        <v>107.94721199999999</v>
      </c>
      <c r="F16" s="1">
        <v>113.12307</v>
      </c>
      <c r="G16" s="1">
        <v>114.80719000000001</v>
      </c>
      <c r="H16" s="1">
        <v>115.534401</v>
      </c>
      <c r="I16" s="1">
        <v>116.82959700000001</v>
      </c>
      <c r="J16" s="1">
        <v>118.52093499999999</v>
      </c>
      <c r="K16" s="1">
        <v>120.10964199999999</v>
      </c>
      <c r="L16" s="1">
        <v>121.690102</v>
      </c>
      <c r="M16" s="1">
        <v>122.87969200000001</v>
      </c>
      <c r="N16" s="1">
        <v>125.013756</v>
      </c>
      <c r="O16" s="1">
        <v>126.38537599999999</v>
      </c>
      <c r="P16" s="1">
        <v>127.71266199999999</v>
      </c>
      <c r="Q16" s="1">
        <v>129.305328</v>
      </c>
      <c r="R16" s="1">
        <v>130.91085799999999</v>
      </c>
      <c r="S16" s="1">
        <v>132.42416399999999</v>
      </c>
      <c r="T16" s="1">
        <v>133.204803</v>
      </c>
      <c r="U16" s="1">
        <v>133.93229700000001</v>
      </c>
      <c r="V16" s="1">
        <v>134.99437</v>
      </c>
      <c r="W16" s="1">
        <v>136.05032299999999</v>
      </c>
      <c r="X16" s="1">
        <v>137.09698499999999</v>
      </c>
      <c r="Y16" s="1">
        <v>137.965103</v>
      </c>
      <c r="Z16" s="1">
        <v>138.61952199999999</v>
      </c>
      <c r="AA16" s="1">
        <v>139.248718</v>
      </c>
      <c r="AB16" s="1">
        <v>140.37579299999999</v>
      </c>
      <c r="AC16" s="1">
        <v>141.315506</v>
      </c>
      <c r="AD16" s="1">
        <v>142.156509</v>
      </c>
      <c r="AE16" s="2" cm="1">
        <f t="array" ref="AE16:AE20">(AD16:AD20-D16:D20)/D16:D20</f>
        <v>0.35228690449103162</v>
      </c>
    </row>
    <row r="17" spans="1:31" x14ac:dyDescent="0.25">
      <c r="A17" s="1" t="s">
        <v>16</v>
      </c>
      <c r="B17" s="1" t="s">
        <v>18</v>
      </c>
      <c r="C17" s="1" t="s">
        <v>3</v>
      </c>
      <c r="D17" s="1">
        <v>16.818604000000001</v>
      </c>
      <c r="E17" s="1">
        <v>16.818604000000001</v>
      </c>
      <c r="F17" s="1">
        <v>16.818604000000001</v>
      </c>
      <c r="G17" s="1">
        <v>16.818604000000001</v>
      </c>
      <c r="H17" s="1">
        <v>16.818604000000001</v>
      </c>
      <c r="I17" s="1">
        <v>16.818604000000001</v>
      </c>
      <c r="J17" s="1">
        <v>16.818604000000001</v>
      </c>
      <c r="K17" s="1">
        <v>16.818604000000001</v>
      </c>
      <c r="L17" s="1">
        <v>16.818604000000001</v>
      </c>
      <c r="M17" s="1">
        <v>16.818604000000001</v>
      </c>
      <c r="N17" s="1">
        <v>16.818604000000001</v>
      </c>
      <c r="O17" s="1">
        <v>16.818604000000001</v>
      </c>
      <c r="P17" s="1">
        <v>16.818604000000001</v>
      </c>
      <c r="Q17" s="1">
        <v>16.818604000000001</v>
      </c>
      <c r="R17" s="1">
        <v>16.818604000000001</v>
      </c>
      <c r="S17" s="1">
        <v>16.818604000000001</v>
      </c>
      <c r="T17" s="1">
        <v>16.818604000000001</v>
      </c>
      <c r="U17" s="1">
        <v>16.818604000000001</v>
      </c>
      <c r="V17" s="1">
        <v>16.818604000000001</v>
      </c>
      <c r="W17" s="1">
        <v>16.818604000000001</v>
      </c>
      <c r="X17" s="1">
        <v>16.818604000000001</v>
      </c>
      <c r="Y17" s="1">
        <v>16.818604000000001</v>
      </c>
      <c r="Z17" s="1">
        <v>16.818604000000001</v>
      </c>
      <c r="AA17" s="1">
        <v>16.818604000000001</v>
      </c>
      <c r="AB17" s="1">
        <v>16.818604000000001</v>
      </c>
      <c r="AC17" s="1">
        <v>16.818604000000001</v>
      </c>
      <c r="AD17" s="1">
        <v>16.818604000000001</v>
      </c>
      <c r="AE17" s="2">
        <v>0</v>
      </c>
    </row>
    <row r="18" spans="1:31" x14ac:dyDescent="0.25">
      <c r="A18" s="1" t="s">
        <v>16</v>
      </c>
      <c r="B18" s="1" t="s">
        <v>19</v>
      </c>
      <c r="C18" s="1" t="s">
        <v>3</v>
      </c>
      <c r="D18" s="1">
        <v>88.304435999999995</v>
      </c>
      <c r="E18" s="1">
        <v>91.128608999999997</v>
      </c>
      <c r="F18" s="1">
        <v>96.304466000000005</v>
      </c>
      <c r="G18" s="1">
        <v>97.988585999999998</v>
      </c>
      <c r="H18" s="1">
        <v>98.715796999999995</v>
      </c>
      <c r="I18" s="1">
        <v>100.010994</v>
      </c>
      <c r="J18" s="1">
        <v>101.702332</v>
      </c>
      <c r="K18" s="1">
        <v>103.291039</v>
      </c>
      <c r="L18" s="1">
        <v>104.871498</v>
      </c>
      <c r="M18" s="1">
        <v>106.061089</v>
      </c>
      <c r="N18" s="1">
        <v>108.19515199999999</v>
      </c>
      <c r="O18" s="1">
        <v>109.566772</v>
      </c>
      <c r="P18" s="1">
        <v>110.894058</v>
      </c>
      <c r="Q18" s="1">
        <v>112.48672500000001</v>
      </c>
      <c r="R18" s="1">
        <v>114.09225499999999</v>
      </c>
      <c r="S18" s="1">
        <v>115.60556</v>
      </c>
      <c r="T18" s="1">
        <v>116.3862</v>
      </c>
      <c r="U18" s="1">
        <v>117.113693</v>
      </c>
      <c r="V18" s="1">
        <v>118.175766</v>
      </c>
      <c r="W18" s="1">
        <v>119.23172</v>
      </c>
      <c r="X18" s="1">
        <v>120.278381</v>
      </c>
      <c r="Y18" s="1">
        <v>121.1465</v>
      </c>
      <c r="Z18" s="1">
        <v>121.80091899999999</v>
      </c>
      <c r="AA18" s="1">
        <v>122.430115</v>
      </c>
      <c r="AB18" s="1">
        <v>123.55719000000001</v>
      </c>
      <c r="AC18" s="1">
        <v>124.49690200000001</v>
      </c>
      <c r="AD18" s="1">
        <v>125.337906</v>
      </c>
      <c r="AE18" s="2">
        <v>0.41938402732111907</v>
      </c>
    </row>
    <row r="19" spans="1:31" x14ac:dyDescent="0.25">
      <c r="A19" s="1" t="s">
        <v>16</v>
      </c>
      <c r="B19" s="1" t="s">
        <v>20</v>
      </c>
      <c r="C19" s="1" t="s">
        <v>3</v>
      </c>
      <c r="D19" s="1">
        <v>5.8430999999999997E-2</v>
      </c>
      <c r="E19" s="1">
        <v>0.38359599999999999</v>
      </c>
      <c r="F19" s="1">
        <v>0.927234</v>
      </c>
      <c r="G19" s="1">
        <v>1.7604010000000001</v>
      </c>
      <c r="H19" s="1">
        <v>3.0242309999999999</v>
      </c>
      <c r="I19" s="1">
        <v>4.5378119999999997</v>
      </c>
      <c r="J19" s="1">
        <v>6.2901740000000004</v>
      </c>
      <c r="K19" s="1">
        <v>10.249314999999999</v>
      </c>
      <c r="L19" s="1">
        <v>19.313257</v>
      </c>
      <c r="M19" s="1">
        <v>27.686568999999999</v>
      </c>
      <c r="N19" s="1">
        <v>35.432639999999999</v>
      </c>
      <c r="O19" s="1">
        <v>42.660533999999998</v>
      </c>
      <c r="P19" s="1">
        <v>49.579247000000002</v>
      </c>
      <c r="Q19" s="1">
        <v>56.152434999999997</v>
      </c>
      <c r="R19" s="1">
        <v>62.448563</v>
      </c>
      <c r="S19" s="1">
        <v>68.471633999999995</v>
      </c>
      <c r="T19" s="1">
        <v>74.258369000000002</v>
      </c>
      <c r="U19" s="1">
        <v>79.655922000000004</v>
      </c>
      <c r="V19" s="1">
        <v>84.699439999999996</v>
      </c>
      <c r="W19" s="1">
        <v>89.286109999999994</v>
      </c>
      <c r="X19" s="1">
        <v>93.524849000000003</v>
      </c>
      <c r="Y19" s="1">
        <v>97.548653000000002</v>
      </c>
      <c r="Z19" s="1">
        <v>101.17672</v>
      </c>
      <c r="AA19" s="1">
        <v>104.45649</v>
      </c>
      <c r="AB19" s="1">
        <v>107.59000399999999</v>
      </c>
      <c r="AC19" s="1">
        <v>110.602592</v>
      </c>
      <c r="AD19" s="1">
        <v>113.34142300000001</v>
      </c>
      <c r="AE19" s="2">
        <v>1938.748130273314</v>
      </c>
    </row>
    <row r="20" spans="1:31" x14ac:dyDescent="0.25">
      <c r="A20" s="1" t="s">
        <v>16</v>
      </c>
      <c r="B20" s="1" t="s">
        <v>21</v>
      </c>
      <c r="C20" s="1" t="s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 t="e">
        <v>#DIV/0!</v>
      </c>
    </row>
    <row r="21" spans="1:31" x14ac:dyDescent="0.25">
      <c r="A21" s="1" t="s">
        <v>22</v>
      </c>
      <c r="B21" s="1" t="s">
        <v>24</v>
      </c>
      <c r="C21" s="1" t="s">
        <v>23</v>
      </c>
      <c r="D21" s="1">
        <v>7.0588930000000003</v>
      </c>
      <c r="E21" s="1">
        <v>8.0154879999999995</v>
      </c>
      <c r="F21" s="1">
        <v>8.6445159999999994</v>
      </c>
      <c r="G21" s="1">
        <v>9.0074339999999999</v>
      </c>
      <c r="H21" s="1">
        <v>9.3371779999999998</v>
      </c>
      <c r="I21" s="1">
        <v>9.7864489999999993</v>
      </c>
      <c r="J21" s="1">
        <v>10.189287999999999</v>
      </c>
      <c r="K21" s="1">
        <v>10.662967999999999</v>
      </c>
      <c r="L21" s="1">
        <v>9.1526169999999993</v>
      </c>
      <c r="M21" s="1">
        <v>9.6642379999999992</v>
      </c>
      <c r="N21" s="1">
        <v>9.9774510000000003</v>
      </c>
      <c r="O21" s="1">
        <v>10.140625999999999</v>
      </c>
      <c r="P21" s="1">
        <v>10.088887</v>
      </c>
      <c r="Q21" s="1">
        <v>9.9455340000000003</v>
      </c>
      <c r="R21" s="1">
        <v>9.8229240000000004</v>
      </c>
      <c r="S21" s="1">
        <v>11.387606999999999</v>
      </c>
      <c r="T21" s="1">
        <v>11.281032</v>
      </c>
      <c r="U21" s="1">
        <v>11.304092000000001</v>
      </c>
      <c r="V21" s="1">
        <v>11.170152</v>
      </c>
      <c r="W21" s="1">
        <v>11.200430000000001</v>
      </c>
      <c r="X21" s="1">
        <v>11.213039999999999</v>
      </c>
      <c r="Y21" s="1">
        <v>9.9591370000000001</v>
      </c>
      <c r="Z21" s="1">
        <v>10.054971</v>
      </c>
      <c r="AA21" s="1">
        <v>10.046191</v>
      </c>
      <c r="AB21" s="1">
        <v>9.9903209999999998</v>
      </c>
      <c r="AC21" s="1">
        <v>9.9087510000000005</v>
      </c>
      <c r="AD21" s="1">
        <v>9.8707139999999995</v>
      </c>
      <c r="AE21" s="2">
        <f>(AD21-D21)/D21</f>
        <v>0.39833738802953933</v>
      </c>
    </row>
    <row r="22" spans="1:31" x14ac:dyDescent="0.25">
      <c r="A22" s="1" t="s">
        <v>25</v>
      </c>
      <c r="B22" s="1" t="s">
        <v>26</v>
      </c>
      <c r="C22" s="1" t="s">
        <v>23</v>
      </c>
      <c r="D22" s="1">
        <v>9.5224150000000005</v>
      </c>
      <c r="E22" s="1">
        <v>10.479010000000001</v>
      </c>
      <c r="F22" s="1">
        <v>11.108036999999999</v>
      </c>
      <c r="G22" s="1">
        <v>11.470955999999999</v>
      </c>
      <c r="H22" s="1">
        <v>11.800700000000001</v>
      </c>
      <c r="I22" s="1">
        <v>12.249971</v>
      </c>
      <c r="J22" s="1">
        <v>12.652810000000001</v>
      </c>
      <c r="K22" s="1">
        <v>13.126488999999999</v>
      </c>
      <c r="L22" s="1">
        <v>11.616139</v>
      </c>
      <c r="M22" s="1">
        <v>12.12776</v>
      </c>
      <c r="N22" s="1">
        <v>12.440972</v>
      </c>
      <c r="O22" s="1">
        <v>12.604148</v>
      </c>
      <c r="P22" s="1">
        <v>12.552409000000001</v>
      </c>
      <c r="Q22" s="1">
        <v>12.409056</v>
      </c>
      <c r="R22" s="1">
        <v>12.286447000000001</v>
      </c>
      <c r="S22" s="1">
        <v>13.851129</v>
      </c>
      <c r="T22" s="1">
        <v>13.744554000000001</v>
      </c>
      <c r="U22" s="1">
        <v>13.767614</v>
      </c>
      <c r="V22" s="1">
        <v>13.633673999999999</v>
      </c>
      <c r="W22" s="1">
        <v>13.663952</v>
      </c>
      <c r="X22" s="1">
        <v>13.676563</v>
      </c>
      <c r="Y22" s="1">
        <v>12.422658999999999</v>
      </c>
      <c r="Z22" s="1">
        <v>12.518494</v>
      </c>
      <c r="AA22" s="1">
        <v>12.509713</v>
      </c>
      <c r="AB22" s="1">
        <v>12.453843000000001</v>
      </c>
      <c r="AC22" s="1">
        <v>12.372272000000001</v>
      </c>
      <c r="AD22" s="1">
        <v>12.334237</v>
      </c>
      <c r="AE22" s="2" cm="1">
        <f t="array" ref="AE22:AE24">(AD22:AD24-D22:D24)/D22:D24</f>
        <v>0.29528454703980023</v>
      </c>
    </row>
    <row r="23" spans="1:31" x14ac:dyDescent="0.25">
      <c r="A23" s="1" t="s">
        <v>25</v>
      </c>
      <c r="B23" s="1" t="s">
        <v>20</v>
      </c>
      <c r="C23" s="1" t="s">
        <v>23</v>
      </c>
      <c r="D23" s="1">
        <v>59.613334999999999</v>
      </c>
      <c r="E23" s="1">
        <v>60.570351000000002</v>
      </c>
      <c r="F23" s="1">
        <v>61.199654000000002</v>
      </c>
      <c r="G23" s="1">
        <v>61.562584000000001</v>
      </c>
      <c r="H23" s="1">
        <v>61.892319000000001</v>
      </c>
      <c r="I23" s="1">
        <v>62.341621000000004</v>
      </c>
      <c r="J23" s="1">
        <v>62.744453</v>
      </c>
      <c r="K23" s="1">
        <v>63.218131999999997</v>
      </c>
      <c r="L23" s="1">
        <v>61.707751999999999</v>
      </c>
      <c r="M23" s="1">
        <v>62.219375999999997</v>
      </c>
      <c r="N23" s="1">
        <v>62.532584999999997</v>
      </c>
      <c r="O23" s="1">
        <v>62.695759000000002</v>
      </c>
      <c r="P23" s="1">
        <v>62.644019999999998</v>
      </c>
      <c r="Q23" s="1">
        <v>62.500670999999997</v>
      </c>
      <c r="R23" s="1">
        <v>62.378062999999997</v>
      </c>
      <c r="S23" s="1">
        <v>63.942745000000002</v>
      </c>
      <c r="T23" s="1">
        <v>63.836162999999999</v>
      </c>
      <c r="U23" s="1">
        <v>63.859229999999997</v>
      </c>
      <c r="V23" s="1">
        <v>63.725292000000003</v>
      </c>
      <c r="W23" s="1">
        <v>63.755566000000002</v>
      </c>
      <c r="X23" s="1">
        <v>63.768219000000002</v>
      </c>
      <c r="Y23" s="1">
        <v>62.514277999999997</v>
      </c>
      <c r="Z23" s="1">
        <v>62.610111000000003</v>
      </c>
      <c r="AA23" s="1">
        <v>62.601326</v>
      </c>
      <c r="AB23" s="1">
        <v>62.545459999999999</v>
      </c>
      <c r="AC23" s="1">
        <v>62.463886000000002</v>
      </c>
      <c r="AD23" s="1">
        <v>62.425846</v>
      </c>
      <c r="AE23" s="2">
        <v>4.7179225923193201E-2</v>
      </c>
    </row>
    <row r="24" spans="1:31" x14ac:dyDescent="0.25">
      <c r="A24" s="1" t="s">
        <v>25</v>
      </c>
      <c r="B24" s="1" t="s">
        <v>21</v>
      </c>
      <c r="C24" s="1" t="s">
        <v>23</v>
      </c>
      <c r="D24" s="1">
        <v>9.5224150000000005</v>
      </c>
      <c r="E24" s="1">
        <v>10.479010000000001</v>
      </c>
      <c r="F24" s="1">
        <v>11.108036999999999</v>
      </c>
      <c r="G24" s="1">
        <v>11.470955999999999</v>
      </c>
      <c r="H24" s="1">
        <v>11.800700000000001</v>
      </c>
      <c r="I24" s="1">
        <v>12.249971</v>
      </c>
      <c r="J24" s="1">
        <v>12.652810000000001</v>
      </c>
      <c r="K24" s="1">
        <v>13.126488999999999</v>
      </c>
      <c r="L24" s="1">
        <v>11.616139</v>
      </c>
      <c r="M24" s="1">
        <v>12.12776</v>
      </c>
      <c r="N24" s="1">
        <v>12.440972</v>
      </c>
      <c r="O24" s="1">
        <v>12.604148</v>
      </c>
      <c r="P24" s="1">
        <v>12.552409000000001</v>
      </c>
      <c r="Q24" s="1">
        <v>12.409056</v>
      </c>
      <c r="R24" s="1">
        <v>12.286447000000001</v>
      </c>
      <c r="S24" s="1">
        <v>13.851129</v>
      </c>
      <c r="T24" s="1">
        <v>13.744554000000001</v>
      </c>
      <c r="U24" s="1">
        <v>13.767614</v>
      </c>
      <c r="V24" s="1">
        <v>13.633673999999999</v>
      </c>
      <c r="W24" s="1">
        <v>13.663952</v>
      </c>
      <c r="X24" s="1">
        <v>13.676563</v>
      </c>
      <c r="Y24" s="1">
        <v>12.422658999999999</v>
      </c>
      <c r="Z24" s="1">
        <v>12.518494</v>
      </c>
      <c r="AA24" s="1">
        <v>12.509713</v>
      </c>
      <c r="AB24" s="1">
        <v>12.453843000000001</v>
      </c>
      <c r="AC24" s="1">
        <v>12.372272000000001</v>
      </c>
      <c r="AD24" s="1">
        <v>12.334237</v>
      </c>
      <c r="AE24" s="2">
        <v>0.29528454703980023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4"/>
  <sheetViews>
    <sheetView tabSelected="1" workbookViewId="0">
      <selection sqref="A1:XFD1"/>
    </sheetView>
  </sheetViews>
  <sheetFormatPr defaultColWidth="8.7109375" defaultRowHeight="15" x14ac:dyDescent="0.25"/>
  <cols>
    <col min="1" max="1" width="51.5703125" style="1" bestFit="1" customWidth="1"/>
    <col min="2" max="2" width="65.85546875" style="1" bestFit="1" customWidth="1"/>
    <col min="3" max="30" width="8.7109375" style="1"/>
    <col min="31" max="31" width="17.5703125" style="1" bestFit="1" customWidth="1"/>
    <col min="32" max="16384" width="8.7109375" style="1"/>
  </cols>
  <sheetData>
    <row r="1" spans="1:31" s="4" customFormat="1" ht="15.75" thickBot="1" x14ac:dyDescent="0.3">
      <c r="A1" s="4" t="s">
        <v>29</v>
      </c>
      <c r="B1" s="4" t="s">
        <v>30</v>
      </c>
      <c r="C1" s="4" t="s">
        <v>0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  <c r="O1" s="4">
        <v>2035</v>
      </c>
      <c r="P1" s="4">
        <v>2036</v>
      </c>
      <c r="Q1" s="4">
        <v>2037</v>
      </c>
      <c r="R1" s="4">
        <v>2038</v>
      </c>
      <c r="S1" s="4">
        <v>2039</v>
      </c>
      <c r="T1" s="4">
        <v>2040</v>
      </c>
      <c r="U1" s="4">
        <v>2041</v>
      </c>
      <c r="V1" s="4">
        <v>2042</v>
      </c>
      <c r="W1" s="4">
        <v>2043</v>
      </c>
      <c r="X1" s="4">
        <v>2044</v>
      </c>
      <c r="Y1" s="4">
        <v>2045</v>
      </c>
      <c r="Z1" s="4">
        <v>2046</v>
      </c>
      <c r="AA1" s="4">
        <v>2047</v>
      </c>
      <c r="AB1" s="4">
        <v>2048</v>
      </c>
      <c r="AC1" s="4">
        <v>2049</v>
      </c>
      <c r="AD1" s="4">
        <v>2050</v>
      </c>
      <c r="AE1" s="4" t="s">
        <v>1</v>
      </c>
    </row>
    <row r="2" spans="1:31" ht="15.75" thickTop="1" x14ac:dyDescent="0.25">
      <c r="A2" s="1" t="s">
        <v>31</v>
      </c>
      <c r="B2" s="1" t="s">
        <v>2</v>
      </c>
      <c r="C2" s="1" t="s">
        <v>3</v>
      </c>
      <c r="D2" s="1">
        <v>253.87150600000001</v>
      </c>
      <c r="E2" s="1">
        <v>241.238831</v>
      </c>
      <c r="F2" s="1">
        <v>248.518631</v>
      </c>
      <c r="G2" s="1">
        <v>250.68649300000001</v>
      </c>
      <c r="H2" s="1">
        <v>250.39863600000001</v>
      </c>
      <c r="I2" s="1">
        <v>252.954758</v>
      </c>
      <c r="J2" s="1">
        <v>257.20092799999998</v>
      </c>
      <c r="K2" s="1">
        <v>264.584564</v>
      </c>
      <c r="L2" s="1">
        <v>268.77728300000001</v>
      </c>
      <c r="M2" s="1">
        <v>267.631866</v>
      </c>
      <c r="N2" s="1">
        <v>266.51895100000002</v>
      </c>
      <c r="O2" s="1">
        <v>265.50405899999998</v>
      </c>
      <c r="P2" s="1">
        <v>273.984283</v>
      </c>
      <c r="Q2" s="1">
        <v>306.20907599999998</v>
      </c>
      <c r="R2" s="1">
        <v>310.33975199999998</v>
      </c>
      <c r="S2" s="1">
        <v>312.55023199999999</v>
      </c>
      <c r="T2" s="1">
        <v>314.15963699999998</v>
      </c>
      <c r="U2" s="1">
        <v>317.02468900000002</v>
      </c>
      <c r="V2" s="1">
        <v>317.98232999999999</v>
      </c>
      <c r="W2" s="1">
        <v>322.154358</v>
      </c>
      <c r="X2" s="1">
        <v>336.98840300000001</v>
      </c>
      <c r="Y2" s="1">
        <v>355.59124800000001</v>
      </c>
      <c r="Z2" s="1">
        <v>366.56448399999999</v>
      </c>
      <c r="AA2" s="1">
        <v>373.671783</v>
      </c>
      <c r="AB2" s="1">
        <v>371.902557</v>
      </c>
      <c r="AC2" s="1">
        <v>372.42721599999999</v>
      </c>
      <c r="AD2" s="1">
        <v>373.98364299999997</v>
      </c>
      <c r="AE2" s="2" cm="1">
        <f t="array" ref="AE2:AE6">(AD2:AD6-D2:D6)/D2:D6</f>
        <v>0.47312177287040619</v>
      </c>
    </row>
    <row r="3" spans="1:31" x14ac:dyDescent="0.25">
      <c r="A3" s="1" t="s">
        <v>31</v>
      </c>
      <c r="B3" s="1" t="s">
        <v>4</v>
      </c>
      <c r="C3" s="1" t="s">
        <v>3</v>
      </c>
      <c r="D3" s="1">
        <v>17.502251000000001</v>
      </c>
      <c r="E3" s="1">
        <v>30.965451999999999</v>
      </c>
      <c r="F3" s="1">
        <v>26.926515999999999</v>
      </c>
      <c r="G3" s="1">
        <v>26.926515999999999</v>
      </c>
      <c r="H3" s="1">
        <v>26.926515999999999</v>
      </c>
      <c r="I3" s="1">
        <v>26.926515999999999</v>
      </c>
      <c r="J3" s="1">
        <v>26.926515999999999</v>
      </c>
      <c r="K3" s="1">
        <v>26.926515999999999</v>
      </c>
      <c r="L3" s="1">
        <v>33.690941000000002</v>
      </c>
      <c r="M3" s="1">
        <v>43.424438000000002</v>
      </c>
      <c r="N3" s="1">
        <v>50.877735000000001</v>
      </c>
      <c r="O3" s="1">
        <v>58.610019999999999</v>
      </c>
      <c r="P3" s="1">
        <v>58.610019999999999</v>
      </c>
      <c r="Q3" s="1">
        <v>31.683503999999999</v>
      </c>
      <c r="R3" s="1">
        <v>31.683503999999999</v>
      </c>
      <c r="S3" s="1">
        <v>31.683503999999999</v>
      </c>
      <c r="T3" s="1">
        <v>31.683503999999999</v>
      </c>
      <c r="U3" s="1">
        <v>31.683503999999999</v>
      </c>
      <c r="V3" s="1">
        <v>31.683503999999999</v>
      </c>
      <c r="W3" s="1">
        <v>31.683503999999999</v>
      </c>
      <c r="X3" s="1">
        <v>24.919074999999999</v>
      </c>
      <c r="Y3" s="1">
        <v>15.18558</v>
      </c>
      <c r="Z3" s="1">
        <v>7.7322850000000001</v>
      </c>
      <c r="AA3" s="1">
        <v>0</v>
      </c>
      <c r="AB3" s="1">
        <v>0</v>
      </c>
      <c r="AC3" s="1">
        <v>0</v>
      </c>
      <c r="AD3" s="1">
        <v>0</v>
      </c>
      <c r="AE3" s="2">
        <v>-1</v>
      </c>
    </row>
    <row r="4" spans="1:31" x14ac:dyDescent="0.25">
      <c r="A4" s="1" t="s">
        <v>31</v>
      </c>
      <c r="B4" s="1" t="s">
        <v>5</v>
      </c>
      <c r="C4" s="1" t="s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 t="e">
        <v>#DIV/0!</v>
      </c>
    </row>
    <row r="5" spans="1:31" x14ac:dyDescent="0.25">
      <c r="A5" s="1" t="s">
        <v>31</v>
      </c>
      <c r="B5" s="1" t="s">
        <v>6</v>
      </c>
      <c r="C5" s="1" t="s">
        <v>3</v>
      </c>
      <c r="D5" s="1">
        <v>187.996689</v>
      </c>
      <c r="E5" s="1">
        <v>191.60707099999999</v>
      </c>
      <c r="F5" s="1">
        <v>193.60943599999999</v>
      </c>
      <c r="G5" s="1">
        <v>193.81175200000001</v>
      </c>
      <c r="H5" s="1">
        <v>194.16949500000001</v>
      </c>
      <c r="I5" s="1">
        <v>194.31178299999999</v>
      </c>
      <c r="J5" s="1">
        <v>194.23434399999999</v>
      </c>
      <c r="K5" s="1">
        <v>194.11676</v>
      </c>
      <c r="L5" s="1">
        <v>196.158905</v>
      </c>
      <c r="M5" s="1">
        <v>197.47602800000001</v>
      </c>
      <c r="N5" s="1">
        <v>202.88767999999999</v>
      </c>
      <c r="O5" s="1">
        <v>205.87463399999999</v>
      </c>
      <c r="P5" s="1">
        <v>207.79513499999999</v>
      </c>
      <c r="Q5" s="1">
        <v>212.36520400000001</v>
      </c>
      <c r="R5" s="1">
        <v>217.53710899999999</v>
      </c>
      <c r="S5" s="1">
        <v>224.14482100000001</v>
      </c>
      <c r="T5" s="1">
        <v>230.69804400000001</v>
      </c>
      <c r="U5" s="1">
        <v>235.386505</v>
      </c>
      <c r="V5" s="1">
        <v>241.538544</v>
      </c>
      <c r="W5" s="1">
        <v>243.98324600000001</v>
      </c>
      <c r="X5" s="1">
        <v>242.23474100000001</v>
      </c>
      <c r="Y5" s="1">
        <v>239.05761699999999</v>
      </c>
      <c r="Z5" s="1">
        <v>240.46868900000001</v>
      </c>
      <c r="AA5" s="1">
        <v>245.17523199999999</v>
      </c>
      <c r="AB5" s="1">
        <v>251.65313699999999</v>
      </c>
      <c r="AC5" s="1">
        <v>255.60948200000001</v>
      </c>
      <c r="AD5" s="1">
        <v>258.357483</v>
      </c>
      <c r="AE5" s="2">
        <v>0.37426613401686026</v>
      </c>
    </row>
    <row r="6" spans="1:31" x14ac:dyDescent="0.25">
      <c r="A6" s="1" t="s">
        <v>31</v>
      </c>
      <c r="B6" s="3" t="s">
        <v>7</v>
      </c>
      <c r="C6" s="1" t="s">
        <v>3</v>
      </c>
      <c r="D6" s="1">
        <v>459.37042200000002</v>
      </c>
      <c r="E6" s="1">
        <v>463.81133999999997</v>
      </c>
      <c r="F6" s="1">
        <v>469.054596</v>
      </c>
      <c r="G6" s="1">
        <v>471.42474399999998</v>
      </c>
      <c r="H6" s="1">
        <v>471.49465900000001</v>
      </c>
      <c r="I6" s="1">
        <v>474.19305400000002</v>
      </c>
      <c r="J6" s="1">
        <v>478.36175500000002</v>
      </c>
      <c r="K6" s="1">
        <v>485.627838</v>
      </c>
      <c r="L6" s="1">
        <v>498.62713600000001</v>
      </c>
      <c r="M6" s="1">
        <v>508.53234900000001</v>
      </c>
      <c r="N6" s="1">
        <v>520.28436299999998</v>
      </c>
      <c r="O6" s="1">
        <v>529.98870799999997</v>
      </c>
      <c r="P6" s="1">
        <v>540.38940400000001</v>
      </c>
      <c r="Q6" s="1">
        <v>550.25781199999994</v>
      </c>
      <c r="R6" s="1">
        <v>559.56036400000005</v>
      </c>
      <c r="S6" s="1">
        <v>568.378601</v>
      </c>
      <c r="T6" s="1">
        <v>576.54119900000001</v>
      </c>
      <c r="U6" s="1">
        <v>584.09472700000003</v>
      </c>
      <c r="V6" s="1">
        <v>591.20434599999999</v>
      </c>
      <c r="W6" s="1">
        <v>597.82116699999995</v>
      </c>
      <c r="X6" s="1">
        <v>604.14221199999997</v>
      </c>
      <c r="Y6" s="1">
        <v>609.83441200000004</v>
      </c>
      <c r="Z6" s="1">
        <v>614.76544200000001</v>
      </c>
      <c r="AA6" s="1">
        <v>618.84704599999998</v>
      </c>
      <c r="AB6" s="1">
        <v>623.55566399999998</v>
      </c>
      <c r="AC6" s="1">
        <v>628.03668200000004</v>
      </c>
      <c r="AD6" s="1">
        <v>632.34112500000003</v>
      </c>
      <c r="AE6" s="2">
        <v>0.37653861614973549</v>
      </c>
    </row>
    <row r="7" spans="1:31" x14ac:dyDescent="0.25">
      <c r="A7" s="1" t="s">
        <v>8</v>
      </c>
      <c r="B7" s="1" t="s">
        <v>9</v>
      </c>
      <c r="C7" s="1" t="s">
        <v>3</v>
      </c>
      <c r="D7" s="1">
        <v>374.23452800000001</v>
      </c>
      <c r="E7" s="1">
        <v>376.62863199999998</v>
      </c>
      <c r="F7" s="1">
        <v>380.70233200000001</v>
      </c>
      <c r="G7" s="1">
        <v>383.67886399999998</v>
      </c>
      <c r="H7" s="1">
        <v>383.28363000000002</v>
      </c>
      <c r="I7" s="1">
        <v>386.79324300000002</v>
      </c>
      <c r="J7" s="1">
        <v>392.62338299999999</v>
      </c>
      <c r="K7" s="1">
        <v>402.76138300000002</v>
      </c>
      <c r="L7" s="1">
        <v>418.43579099999999</v>
      </c>
      <c r="M7" s="1">
        <v>431.13394199999999</v>
      </c>
      <c r="N7" s="1">
        <v>440.533569</v>
      </c>
      <c r="O7" s="1">
        <v>450.47683699999999</v>
      </c>
      <c r="P7" s="1">
        <v>462.12039199999998</v>
      </c>
      <c r="Q7" s="1">
        <v>466.88757299999997</v>
      </c>
      <c r="R7" s="1">
        <v>472.55911300000002</v>
      </c>
      <c r="S7" s="1">
        <v>475.59423800000002</v>
      </c>
      <c r="T7" s="1">
        <v>477.80395499999997</v>
      </c>
      <c r="U7" s="1">
        <v>481.73776199999998</v>
      </c>
      <c r="V7" s="1">
        <v>483.05261200000001</v>
      </c>
      <c r="W7" s="1">
        <v>488.78097500000001</v>
      </c>
      <c r="X7" s="1">
        <v>499.23086499999999</v>
      </c>
      <c r="Y7" s="1">
        <v>510.502319</v>
      </c>
      <c r="Z7" s="1">
        <v>514.64117399999998</v>
      </c>
      <c r="AA7" s="1">
        <v>513.06304899999998</v>
      </c>
      <c r="AB7" s="1">
        <v>510.63388099999997</v>
      </c>
      <c r="AC7" s="1">
        <v>511.35418700000002</v>
      </c>
      <c r="AD7" s="1">
        <v>513.49127199999998</v>
      </c>
      <c r="AE7" s="2" cm="1">
        <f t="array" ref="AE7:AE9">(AD7:AD9-D7:D9)/D7:D9</f>
        <v>0.37211089191641872</v>
      </c>
    </row>
    <row r="8" spans="1:31" x14ac:dyDescent="0.25">
      <c r="A8" s="1" t="s">
        <v>8</v>
      </c>
      <c r="B8" s="1" t="s">
        <v>10</v>
      </c>
      <c r="C8" s="1" t="s">
        <v>3</v>
      </c>
      <c r="D8" s="1">
        <v>1.5153430000000001</v>
      </c>
      <c r="E8" s="1">
        <v>1.9875780000000001</v>
      </c>
      <c r="F8" s="1">
        <v>1.857548</v>
      </c>
      <c r="G8" s="1">
        <v>1.864778</v>
      </c>
      <c r="H8" s="1">
        <v>1.863818</v>
      </c>
      <c r="I8" s="1">
        <v>1.8723430000000001</v>
      </c>
      <c r="J8" s="1">
        <v>1.886504</v>
      </c>
      <c r="K8" s="1">
        <v>1.9111279999999999</v>
      </c>
      <c r="L8" s="1">
        <v>2.183548</v>
      </c>
      <c r="M8" s="1">
        <v>2.5515979999999998</v>
      </c>
      <c r="N8" s="1">
        <v>2.8326419999999999</v>
      </c>
      <c r="O8" s="1">
        <v>3.1246710000000002</v>
      </c>
      <c r="P8" s="1">
        <v>3.1529530000000001</v>
      </c>
      <c r="Q8" s="1">
        <v>2.2316880000000001</v>
      </c>
      <c r="R8" s="1">
        <v>2.2454640000000001</v>
      </c>
      <c r="S8" s="1">
        <v>2.2528359999999998</v>
      </c>
      <c r="T8" s="1">
        <v>2.2582040000000001</v>
      </c>
      <c r="U8" s="1">
        <v>2.2677589999999999</v>
      </c>
      <c r="V8" s="1">
        <v>2.2709519999999999</v>
      </c>
      <c r="W8" s="1">
        <v>2.2848660000000001</v>
      </c>
      <c r="X8" s="1">
        <v>2.0759020000000001</v>
      </c>
      <c r="Y8" s="1">
        <v>1.7660720000000001</v>
      </c>
      <c r="Z8" s="1">
        <v>1.5179119999999999</v>
      </c>
      <c r="AA8" s="1">
        <v>1.2462009999999999</v>
      </c>
      <c r="AB8" s="1">
        <v>1.2403010000000001</v>
      </c>
      <c r="AC8" s="1">
        <v>1.242051</v>
      </c>
      <c r="AD8" s="1">
        <v>1.247242</v>
      </c>
      <c r="AE8" s="2">
        <v>-0.1769243003069273</v>
      </c>
    </row>
    <row r="9" spans="1:31" x14ac:dyDescent="0.25">
      <c r="A9" s="1" t="s">
        <v>8</v>
      </c>
      <c r="B9" s="1" t="s">
        <v>11</v>
      </c>
      <c r="C9" s="1" t="s">
        <v>3</v>
      </c>
      <c r="D9" s="1">
        <v>375.74987800000002</v>
      </c>
      <c r="E9" s="1">
        <v>378.61621100000002</v>
      </c>
      <c r="F9" s="1">
        <v>382.55987499999998</v>
      </c>
      <c r="G9" s="1">
        <v>385.54363999999998</v>
      </c>
      <c r="H9" s="1">
        <v>385.14746100000002</v>
      </c>
      <c r="I9" s="1">
        <v>388.66558800000001</v>
      </c>
      <c r="J9" s="1">
        <v>394.50988799999999</v>
      </c>
      <c r="K9" s="1">
        <v>404.67251599999997</v>
      </c>
      <c r="L9" s="1">
        <v>420.61932400000001</v>
      </c>
      <c r="M9" s="1">
        <v>433.68554699999999</v>
      </c>
      <c r="N9" s="1">
        <v>443.36621100000002</v>
      </c>
      <c r="O9" s="1">
        <v>453.60150099999998</v>
      </c>
      <c r="P9" s="1">
        <v>465.273346</v>
      </c>
      <c r="Q9" s="1">
        <v>469.11926299999999</v>
      </c>
      <c r="R9" s="1">
        <v>474.80456500000003</v>
      </c>
      <c r="S9" s="1">
        <v>477.84707600000002</v>
      </c>
      <c r="T9" s="1">
        <v>480.062164</v>
      </c>
      <c r="U9" s="1">
        <v>484.00552399999998</v>
      </c>
      <c r="V9" s="1">
        <v>485.323578</v>
      </c>
      <c r="W9" s="1">
        <v>491.06585699999999</v>
      </c>
      <c r="X9" s="1">
        <v>501.30676299999999</v>
      </c>
      <c r="Y9" s="1">
        <v>512.268372</v>
      </c>
      <c r="Z9" s="1">
        <v>516.15905799999996</v>
      </c>
      <c r="AA9" s="1">
        <v>514.30926499999998</v>
      </c>
      <c r="AB9" s="1">
        <v>511.87417599999998</v>
      </c>
      <c r="AC9" s="1">
        <v>512.59625200000005</v>
      </c>
      <c r="AD9" s="1">
        <v>514.73852499999998</v>
      </c>
      <c r="AE9" s="2">
        <v>0.36989671890192855</v>
      </c>
    </row>
    <row r="10" spans="1:31" x14ac:dyDescent="0.25">
      <c r="A10" s="1" t="s">
        <v>27</v>
      </c>
      <c r="B10" s="1" t="s">
        <v>9</v>
      </c>
      <c r="C10" s="1" t="s">
        <v>3</v>
      </c>
      <c r="D10" s="1">
        <v>374.23452800000001</v>
      </c>
      <c r="E10" s="1">
        <v>376.62863199999998</v>
      </c>
      <c r="F10" s="1">
        <v>380.70233200000001</v>
      </c>
      <c r="G10" s="1">
        <v>383.67886399999998</v>
      </c>
      <c r="H10" s="1">
        <v>383.28363000000002</v>
      </c>
      <c r="I10" s="1">
        <v>386.79324300000002</v>
      </c>
      <c r="J10" s="1">
        <v>392.62338299999999</v>
      </c>
      <c r="K10" s="1">
        <v>402.76138300000002</v>
      </c>
      <c r="L10" s="1">
        <v>418.43579099999999</v>
      </c>
      <c r="M10" s="1">
        <v>431.13394199999999</v>
      </c>
      <c r="N10" s="1">
        <v>440.533569</v>
      </c>
      <c r="O10" s="1">
        <v>450.47683699999999</v>
      </c>
      <c r="P10" s="1">
        <v>462.12039199999998</v>
      </c>
      <c r="Q10" s="1">
        <v>466.88757299999997</v>
      </c>
      <c r="R10" s="1">
        <v>472.55911300000002</v>
      </c>
      <c r="S10" s="1">
        <v>475.59423800000002</v>
      </c>
      <c r="T10" s="1">
        <v>477.80395499999997</v>
      </c>
      <c r="U10" s="1">
        <v>481.73776199999998</v>
      </c>
      <c r="V10" s="1">
        <v>483.05261200000001</v>
      </c>
      <c r="W10" s="1">
        <v>488.78097500000001</v>
      </c>
      <c r="X10" s="1">
        <v>499.23086499999999</v>
      </c>
      <c r="Y10" s="1">
        <v>510.502319</v>
      </c>
      <c r="Z10" s="1">
        <v>514.64117399999998</v>
      </c>
      <c r="AA10" s="1">
        <v>513.06304899999998</v>
      </c>
      <c r="AB10" s="1">
        <v>510.63388099999997</v>
      </c>
      <c r="AC10" s="1">
        <v>511.35418700000002</v>
      </c>
      <c r="AD10" s="1">
        <v>513.49127199999998</v>
      </c>
      <c r="AE10" s="2" cm="1">
        <f t="array" ref="AE10:AE14">(AD10:AD14-D10:D14)/D10:D14</f>
        <v>0.37211089191641872</v>
      </c>
    </row>
    <row r="11" spans="1:31" x14ac:dyDescent="0.25">
      <c r="A11" s="1" t="s">
        <v>27</v>
      </c>
      <c r="B11" s="1" t="s">
        <v>12</v>
      </c>
      <c r="C11" s="1" t="s">
        <v>3</v>
      </c>
      <c r="D11" s="1">
        <v>319.38705399999998</v>
      </c>
      <c r="E11" s="1">
        <v>321.41351300000002</v>
      </c>
      <c r="F11" s="1">
        <v>324.89547700000003</v>
      </c>
      <c r="G11" s="1">
        <v>327.43594400000001</v>
      </c>
      <c r="H11" s="1">
        <v>327.09863300000001</v>
      </c>
      <c r="I11" s="1">
        <v>330.094086</v>
      </c>
      <c r="J11" s="1">
        <v>335.07009900000003</v>
      </c>
      <c r="K11" s="1">
        <v>343.72287</v>
      </c>
      <c r="L11" s="1">
        <v>357.09249899999998</v>
      </c>
      <c r="M11" s="1">
        <v>367.91812099999999</v>
      </c>
      <c r="N11" s="1">
        <v>375.93133499999999</v>
      </c>
      <c r="O11" s="1">
        <v>384.40817299999998</v>
      </c>
      <c r="P11" s="1">
        <v>394.34594700000002</v>
      </c>
      <c r="Q11" s="1">
        <v>398.448578</v>
      </c>
      <c r="R11" s="1">
        <v>403.28924599999999</v>
      </c>
      <c r="S11" s="1">
        <v>405.87973</v>
      </c>
      <c r="T11" s="1">
        <v>407.765717</v>
      </c>
      <c r="U11" s="1">
        <v>411.123199</v>
      </c>
      <c r="V11" s="1">
        <v>412.24542200000002</v>
      </c>
      <c r="W11" s="1">
        <v>417.134613</v>
      </c>
      <c r="X11" s="1">
        <v>426.062073</v>
      </c>
      <c r="Y11" s="1">
        <v>435.69448899999998</v>
      </c>
      <c r="Z11" s="1">
        <v>439.23638899999997</v>
      </c>
      <c r="AA11" s="1">
        <v>437.89917000000003</v>
      </c>
      <c r="AB11" s="1">
        <v>435.82586700000002</v>
      </c>
      <c r="AC11" s="1">
        <v>436.440674</v>
      </c>
      <c r="AD11" s="1">
        <v>438.26464800000002</v>
      </c>
      <c r="AE11" s="2">
        <v>0.37220542445655941</v>
      </c>
    </row>
    <row r="12" spans="1:31" x14ac:dyDescent="0.25">
      <c r="A12" s="1" t="s">
        <v>27</v>
      </c>
      <c r="B12" s="1" t="s">
        <v>13</v>
      </c>
      <c r="C12" s="1" t="s">
        <v>3</v>
      </c>
      <c r="D12" s="1">
        <v>54.847462</v>
      </c>
      <c r="E12" s="1">
        <v>55.215125999999998</v>
      </c>
      <c r="F12" s="1">
        <v>55.806846999999998</v>
      </c>
      <c r="G12" s="1">
        <v>56.242908</v>
      </c>
      <c r="H12" s="1">
        <v>56.185009000000001</v>
      </c>
      <c r="I12" s="1">
        <v>56.699168999999998</v>
      </c>
      <c r="J12" s="1">
        <v>57.553280000000001</v>
      </c>
      <c r="K12" s="1">
        <v>59.038502000000001</v>
      </c>
      <c r="L12" s="1">
        <v>61.343314999999997</v>
      </c>
      <c r="M12" s="1">
        <v>63.215831999999999</v>
      </c>
      <c r="N12" s="1">
        <v>64.602249</v>
      </c>
      <c r="O12" s="1">
        <v>66.068657000000002</v>
      </c>
      <c r="P12" s="1">
        <v>67.774445</v>
      </c>
      <c r="Q12" s="1">
        <v>68.438987999999995</v>
      </c>
      <c r="R12" s="1">
        <v>69.269874999999999</v>
      </c>
      <c r="S12" s="1">
        <v>69.714516000000003</v>
      </c>
      <c r="T12" s="1">
        <v>70.038239000000004</v>
      </c>
      <c r="U12" s="1">
        <v>70.614540000000005</v>
      </c>
      <c r="V12" s="1">
        <v>70.807167000000007</v>
      </c>
      <c r="W12" s="1">
        <v>71.646377999999999</v>
      </c>
      <c r="X12" s="1">
        <v>73.168785</v>
      </c>
      <c r="Y12" s="1">
        <v>74.807816000000003</v>
      </c>
      <c r="Z12" s="1">
        <v>75.404792999999998</v>
      </c>
      <c r="AA12" s="1">
        <v>75.163871999999998</v>
      </c>
      <c r="AB12" s="1">
        <v>74.807998999999995</v>
      </c>
      <c r="AC12" s="1">
        <v>74.913527999999999</v>
      </c>
      <c r="AD12" s="1">
        <v>75.226607999999999</v>
      </c>
      <c r="AE12" s="2">
        <v>0.37156041969635711</v>
      </c>
    </row>
    <row r="13" spans="1:31" x14ac:dyDescent="0.25">
      <c r="A13" s="1" t="s">
        <v>27</v>
      </c>
      <c r="B13" s="1" t="s">
        <v>14</v>
      </c>
      <c r="C13" s="1" t="s">
        <v>3</v>
      </c>
      <c r="D13" s="1">
        <v>1.5153430000000001</v>
      </c>
      <c r="E13" s="1">
        <v>1.9875780000000001</v>
      </c>
      <c r="F13" s="1">
        <v>1.857548</v>
      </c>
      <c r="G13" s="1">
        <v>1.864778</v>
      </c>
      <c r="H13" s="1">
        <v>1.863818</v>
      </c>
      <c r="I13" s="1">
        <v>1.8723430000000001</v>
      </c>
      <c r="J13" s="1">
        <v>1.886504</v>
      </c>
      <c r="K13" s="1">
        <v>1.9111279999999999</v>
      </c>
      <c r="L13" s="1">
        <v>2.183548</v>
      </c>
      <c r="M13" s="1">
        <v>2.5515979999999998</v>
      </c>
      <c r="N13" s="1">
        <v>2.8326419999999999</v>
      </c>
      <c r="O13" s="1">
        <v>3.1246710000000002</v>
      </c>
      <c r="P13" s="1">
        <v>3.1529530000000001</v>
      </c>
      <c r="Q13" s="1">
        <v>2.2316880000000001</v>
      </c>
      <c r="R13" s="1">
        <v>2.2454640000000001</v>
      </c>
      <c r="S13" s="1">
        <v>2.2528359999999998</v>
      </c>
      <c r="T13" s="1">
        <v>2.2582040000000001</v>
      </c>
      <c r="U13" s="1">
        <v>2.2677589999999999</v>
      </c>
      <c r="V13" s="1">
        <v>2.2709519999999999</v>
      </c>
      <c r="W13" s="1">
        <v>2.2848660000000001</v>
      </c>
      <c r="X13" s="1">
        <v>2.0759020000000001</v>
      </c>
      <c r="Y13" s="1">
        <v>1.7660720000000001</v>
      </c>
      <c r="Z13" s="1">
        <v>1.5179119999999999</v>
      </c>
      <c r="AA13" s="1">
        <v>1.2462009999999999</v>
      </c>
      <c r="AB13" s="1">
        <v>1.2403010000000001</v>
      </c>
      <c r="AC13" s="1">
        <v>1.242051</v>
      </c>
      <c r="AD13" s="1">
        <v>1.247242</v>
      </c>
      <c r="AE13" s="2">
        <v>-0.1769243003069273</v>
      </c>
    </row>
    <row r="14" spans="1:31" x14ac:dyDescent="0.25">
      <c r="A14" s="1" t="s">
        <v>27</v>
      </c>
      <c r="B14" s="1" t="s">
        <v>15</v>
      </c>
      <c r="C14" s="1" t="s">
        <v>3</v>
      </c>
      <c r="D14" s="1">
        <v>375.74987800000002</v>
      </c>
      <c r="E14" s="1">
        <v>378.61621100000002</v>
      </c>
      <c r="F14" s="1">
        <v>382.55987499999998</v>
      </c>
      <c r="G14" s="1">
        <v>385.54363999999998</v>
      </c>
      <c r="H14" s="1">
        <v>385.14746100000002</v>
      </c>
      <c r="I14" s="1">
        <v>388.66558800000001</v>
      </c>
      <c r="J14" s="1">
        <v>394.50988799999999</v>
      </c>
      <c r="K14" s="1">
        <v>404.67251599999997</v>
      </c>
      <c r="L14" s="1">
        <v>420.61932400000001</v>
      </c>
      <c r="M14" s="1">
        <v>433.68554699999999</v>
      </c>
      <c r="N14" s="1">
        <v>443.36621100000002</v>
      </c>
      <c r="O14" s="1">
        <v>453.60150099999998</v>
      </c>
      <c r="P14" s="1">
        <v>465.273346</v>
      </c>
      <c r="Q14" s="1">
        <v>469.11926299999999</v>
      </c>
      <c r="R14" s="1">
        <v>474.80456500000003</v>
      </c>
      <c r="S14" s="1">
        <v>477.84707600000002</v>
      </c>
      <c r="T14" s="1">
        <v>480.062164</v>
      </c>
      <c r="U14" s="1">
        <v>484.00552399999998</v>
      </c>
      <c r="V14" s="1">
        <v>485.323578</v>
      </c>
      <c r="W14" s="1">
        <v>491.06585699999999</v>
      </c>
      <c r="X14" s="1">
        <v>501.30676299999999</v>
      </c>
      <c r="Y14" s="1">
        <v>512.268372</v>
      </c>
      <c r="Z14" s="1">
        <v>516.15905799999996</v>
      </c>
      <c r="AA14" s="1">
        <v>514.30926499999998</v>
      </c>
      <c r="AB14" s="1">
        <v>511.87417599999998</v>
      </c>
      <c r="AC14" s="1">
        <v>512.59625200000005</v>
      </c>
      <c r="AD14" s="1">
        <v>514.73852499999998</v>
      </c>
      <c r="AE14" s="2">
        <v>0.36989671890192855</v>
      </c>
    </row>
    <row r="15" spans="1:31" x14ac:dyDescent="0.25">
      <c r="A15" s="1" t="s">
        <v>28</v>
      </c>
      <c r="B15" s="1" t="s">
        <v>14</v>
      </c>
      <c r="C15" s="1" t="s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" t="e">
        <f>(AD15-D15)/D15</f>
        <v>#DIV/0!</v>
      </c>
    </row>
    <row r="16" spans="1:31" x14ac:dyDescent="0.25">
      <c r="A16" s="1" t="s">
        <v>16</v>
      </c>
      <c r="B16" s="1" t="s">
        <v>17</v>
      </c>
      <c r="C16" s="1" t="s">
        <v>3</v>
      </c>
      <c r="D16" s="1">
        <v>459.30084199999999</v>
      </c>
      <c r="E16" s="1">
        <v>463.34173600000003</v>
      </c>
      <c r="F16" s="1">
        <v>467.961365</v>
      </c>
      <c r="G16" s="1">
        <v>468.73461900000001</v>
      </c>
      <c r="H16" s="1">
        <v>468.23278800000003</v>
      </c>
      <c r="I16" s="1">
        <v>468.98455799999999</v>
      </c>
      <c r="J16" s="1">
        <v>471.09777800000001</v>
      </c>
      <c r="K16" s="1">
        <v>473.36114500000002</v>
      </c>
      <c r="L16" s="1">
        <v>475.62029999999999</v>
      </c>
      <c r="M16" s="1">
        <v>476.84216300000003</v>
      </c>
      <c r="N16" s="1">
        <v>479.120789</v>
      </c>
      <c r="O16" s="1">
        <v>481.10043300000001</v>
      </c>
      <c r="P16" s="1">
        <v>483.66665599999999</v>
      </c>
      <c r="Q16" s="1">
        <v>485.92334</v>
      </c>
      <c r="R16" s="1">
        <v>488.25793499999997</v>
      </c>
      <c r="S16" s="1">
        <v>490.38952599999999</v>
      </c>
      <c r="T16" s="1">
        <v>492.46478300000001</v>
      </c>
      <c r="U16" s="1">
        <v>494.44097900000003</v>
      </c>
      <c r="V16" s="1">
        <v>496.25109900000001</v>
      </c>
      <c r="W16" s="1">
        <v>498.15322900000001</v>
      </c>
      <c r="X16" s="1">
        <v>499.90231299999999</v>
      </c>
      <c r="Y16" s="1">
        <v>501.36483800000002</v>
      </c>
      <c r="Z16" s="1">
        <v>502.47515900000002</v>
      </c>
      <c r="AA16" s="1">
        <v>503.74414100000001</v>
      </c>
      <c r="AB16" s="1">
        <v>505.73837300000002</v>
      </c>
      <c r="AC16" s="1">
        <v>507.50991800000003</v>
      </c>
      <c r="AD16" s="1">
        <v>509.125</v>
      </c>
      <c r="AE16" s="2" cm="1">
        <f t="array" ref="AE16:AE20">(AD16:AD20-D16:D20)/D16:D20</f>
        <v>0.10847826401328481</v>
      </c>
    </row>
    <row r="17" spans="1:31" x14ac:dyDescent="0.25">
      <c r="A17" s="1" t="s">
        <v>16</v>
      </c>
      <c r="B17" s="1" t="s">
        <v>18</v>
      </c>
      <c r="C17" s="1" t="s">
        <v>3</v>
      </c>
      <c r="D17" s="1">
        <v>293.40902699999998</v>
      </c>
      <c r="E17" s="1">
        <v>293.40902699999998</v>
      </c>
      <c r="F17" s="1">
        <v>293.40902699999998</v>
      </c>
      <c r="G17" s="1">
        <v>293.40902699999998</v>
      </c>
      <c r="H17" s="1">
        <v>293.40902699999998</v>
      </c>
      <c r="I17" s="1">
        <v>293.40902699999998</v>
      </c>
      <c r="J17" s="1">
        <v>293.40902699999998</v>
      </c>
      <c r="K17" s="1">
        <v>293.40902699999998</v>
      </c>
      <c r="L17" s="1">
        <v>293.40902699999998</v>
      </c>
      <c r="M17" s="1">
        <v>293.40902699999998</v>
      </c>
      <c r="N17" s="1">
        <v>293.40902699999998</v>
      </c>
      <c r="O17" s="1">
        <v>293.40902699999998</v>
      </c>
      <c r="P17" s="1">
        <v>293.40902699999998</v>
      </c>
      <c r="Q17" s="1">
        <v>293.40902699999998</v>
      </c>
      <c r="R17" s="1">
        <v>293.40902699999998</v>
      </c>
      <c r="S17" s="1">
        <v>293.40902699999998</v>
      </c>
      <c r="T17" s="1">
        <v>293.40902699999998</v>
      </c>
      <c r="U17" s="1">
        <v>293.40902699999998</v>
      </c>
      <c r="V17" s="1">
        <v>293.40902699999998</v>
      </c>
      <c r="W17" s="1">
        <v>293.40902699999998</v>
      </c>
      <c r="X17" s="1">
        <v>293.40902699999998</v>
      </c>
      <c r="Y17" s="1">
        <v>293.40902699999998</v>
      </c>
      <c r="Z17" s="1">
        <v>293.40902699999998</v>
      </c>
      <c r="AA17" s="1">
        <v>293.40902699999998</v>
      </c>
      <c r="AB17" s="1">
        <v>293.40902699999998</v>
      </c>
      <c r="AC17" s="1">
        <v>293.40902699999998</v>
      </c>
      <c r="AD17" s="1">
        <v>293.40902699999998</v>
      </c>
      <c r="AE17" s="2">
        <v>0</v>
      </c>
    </row>
    <row r="18" spans="1:31" x14ac:dyDescent="0.25">
      <c r="A18" s="1" t="s">
        <v>16</v>
      </c>
      <c r="B18" s="1" t="s">
        <v>19</v>
      </c>
      <c r="C18" s="1" t="s">
        <v>3</v>
      </c>
      <c r="D18" s="1">
        <v>165.89181500000001</v>
      </c>
      <c r="E18" s="1">
        <v>169.93270899999999</v>
      </c>
      <c r="F18" s="1">
        <v>174.55233799999999</v>
      </c>
      <c r="G18" s="1">
        <v>175.325592</v>
      </c>
      <c r="H18" s="1">
        <v>174.82376099999999</v>
      </c>
      <c r="I18" s="1">
        <v>175.57553100000001</v>
      </c>
      <c r="J18" s="1">
        <v>177.688751</v>
      </c>
      <c r="K18" s="1">
        <v>179.95211800000001</v>
      </c>
      <c r="L18" s="1">
        <v>182.21127300000001</v>
      </c>
      <c r="M18" s="1">
        <v>183.43313599999999</v>
      </c>
      <c r="N18" s="1">
        <v>185.711761</v>
      </c>
      <c r="O18" s="1">
        <v>187.691406</v>
      </c>
      <c r="P18" s="1">
        <v>190.25762900000001</v>
      </c>
      <c r="Q18" s="1">
        <v>192.51431299999999</v>
      </c>
      <c r="R18" s="1">
        <v>194.848907</v>
      </c>
      <c r="S18" s="1">
        <v>196.98049900000001</v>
      </c>
      <c r="T18" s="1">
        <v>199.055756</v>
      </c>
      <c r="U18" s="1">
        <v>201.03195199999999</v>
      </c>
      <c r="V18" s="1">
        <v>202.842072</v>
      </c>
      <c r="W18" s="1">
        <v>204.744202</v>
      </c>
      <c r="X18" s="1">
        <v>206.49328600000001</v>
      </c>
      <c r="Y18" s="1">
        <v>207.95581100000001</v>
      </c>
      <c r="Z18" s="1">
        <v>209.06613200000001</v>
      </c>
      <c r="AA18" s="1">
        <v>210.335114</v>
      </c>
      <c r="AB18" s="1">
        <v>212.32934599999999</v>
      </c>
      <c r="AC18" s="1">
        <v>214.10089099999999</v>
      </c>
      <c r="AD18" s="1">
        <v>215.71597299999999</v>
      </c>
      <c r="AE18" s="2">
        <v>0.30034126759056784</v>
      </c>
    </row>
    <row r="19" spans="1:31" x14ac:dyDescent="0.25">
      <c r="A19" s="1" t="s">
        <v>16</v>
      </c>
      <c r="B19" s="1" t="s">
        <v>20</v>
      </c>
      <c r="C19" s="1" t="s">
        <v>3</v>
      </c>
      <c r="D19" s="1">
        <v>6.9549E-2</v>
      </c>
      <c r="E19" s="1">
        <v>0.46105499999999999</v>
      </c>
      <c r="F19" s="1">
        <v>1.1129009999999999</v>
      </c>
      <c r="G19" s="1">
        <v>2.1067719999999999</v>
      </c>
      <c r="H19" s="1">
        <v>3.6066479999999999</v>
      </c>
      <c r="I19" s="1">
        <v>5.3979229999999996</v>
      </c>
      <c r="J19" s="1">
        <v>7.4493470000000004</v>
      </c>
      <c r="K19" s="1">
        <v>12.074946000000001</v>
      </c>
      <c r="L19" s="1">
        <v>22.704637999999999</v>
      </c>
      <c r="M19" s="1">
        <v>32.397114000000002</v>
      </c>
      <c r="N19" s="1">
        <v>41.294696999999999</v>
      </c>
      <c r="O19" s="1">
        <v>49.421199999999999</v>
      </c>
      <c r="P19" s="1">
        <v>57.050865000000002</v>
      </c>
      <c r="Q19" s="1">
        <v>64.309387000000001</v>
      </c>
      <c r="R19" s="1">
        <v>71.228568999999993</v>
      </c>
      <c r="S19" s="1">
        <v>77.779060000000001</v>
      </c>
      <c r="T19" s="1">
        <v>84.017204000000007</v>
      </c>
      <c r="U19" s="1">
        <v>89.766356999999999</v>
      </c>
      <c r="V19" s="1">
        <v>95.105896000000001</v>
      </c>
      <c r="W19" s="1">
        <v>99.871834000000007</v>
      </c>
      <c r="X19" s="1">
        <v>104.167366</v>
      </c>
      <c r="Y19" s="1">
        <v>108.185379</v>
      </c>
      <c r="Z19" s="1">
        <v>111.74556</v>
      </c>
      <c r="AA19" s="1">
        <v>115.01164199999999</v>
      </c>
      <c r="AB19" s="1">
        <v>118.161354</v>
      </c>
      <c r="AC19" s="1">
        <v>121.213409</v>
      </c>
      <c r="AD19" s="1">
        <v>124.005455</v>
      </c>
      <c r="AE19" s="2">
        <v>1781.9940761189953</v>
      </c>
    </row>
    <row r="20" spans="1:31" x14ac:dyDescent="0.25">
      <c r="A20" s="1" t="s">
        <v>16</v>
      </c>
      <c r="B20" s="1" t="s">
        <v>21</v>
      </c>
      <c r="C20" s="1" t="s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 t="e">
        <v>#DIV/0!</v>
      </c>
    </row>
    <row r="21" spans="1:31" x14ac:dyDescent="0.25">
      <c r="A21" s="1" t="s">
        <v>22</v>
      </c>
      <c r="B21" s="1" t="s">
        <v>24</v>
      </c>
      <c r="C21" s="1" t="s">
        <v>23</v>
      </c>
      <c r="D21" s="1">
        <v>6.354927</v>
      </c>
      <c r="E21" s="1">
        <v>7.3634230000000001</v>
      </c>
      <c r="F21" s="1">
        <v>7.1860150000000003</v>
      </c>
      <c r="G21" s="1">
        <v>7.0308869999999999</v>
      </c>
      <c r="H21" s="1">
        <v>7.1713199999999997</v>
      </c>
      <c r="I21" s="1">
        <v>7.3689479999999996</v>
      </c>
      <c r="J21" s="1">
        <v>7.5987590000000003</v>
      </c>
      <c r="K21" s="1">
        <v>7.7384839999999997</v>
      </c>
      <c r="L21" s="1">
        <v>8.2756930000000004</v>
      </c>
      <c r="M21" s="1">
        <v>8.7969360000000005</v>
      </c>
      <c r="N21" s="1">
        <v>9.1259490000000003</v>
      </c>
      <c r="O21" s="1">
        <v>9.3037930000000006</v>
      </c>
      <c r="P21" s="1">
        <v>9.3046399999999991</v>
      </c>
      <c r="Q21" s="1">
        <v>9.2241569999999999</v>
      </c>
      <c r="R21" s="1">
        <v>9.1539730000000006</v>
      </c>
      <c r="S21" s="1">
        <v>9.0738909999999997</v>
      </c>
      <c r="T21" s="1">
        <v>9.0899099999999997</v>
      </c>
      <c r="U21" s="1">
        <v>9.1614120000000003</v>
      </c>
      <c r="V21" s="1">
        <v>9.2698070000000001</v>
      </c>
      <c r="W21" s="1">
        <v>9.403124</v>
      </c>
      <c r="X21" s="1">
        <v>9.4874580000000002</v>
      </c>
      <c r="Y21" s="1">
        <v>9.5567130000000002</v>
      </c>
      <c r="Z21" s="1">
        <v>9.629486</v>
      </c>
      <c r="AA21" s="1">
        <v>9.6702490000000001</v>
      </c>
      <c r="AB21" s="1">
        <v>9.6470479999999998</v>
      </c>
      <c r="AC21" s="1">
        <v>9.579542</v>
      </c>
      <c r="AD21" s="1">
        <v>9.5981380000000005</v>
      </c>
      <c r="AE21" s="2">
        <f>(AD21-D21)/D21</f>
        <v>0.51034590955962211</v>
      </c>
    </row>
    <row r="22" spans="1:31" x14ac:dyDescent="0.25">
      <c r="A22" s="1" t="s">
        <v>25</v>
      </c>
      <c r="B22" s="1" t="s">
        <v>26</v>
      </c>
      <c r="C22" s="1" t="s">
        <v>23</v>
      </c>
      <c r="D22" s="1">
        <v>8.8184489999999993</v>
      </c>
      <c r="E22" s="1">
        <v>9.8269450000000003</v>
      </c>
      <c r="F22" s="1">
        <v>9.6495359999999994</v>
      </c>
      <c r="G22" s="1">
        <v>9.4944100000000002</v>
      </c>
      <c r="H22" s="1">
        <v>9.6348420000000008</v>
      </c>
      <c r="I22" s="1">
        <v>9.8324689999999997</v>
      </c>
      <c r="J22" s="1">
        <v>10.062281</v>
      </c>
      <c r="K22" s="1">
        <v>10.202005</v>
      </c>
      <c r="L22" s="1">
        <v>10.739215</v>
      </c>
      <c r="M22" s="1">
        <v>11.260457000000001</v>
      </c>
      <c r="N22" s="1">
        <v>11.589471</v>
      </c>
      <c r="O22" s="1">
        <v>11.767314000000001</v>
      </c>
      <c r="P22" s="1">
        <v>11.768162</v>
      </c>
      <c r="Q22" s="1">
        <v>11.687677000000001</v>
      </c>
      <c r="R22" s="1">
        <v>11.617495</v>
      </c>
      <c r="S22" s="1">
        <v>11.537413000000001</v>
      </c>
      <c r="T22" s="1">
        <v>11.553432000000001</v>
      </c>
      <c r="U22" s="1">
        <v>11.624934</v>
      </c>
      <c r="V22" s="1">
        <v>11.73333</v>
      </c>
      <c r="W22" s="1">
        <v>11.866645</v>
      </c>
      <c r="X22" s="1">
        <v>11.950979999999999</v>
      </c>
      <c r="Y22" s="1">
        <v>12.020235</v>
      </c>
      <c r="Z22" s="1">
        <v>12.093009</v>
      </c>
      <c r="AA22" s="1">
        <v>12.133772</v>
      </c>
      <c r="AB22" s="1">
        <v>12.110569999999999</v>
      </c>
      <c r="AC22" s="1">
        <v>12.043063</v>
      </c>
      <c r="AD22" s="1">
        <v>12.061659000000001</v>
      </c>
      <c r="AE22" s="2" cm="1">
        <f t="array" ref="AE22:AE24">(AD22:AD24-D22:D24)/D22:D24</f>
        <v>0.36777555781067639</v>
      </c>
    </row>
    <row r="23" spans="1:31" x14ac:dyDescent="0.25">
      <c r="A23" s="1" t="s">
        <v>25</v>
      </c>
      <c r="B23" s="1" t="s">
        <v>20</v>
      </c>
      <c r="C23" s="1" t="s">
        <v>23</v>
      </c>
      <c r="D23" s="1">
        <v>58.909412000000003</v>
      </c>
      <c r="E23" s="1">
        <v>59.917934000000002</v>
      </c>
      <c r="F23" s="1">
        <v>59.741131000000003</v>
      </c>
      <c r="G23" s="1">
        <v>59.586005999999998</v>
      </c>
      <c r="H23" s="1">
        <v>59.726444000000001</v>
      </c>
      <c r="I23" s="1">
        <v>59.924064999999999</v>
      </c>
      <c r="J23" s="1">
        <v>60.153888999999999</v>
      </c>
      <c r="K23" s="1">
        <v>60.293613000000001</v>
      </c>
      <c r="L23" s="1">
        <v>60.830803000000003</v>
      </c>
      <c r="M23" s="1">
        <v>61.352046999999999</v>
      </c>
      <c r="N23" s="1">
        <v>61.681061</v>
      </c>
      <c r="O23" s="1">
        <v>61.858921000000002</v>
      </c>
      <c r="P23" s="1">
        <v>61.859755999999997</v>
      </c>
      <c r="Q23" s="1">
        <v>61.779274000000001</v>
      </c>
      <c r="R23" s="1">
        <v>61.709094999999998</v>
      </c>
      <c r="S23" s="1">
        <v>61.629013</v>
      </c>
      <c r="T23" s="1">
        <v>61.645031000000003</v>
      </c>
      <c r="U23" s="1">
        <v>61.716540999999999</v>
      </c>
      <c r="V23" s="1">
        <v>61.824924000000003</v>
      </c>
      <c r="W23" s="1">
        <v>61.958244000000001</v>
      </c>
      <c r="X23" s="1">
        <v>62.042580000000001</v>
      </c>
      <c r="Y23" s="1">
        <v>62.111834999999999</v>
      </c>
      <c r="Z23" s="1">
        <v>62.184607999999997</v>
      </c>
      <c r="AA23" s="1">
        <v>62.225388000000002</v>
      </c>
      <c r="AB23" s="1">
        <v>62.202179000000001</v>
      </c>
      <c r="AC23" s="1">
        <v>62.134678000000001</v>
      </c>
      <c r="AD23" s="1">
        <v>62.153278</v>
      </c>
      <c r="AE23" s="2">
        <v>5.5065326403189986E-2</v>
      </c>
    </row>
    <row r="24" spans="1:31" x14ac:dyDescent="0.25">
      <c r="A24" s="1" t="s">
        <v>25</v>
      </c>
      <c r="B24" s="1" t="s">
        <v>21</v>
      </c>
      <c r="C24" s="1" t="s">
        <v>23</v>
      </c>
      <c r="D24" s="1">
        <v>8.8184489999999993</v>
      </c>
      <c r="E24" s="1">
        <v>9.8269450000000003</v>
      </c>
      <c r="F24" s="1">
        <v>9.6495359999999994</v>
      </c>
      <c r="G24" s="1">
        <v>9.4944100000000002</v>
      </c>
      <c r="H24" s="1">
        <v>9.6348420000000008</v>
      </c>
      <c r="I24" s="1">
        <v>9.8324689999999997</v>
      </c>
      <c r="J24" s="1">
        <v>10.062281</v>
      </c>
      <c r="K24" s="1">
        <v>10.202005</v>
      </c>
      <c r="L24" s="1">
        <v>10.739215</v>
      </c>
      <c r="M24" s="1">
        <v>11.260457000000001</v>
      </c>
      <c r="N24" s="1">
        <v>11.589471</v>
      </c>
      <c r="O24" s="1">
        <v>11.767314000000001</v>
      </c>
      <c r="P24" s="1">
        <v>11.768162</v>
      </c>
      <c r="Q24" s="1">
        <v>11.687677000000001</v>
      </c>
      <c r="R24" s="1">
        <v>11.617495</v>
      </c>
      <c r="S24" s="1">
        <v>11.537413000000001</v>
      </c>
      <c r="T24" s="1">
        <v>11.553432000000001</v>
      </c>
      <c r="U24" s="1">
        <v>11.624934</v>
      </c>
      <c r="V24" s="1">
        <v>11.73333</v>
      </c>
      <c r="W24" s="1">
        <v>11.866645</v>
      </c>
      <c r="X24" s="1">
        <v>11.950979999999999</v>
      </c>
      <c r="Y24" s="1">
        <v>12.020235</v>
      </c>
      <c r="Z24" s="1">
        <v>12.093009</v>
      </c>
      <c r="AA24" s="1">
        <v>12.133772</v>
      </c>
      <c r="AB24" s="1">
        <v>12.110569999999999</v>
      </c>
      <c r="AC24" s="1">
        <v>12.043063</v>
      </c>
      <c r="AD24" s="1">
        <v>12.061659000000001</v>
      </c>
      <c r="AE24" s="2">
        <v>0.36777555781067639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East North Central</vt:lpstr>
      <vt:lpstr>East South Central</vt:lpstr>
      <vt:lpstr>Middle Atlantic</vt:lpstr>
      <vt:lpstr>Mountain</vt:lpstr>
      <vt:lpstr>New England</vt:lpstr>
      <vt:lpstr>Pacific</vt:lpstr>
      <vt:lpstr>South Atlantic</vt:lpstr>
      <vt:lpstr>West North Central</vt:lpstr>
      <vt:lpstr>West South Central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Aboud Beroual</cp:lastModifiedBy>
  <dcterms:created xsi:type="dcterms:W3CDTF">2025-07-02T16:34:45Z</dcterms:created>
  <dcterms:modified xsi:type="dcterms:W3CDTF">2025-07-07T23:11:23Z</dcterms:modified>
</cp:coreProperties>
</file>